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lyogen\Downloads\Personal\IIMB_EGMP_34\Module1\Business Statistics\Project\"/>
    </mc:Choice>
  </mc:AlternateContent>
  <bookViews>
    <workbookView xWindow="0" yWindow="0" windowWidth="24000" windowHeight="11025" firstSheet="2" activeTab="2"/>
  </bookViews>
  <sheets>
    <sheet name="Tables" sheetId="2" state="hidden" r:id="rId1"/>
    <sheet name="Points" sheetId="6" state="hidden" r:id="rId2"/>
    <sheet name="Mens Singles Consolidated" sheetId="10" r:id="rId3"/>
    <sheet name="Mens Singles Australian Open" sheetId="9" r:id="rId4"/>
    <sheet name="Mens Singles Roland Garros" sheetId="11" r:id="rId5"/>
    <sheet name="Mens Singles Wimbledon" sheetId="12" r:id="rId6"/>
    <sheet name="Mens Singles US Open" sheetId="13" r:id="rId7"/>
    <sheet name="Mens Singles" sheetId="8" state="hidden" r:id="rId8"/>
    <sheet name="Womens Singles" sheetId="7" state="hidden" r:id="rId9"/>
  </sheets>
  <functionGroups builtInGroupCount="18"/>
  <definedNames>
    <definedName name="SetNames">Tables!$N$1:$N$6</definedName>
  </definedNames>
  <calcPr calcId="152511" concurrentCalc="0"/>
</workbook>
</file>

<file path=xl/calcChain.xml><?xml version="1.0" encoding="utf-8"?>
<calcChain xmlns="http://schemas.openxmlformats.org/spreadsheetml/2006/main">
  <c r="AB130" i="10" l="1"/>
  <c r="AB129" i="10"/>
  <c r="AB131" i="10"/>
  <c r="AA130" i="10"/>
  <c r="AA129" i="10"/>
  <c r="AA131" i="10"/>
  <c r="Z130" i="10"/>
  <c r="Z129" i="10"/>
  <c r="Z131" i="10"/>
  <c r="AB128" i="10"/>
  <c r="AA128" i="10"/>
  <c r="Z128" i="10"/>
  <c r="AB127" i="10"/>
  <c r="AA127" i="10"/>
  <c r="Z127" i="10"/>
  <c r="AB119" i="10"/>
  <c r="AB124" i="10"/>
  <c r="AB120" i="10"/>
  <c r="AB121" i="10"/>
  <c r="AB122" i="10"/>
  <c r="AB126" i="10"/>
  <c r="AA119" i="10"/>
  <c r="AA124" i="10"/>
  <c r="AA120" i="10"/>
  <c r="AA121" i="10"/>
  <c r="AA122" i="10"/>
  <c r="AA126" i="10"/>
  <c r="Z119" i="10"/>
  <c r="Z124" i="10"/>
  <c r="Z120" i="10"/>
  <c r="Z121" i="10"/>
  <c r="Z122" i="10"/>
  <c r="Z126" i="10"/>
  <c r="AB125" i="10"/>
  <c r="AA125" i="10"/>
  <c r="Z125" i="10"/>
  <c r="X130" i="10"/>
  <c r="X129" i="10"/>
  <c r="X131" i="10"/>
  <c r="W130" i="10"/>
  <c r="W129" i="10"/>
  <c r="W131" i="10"/>
  <c r="V130" i="10"/>
  <c r="V129" i="10"/>
  <c r="V131" i="10"/>
  <c r="X128" i="10"/>
  <c r="W128" i="10"/>
  <c r="V128" i="10"/>
  <c r="X127" i="10"/>
  <c r="W127" i="10"/>
  <c r="V127" i="10"/>
  <c r="X119" i="10"/>
  <c r="X124" i="10"/>
  <c r="X120" i="10"/>
  <c r="X121" i="10"/>
  <c r="X122" i="10"/>
  <c r="X126" i="10"/>
  <c r="W119" i="10"/>
  <c r="W124" i="10"/>
  <c r="W120" i="10"/>
  <c r="W121" i="10"/>
  <c r="W122" i="10"/>
  <c r="W126" i="10"/>
  <c r="V119" i="10"/>
  <c r="V124" i="10"/>
  <c r="V120" i="10"/>
  <c r="V121" i="10"/>
  <c r="V122" i="10"/>
  <c r="V126" i="10"/>
  <c r="X125" i="10"/>
  <c r="W125" i="10"/>
  <c r="V125" i="10"/>
  <c r="T130" i="10"/>
  <c r="T129" i="10"/>
  <c r="T131" i="10"/>
  <c r="S130" i="10"/>
  <c r="S129" i="10"/>
  <c r="S131" i="10"/>
  <c r="R130" i="10"/>
  <c r="R129" i="10"/>
  <c r="R131" i="10"/>
  <c r="T128" i="10"/>
  <c r="S128" i="10"/>
  <c r="R128" i="10"/>
  <c r="T127" i="10"/>
  <c r="S127" i="10"/>
  <c r="R127" i="10"/>
  <c r="T119" i="10"/>
  <c r="T124" i="10"/>
  <c r="T120" i="10"/>
  <c r="T121" i="10"/>
  <c r="T122" i="10"/>
  <c r="T126" i="10"/>
  <c r="S119" i="10"/>
  <c r="S124" i="10"/>
  <c r="S120" i="10"/>
  <c r="S121" i="10"/>
  <c r="S122" i="10"/>
  <c r="S126" i="10"/>
  <c r="R119" i="10"/>
  <c r="R124" i="10"/>
  <c r="R120" i="10"/>
  <c r="R121" i="10"/>
  <c r="R122" i="10"/>
  <c r="R126" i="10"/>
  <c r="T125" i="10"/>
  <c r="S125" i="10"/>
  <c r="R125" i="10"/>
  <c r="P130" i="10"/>
  <c r="P129" i="10"/>
  <c r="P131" i="10"/>
  <c r="O130" i="10"/>
  <c r="O129" i="10"/>
  <c r="O131" i="10"/>
  <c r="N130" i="10"/>
  <c r="N129" i="10"/>
  <c r="N131" i="10"/>
  <c r="P128" i="10"/>
  <c r="O128" i="10"/>
  <c r="N128" i="10"/>
  <c r="P127" i="10"/>
  <c r="O127" i="10"/>
  <c r="N127" i="10"/>
  <c r="P119" i="10"/>
  <c r="P124" i="10"/>
  <c r="P120" i="10"/>
  <c r="P121" i="10"/>
  <c r="P122" i="10"/>
  <c r="P126" i="10"/>
  <c r="O119" i="10"/>
  <c r="O124" i="10"/>
  <c r="O120" i="10"/>
  <c r="O121" i="10"/>
  <c r="O122" i="10"/>
  <c r="O126" i="10"/>
  <c r="N119" i="10"/>
  <c r="N124" i="10"/>
  <c r="N120" i="10"/>
  <c r="N121" i="10"/>
  <c r="N122" i="10"/>
  <c r="N126" i="10"/>
  <c r="P125" i="10"/>
  <c r="O125" i="10"/>
  <c r="N125" i="10"/>
  <c r="L130" i="10"/>
  <c r="L129" i="10"/>
  <c r="L131" i="10"/>
  <c r="K130" i="10"/>
  <c r="K129" i="10"/>
  <c r="K131" i="10"/>
  <c r="J130" i="10"/>
  <c r="J129" i="10"/>
  <c r="J131" i="10"/>
  <c r="L128" i="10"/>
  <c r="K128" i="10"/>
  <c r="J128" i="10"/>
  <c r="L127" i="10"/>
  <c r="K127" i="10"/>
  <c r="J127" i="10"/>
  <c r="L119" i="10"/>
  <c r="L124" i="10"/>
  <c r="L120" i="10"/>
  <c r="L121" i="10"/>
  <c r="L122" i="10"/>
  <c r="L126" i="10"/>
  <c r="K119" i="10"/>
  <c r="K124" i="10"/>
  <c r="K120" i="10"/>
  <c r="K121" i="10"/>
  <c r="K122" i="10"/>
  <c r="K126" i="10"/>
  <c r="J119" i="10"/>
  <c r="J124" i="10"/>
  <c r="J120" i="10"/>
  <c r="J121" i="10"/>
  <c r="J122" i="10"/>
  <c r="J126" i="10"/>
  <c r="L125" i="10"/>
  <c r="K125" i="10"/>
  <c r="J125" i="10"/>
  <c r="H130" i="10"/>
  <c r="H129" i="10"/>
  <c r="H131" i="10"/>
  <c r="G130" i="10"/>
  <c r="G129" i="10"/>
  <c r="G131" i="10"/>
  <c r="F130" i="10"/>
  <c r="F129" i="10"/>
  <c r="F131" i="10"/>
  <c r="H128" i="10"/>
  <c r="G128" i="10"/>
  <c r="F128" i="10"/>
  <c r="H127" i="10"/>
  <c r="G127" i="10"/>
  <c r="F127" i="10"/>
  <c r="H119" i="10"/>
  <c r="H124" i="10"/>
  <c r="H120" i="10"/>
  <c r="H121" i="10"/>
  <c r="H122" i="10"/>
  <c r="H126" i="10"/>
  <c r="G119" i="10"/>
  <c r="G124" i="10"/>
  <c r="G120" i="10"/>
  <c r="G121" i="10"/>
  <c r="G122" i="10"/>
  <c r="G126" i="10"/>
  <c r="F119" i="10"/>
  <c r="F124" i="10"/>
  <c r="F120" i="10"/>
  <c r="F121" i="10"/>
  <c r="F122" i="10"/>
  <c r="F126" i="10"/>
  <c r="H125" i="10"/>
  <c r="G125" i="10"/>
  <c r="F125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30" i="10"/>
  <c r="D129" i="10"/>
  <c r="D131" i="10"/>
  <c r="D128" i="10"/>
  <c r="D127" i="10"/>
  <c r="C130" i="10"/>
  <c r="C129" i="10"/>
  <c r="C131" i="10"/>
  <c r="C128" i="10"/>
  <c r="C127" i="10"/>
  <c r="B130" i="10"/>
  <c r="B129" i="10"/>
  <c r="B131" i="10"/>
  <c r="B128" i="10"/>
  <c r="B127" i="10"/>
  <c r="D119" i="10"/>
  <c r="D124" i="10"/>
  <c r="D120" i="10"/>
  <c r="D121" i="10"/>
  <c r="D122" i="10"/>
  <c r="D126" i="10"/>
  <c r="D125" i="10"/>
  <c r="C119" i="10"/>
  <c r="C124" i="10"/>
  <c r="C120" i="10"/>
  <c r="C121" i="10"/>
  <c r="C122" i="10"/>
  <c r="C126" i="10"/>
  <c r="C125" i="10"/>
  <c r="B121" i="10"/>
  <c r="B120" i="10"/>
  <c r="B119" i="10"/>
  <c r="B124" i="10"/>
  <c r="B122" i="10"/>
  <c r="B126" i="10"/>
  <c r="B125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98" i="10"/>
  <c r="AB97" i="10"/>
  <c r="AB96" i="10"/>
  <c r="AB95" i="10"/>
  <c r="AB94" i="10"/>
  <c r="AB93" i="10"/>
  <c r="AB92" i="10"/>
  <c r="AB91" i="10"/>
  <c r="AB90" i="10"/>
  <c r="AB89" i="10"/>
  <c r="AB88" i="10"/>
  <c r="AB87" i="10"/>
  <c r="AB86" i="10"/>
  <c r="AB85" i="10"/>
  <c r="AB84" i="10"/>
  <c r="AB83" i="10"/>
  <c r="AB82" i="10"/>
  <c r="AB81" i="10"/>
  <c r="AB80" i="10"/>
  <c r="AB79" i="10"/>
  <c r="AB78" i="10"/>
  <c r="AB77" i="10"/>
  <c r="AB76" i="10"/>
  <c r="AB75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52" i="10"/>
  <c r="AB51" i="10"/>
  <c r="AB50" i="10"/>
  <c r="AB49" i="10"/>
  <c r="AB48" i="10"/>
  <c r="AB47" i="10"/>
  <c r="AB46" i="10"/>
  <c r="AB45" i="10"/>
  <c r="AB44" i="10"/>
  <c r="AB43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B4" i="10"/>
  <c r="AB3" i="10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45" i="13"/>
  <c r="Y46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Y66" i="13"/>
  <c r="Y67" i="13"/>
  <c r="Y68" i="13"/>
  <c r="Y69" i="13"/>
  <c r="Y70" i="13"/>
  <c r="Y71" i="13"/>
  <c r="Y72" i="13"/>
  <c r="Y73" i="13"/>
  <c r="Y74" i="13"/>
  <c r="Y75" i="13"/>
  <c r="Y76" i="13"/>
  <c r="Y77" i="13"/>
  <c r="Y78" i="13"/>
  <c r="Y79" i="13"/>
  <c r="Y80" i="13"/>
  <c r="Y81" i="13"/>
  <c r="Y82" i="13"/>
  <c r="Y83" i="13"/>
  <c r="Y84" i="13"/>
  <c r="Y85" i="13"/>
  <c r="Y86" i="13"/>
  <c r="Y87" i="13"/>
  <c r="Y88" i="13"/>
  <c r="Y89" i="13"/>
  <c r="Y90" i="13"/>
  <c r="Y91" i="13"/>
  <c r="Y92" i="13"/>
  <c r="Y93" i="13"/>
  <c r="Y94" i="13"/>
  <c r="Y95" i="13"/>
  <c r="Y96" i="13"/>
  <c r="Y97" i="13"/>
  <c r="Y98" i="13"/>
  <c r="Y99" i="13"/>
  <c r="Y100" i="13"/>
  <c r="Y101" i="13"/>
  <c r="Y102" i="13"/>
  <c r="Y103" i="13"/>
  <c r="Y104" i="13"/>
  <c r="Y105" i="13"/>
  <c r="Y106" i="13"/>
  <c r="Y107" i="13"/>
  <c r="Y108" i="13"/>
  <c r="Y109" i="13"/>
  <c r="Y110" i="13"/>
  <c r="Y111" i="13"/>
  <c r="Y112" i="13"/>
  <c r="Y113" i="13"/>
  <c r="Y114" i="13"/>
  <c r="Y116" i="13"/>
  <c r="Y117" i="13"/>
  <c r="Y118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6" i="13"/>
  <c r="U117" i="13"/>
  <c r="U118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6" i="13"/>
  <c r="Q117" i="13"/>
  <c r="Q118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6" i="13"/>
  <c r="M117" i="13"/>
  <c r="M118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6" i="13"/>
  <c r="I117" i="13"/>
  <c r="I118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6" i="13"/>
  <c r="E117" i="13"/>
  <c r="E118" i="13"/>
  <c r="X114" i="13"/>
  <c r="T114" i="13"/>
  <c r="P114" i="13"/>
  <c r="L114" i="13"/>
  <c r="H114" i="13"/>
  <c r="D114" i="13"/>
  <c r="X113" i="13"/>
  <c r="T113" i="13"/>
  <c r="P113" i="13"/>
  <c r="L113" i="13"/>
  <c r="H113" i="13"/>
  <c r="D113" i="13"/>
  <c r="X112" i="13"/>
  <c r="T112" i="13"/>
  <c r="P112" i="13"/>
  <c r="L112" i="13"/>
  <c r="H112" i="13"/>
  <c r="D112" i="13"/>
  <c r="X111" i="13"/>
  <c r="T111" i="13"/>
  <c r="P111" i="13"/>
  <c r="L111" i="13"/>
  <c r="H111" i="13"/>
  <c r="D111" i="13"/>
  <c r="X110" i="13"/>
  <c r="T110" i="13"/>
  <c r="P110" i="13"/>
  <c r="L110" i="13"/>
  <c r="H110" i="13"/>
  <c r="D110" i="13"/>
  <c r="X109" i="13"/>
  <c r="T109" i="13"/>
  <c r="P109" i="13"/>
  <c r="L109" i="13"/>
  <c r="H109" i="13"/>
  <c r="D109" i="13"/>
  <c r="X108" i="13"/>
  <c r="T108" i="13"/>
  <c r="P108" i="13"/>
  <c r="L108" i="13"/>
  <c r="H108" i="13"/>
  <c r="D108" i="13"/>
  <c r="X107" i="13"/>
  <c r="T107" i="13"/>
  <c r="P107" i="13"/>
  <c r="L107" i="13"/>
  <c r="H107" i="13"/>
  <c r="D107" i="13"/>
  <c r="X106" i="13"/>
  <c r="T106" i="13"/>
  <c r="P106" i="13"/>
  <c r="L106" i="13"/>
  <c r="H106" i="13"/>
  <c r="D106" i="13"/>
  <c r="X105" i="13"/>
  <c r="T105" i="13"/>
  <c r="P105" i="13"/>
  <c r="L105" i="13"/>
  <c r="H105" i="13"/>
  <c r="D105" i="13"/>
  <c r="X104" i="13"/>
  <c r="T104" i="13"/>
  <c r="P104" i="13"/>
  <c r="L104" i="13"/>
  <c r="H104" i="13"/>
  <c r="D104" i="13"/>
  <c r="X103" i="13"/>
  <c r="T103" i="13"/>
  <c r="P103" i="13"/>
  <c r="L103" i="13"/>
  <c r="H103" i="13"/>
  <c r="D103" i="13"/>
  <c r="X102" i="13"/>
  <c r="T102" i="13"/>
  <c r="P102" i="13"/>
  <c r="L102" i="13"/>
  <c r="H102" i="13"/>
  <c r="D102" i="13"/>
  <c r="X101" i="13"/>
  <c r="T101" i="13"/>
  <c r="P101" i="13"/>
  <c r="L101" i="13"/>
  <c r="H101" i="13"/>
  <c r="D101" i="13"/>
  <c r="X100" i="13"/>
  <c r="T100" i="13"/>
  <c r="P100" i="13"/>
  <c r="L100" i="13"/>
  <c r="H100" i="13"/>
  <c r="D100" i="13"/>
  <c r="X99" i="13"/>
  <c r="T99" i="13"/>
  <c r="P99" i="13"/>
  <c r="L99" i="13"/>
  <c r="H99" i="13"/>
  <c r="D99" i="13"/>
  <c r="X98" i="13"/>
  <c r="T98" i="13"/>
  <c r="P98" i="13"/>
  <c r="L98" i="13"/>
  <c r="H98" i="13"/>
  <c r="D98" i="13"/>
  <c r="X97" i="13"/>
  <c r="T97" i="13"/>
  <c r="P97" i="13"/>
  <c r="L97" i="13"/>
  <c r="H97" i="13"/>
  <c r="D97" i="13"/>
  <c r="X96" i="13"/>
  <c r="T96" i="13"/>
  <c r="P96" i="13"/>
  <c r="L96" i="13"/>
  <c r="H96" i="13"/>
  <c r="D96" i="13"/>
  <c r="X95" i="13"/>
  <c r="T95" i="13"/>
  <c r="P95" i="13"/>
  <c r="L95" i="13"/>
  <c r="H95" i="13"/>
  <c r="D95" i="13"/>
  <c r="X94" i="13"/>
  <c r="T94" i="13"/>
  <c r="P94" i="13"/>
  <c r="L94" i="13"/>
  <c r="H94" i="13"/>
  <c r="D94" i="13"/>
  <c r="X93" i="13"/>
  <c r="T93" i="13"/>
  <c r="P93" i="13"/>
  <c r="L93" i="13"/>
  <c r="H93" i="13"/>
  <c r="D93" i="13"/>
  <c r="X92" i="13"/>
  <c r="T92" i="13"/>
  <c r="P92" i="13"/>
  <c r="L92" i="13"/>
  <c r="H92" i="13"/>
  <c r="D92" i="13"/>
  <c r="X91" i="13"/>
  <c r="T91" i="13"/>
  <c r="P91" i="13"/>
  <c r="L91" i="13"/>
  <c r="H91" i="13"/>
  <c r="D91" i="13"/>
  <c r="X90" i="13"/>
  <c r="T90" i="13"/>
  <c r="P90" i="13"/>
  <c r="L90" i="13"/>
  <c r="H90" i="13"/>
  <c r="D90" i="13"/>
  <c r="X89" i="13"/>
  <c r="T89" i="13"/>
  <c r="P89" i="13"/>
  <c r="L89" i="13"/>
  <c r="H89" i="13"/>
  <c r="D89" i="13"/>
  <c r="X88" i="13"/>
  <c r="T88" i="13"/>
  <c r="P88" i="13"/>
  <c r="L88" i="13"/>
  <c r="H88" i="13"/>
  <c r="D88" i="13"/>
  <c r="X87" i="13"/>
  <c r="T87" i="13"/>
  <c r="P87" i="13"/>
  <c r="L87" i="13"/>
  <c r="H87" i="13"/>
  <c r="D87" i="13"/>
  <c r="X86" i="13"/>
  <c r="T86" i="13"/>
  <c r="P86" i="13"/>
  <c r="L86" i="13"/>
  <c r="H86" i="13"/>
  <c r="D86" i="13"/>
  <c r="X85" i="13"/>
  <c r="T85" i="13"/>
  <c r="P85" i="13"/>
  <c r="L85" i="13"/>
  <c r="H85" i="13"/>
  <c r="D85" i="13"/>
  <c r="X84" i="13"/>
  <c r="T84" i="13"/>
  <c r="P84" i="13"/>
  <c r="L84" i="13"/>
  <c r="H84" i="13"/>
  <c r="D84" i="13"/>
  <c r="X83" i="13"/>
  <c r="T83" i="13"/>
  <c r="P83" i="13"/>
  <c r="L83" i="13"/>
  <c r="H83" i="13"/>
  <c r="D83" i="13"/>
  <c r="X82" i="13"/>
  <c r="T82" i="13"/>
  <c r="P82" i="13"/>
  <c r="L82" i="13"/>
  <c r="H82" i="13"/>
  <c r="D82" i="13"/>
  <c r="X81" i="13"/>
  <c r="T81" i="13"/>
  <c r="P81" i="13"/>
  <c r="L81" i="13"/>
  <c r="H81" i="13"/>
  <c r="D81" i="13"/>
  <c r="X80" i="13"/>
  <c r="T80" i="13"/>
  <c r="P80" i="13"/>
  <c r="L80" i="13"/>
  <c r="H80" i="13"/>
  <c r="D80" i="13"/>
  <c r="X79" i="13"/>
  <c r="T79" i="13"/>
  <c r="P79" i="13"/>
  <c r="L79" i="13"/>
  <c r="H79" i="13"/>
  <c r="D79" i="13"/>
  <c r="X78" i="13"/>
  <c r="T78" i="13"/>
  <c r="P78" i="13"/>
  <c r="L78" i="13"/>
  <c r="H78" i="13"/>
  <c r="D78" i="13"/>
  <c r="X77" i="13"/>
  <c r="T77" i="13"/>
  <c r="P77" i="13"/>
  <c r="L77" i="13"/>
  <c r="H77" i="13"/>
  <c r="D77" i="13"/>
  <c r="X76" i="13"/>
  <c r="T76" i="13"/>
  <c r="P76" i="13"/>
  <c r="L76" i="13"/>
  <c r="H76" i="13"/>
  <c r="D76" i="13"/>
  <c r="X75" i="13"/>
  <c r="T75" i="13"/>
  <c r="P75" i="13"/>
  <c r="L75" i="13"/>
  <c r="H75" i="13"/>
  <c r="D75" i="13"/>
  <c r="X74" i="13"/>
  <c r="T74" i="13"/>
  <c r="P74" i="13"/>
  <c r="L74" i="13"/>
  <c r="H74" i="13"/>
  <c r="D74" i="13"/>
  <c r="X73" i="13"/>
  <c r="T73" i="13"/>
  <c r="P73" i="13"/>
  <c r="L73" i="13"/>
  <c r="H73" i="13"/>
  <c r="D73" i="13"/>
  <c r="X72" i="13"/>
  <c r="T72" i="13"/>
  <c r="P72" i="13"/>
  <c r="L72" i="13"/>
  <c r="H72" i="13"/>
  <c r="D72" i="13"/>
  <c r="X71" i="13"/>
  <c r="T71" i="13"/>
  <c r="P71" i="13"/>
  <c r="L71" i="13"/>
  <c r="H71" i="13"/>
  <c r="D71" i="13"/>
  <c r="X70" i="13"/>
  <c r="T70" i="13"/>
  <c r="P70" i="13"/>
  <c r="L70" i="13"/>
  <c r="H70" i="13"/>
  <c r="D70" i="13"/>
  <c r="X69" i="13"/>
  <c r="T69" i="13"/>
  <c r="P69" i="13"/>
  <c r="L69" i="13"/>
  <c r="H69" i="13"/>
  <c r="D69" i="13"/>
  <c r="X68" i="13"/>
  <c r="T68" i="13"/>
  <c r="P68" i="13"/>
  <c r="L68" i="13"/>
  <c r="H68" i="13"/>
  <c r="D68" i="13"/>
  <c r="X67" i="13"/>
  <c r="T67" i="13"/>
  <c r="P67" i="13"/>
  <c r="L67" i="13"/>
  <c r="H67" i="13"/>
  <c r="D67" i="13"/>
  <c r="X66" i="13"/>
  <c r="T66" i="13"/>
  <c r="P66" i="13"/>
  <c r="L66" i="13"/>
  <c r="H66" i="13"/>
  <c r="D66" i="13"/>
  <c r="X65" i="13"/>
  <c r="T65" i="13"/>
  <c r="P65" i="13"/>
  <c r="L65" i="13"/>
  <c r="H65" i="13"/>
  <c r="D65" i="13"/>
  <c r="X64" i="13"/>
  <c r="T64" i="13"/>
  <c r="P64" i="13"/>
  <c r="L64" i="13"/>
  <c r="H64" i="13"/>
  <c r="D64" i="13"/>
  <c r="X63" i="13"/>
  <c r="T63" i="13"/>
  <c r="P63" i="13"/>
  <c r="L63" i="13"/>
  <c r="H63" i="13"/>
  <c r="D63" i="13"/>
  <c r="X62" i="13"/>
  <c r="T62" i="13"/>
  <c r="P62" i="13"/>
  <c r="L62" i="13"/>
  <c r="H62" i="13"/>
  <c r="D62" i="13"/>
  <c r="X61" i="13"/>
  <c r="T61" i="13"/>
  <c r="P61" i="13"/>
  <c r="L61" i="13"/>
  <c r="H61" i="13"/>
  <c r="D61" i="13"/>
  <c r="X60" i="13"/>
  <c r="T60" i="13"/>
  <c r="P60" i="13"/>
  <c r="L60" i="13"/>
  <c r="H60" i="13"/>
  <c r="D60" i="13"/>
  <c r="X59" i="13"/>
  <c r="T59" i="13"/>
  <c r="P59" i="13"/>
  <c r="L59" i="13"/>
  <c r="H59" i="13"/>
  <c r="D59" i="13"/>
  <c r="X58" i="13"/>
  <c r="T58" i="13"/>
  <c r="P58" i="13"/>
  <c r="L58" i="13"/>
  <c r="H58" i="13"/>
  <c r="D58" i="13"/>
  <c r="X57" i="13"/>
  <c r="T57" i="13"/>
  <c r="P57" i="13"/>
  <c r="L57" i="13"/>
  <c r="H57" i="13"/>
  <c r="D57" i="13"/>
  <c r="X56" i="13"/>
  <c r="T56" i="13"/>
  <c r="P56" i="13"/>
  <c r="L56" i="13"/>
  <c r="H56" i="13"/>
  <c r="D56" i="13"/>
  <c r="X55" i="13"/>
  <c r="T55" i="13"/>
  <c r="P55" i="13"/>
  <c r="L55" i="13"/>
  <c r="H55" i="13"/>
  <c r="D55" i="13"/>
  <c r="X54" i="13"/>
  <c r="T54" i="13"/>
  <c r="P54" i="13"/>
  <c r="L54" i="13"/>
  <c r="H54" i="13"/>
  <c r="D54" i="13"/>
  <c r="X53" i="13"/>
  <c r="T53" i="13"/>
  <c r="P53" i="13"/>
  <c r="L53" i="13"/>
  <c r="H53" i="13"/>
  <c r="D53" i="13"/>
  <c r="X52" i="13"/>
  <c r="T52" i="13"/>
  <c r="P52" i="13"/>
  <c r="L52" i="13"/>
  <c r="H52" i="13"/>
  <c r="D52" i="13"/>
  <c r="X51" i="13"/>
  <c r="T51" i="13"/>
  <c r="P51" i="13"/>
  <c r="L51" i="13"/>
  <c r="H51" i="13"/>
  <c r="D51" i="13"/>
  <c r="X50" i="13"/>
  <c r="T50" i="13"/>
  <c r="P50" i="13"/>
  <c r="L50" i="13"/>
  <c r="H50" i="13"/>
  <c r="D50" i="13"/>
  <c r="X49" i="13"/>
  <c r="T49" i="13"/>
  <c r="P49" i="13"/>
  <c r="L49" i="13"/>
  <c r="H49" i="13"/>
  <c r="D49" i="13"/>
  <c r="X48" i="13"/>
  <c r="T48" i="13"/>
  <c r="P48" i="13"/>
  <c r="L48" i="13"/>
  <c r="H48" i="13"/>
  <c r="D48" i="13"/>
  <c r="X47" i="13"/>
  <c r="T47" i="13"/>
  <c r="P47" i="13"/>
  <c r="L47" i="13"/>
  <c r="H47" i="13"/>
  <c r="D47" i="13"/>
  <c r="X46" i="13"/>
  <c r="T46" i="13"/>
  <c r="P46" i="13"/>
  <c r="L46" i="13"/>
  <c r="H46" i="13"/>
  <c r="D46" i="13"/>
  <c r="X45" i="13"/>
  <c r="T45" i="13"/>
  <c r="P45" i="13"/>
  <c r="L45" i="13"/>
  <c r="H45" i="13"/>
  <c r="D45" i="13"/>
  <c r="X44" i="13"/>
  <c r="T44" i="13"/>
  <c r="P44" i="13"/>
  <c r="L44" i="13"/>
  <c r="H44" i="13"/>
  <c r="D44" i="13"/>
  <c r="X43" i="13"/>
  <c r="T43" i="13"/>
  <c r="P43" i="13"/>
  <c r="L43" i="13"/>
  <c r="H43" i="13"/>
  <c r="D43" i="13"/>
  <c r="X42" i="13"/>
  <c r="T42" i="13"/>
  <c r="P42" i="13"/>
  <c r="L42" i="13"/>
  <c r="H42" i="13"/>
  <c r="D42" i="13"/>
  <c r="X41" i="13"/>
  <c r="T41" i="13"/>
  <c r="P41" i="13"/>
  <c r="L41" i="13"/>
  <c r="H41" i="13"/>
  <c r="D41" i="13"/>
  <c r="X40" i="13"/>
  <c r="T40" i="13"/>
  <c r="P40" i="13"/>
  <c r="L40" i="13"/>
  <c r="H40" i="13"/>
  <c r="D40" i="13"/>
  <c r="X39" i="13"/>
  <c r="T39" i="13"/>
  <c r="P39" i="13"/>
  <c r="L39" i="13"/>
  <c r="H39" i="13"/>
  <c r="D39" i="13"/>
  <c r="X38" i="13"/>
  <c r="T38" i="13"/>
  <c r="P38" i="13"/>
  <c r="L38" i="13"/>
  <c r="H38" i="13"/>
  <c r="D38" i="13"/>
  <c r="X37" i="13"/>
  <c r="T37" i="13"/>
  <c r="P37" i="13"/>
  <c r="L37" i="13"/>
  <c r="H37" i="13"/>
  <c r="D37" i="13"/>
  <c r="X36" i="13"/>
  <c r="T36" i="13"/>
  <c r="P36" i="13"/>
  <c r="L36" i="13"/>
  <c r="H36" i="13"/>
  <c r="D36" i="13"/>
  <c r="X35" i="13"/>
  <c r="T35" i="13"/>
  <c r="P35" i="13"/>
  <c r="L35" i="13"/>
  <c r="H35" i="13"/>
  <c r="D35" i="13"/>
  <c r="X34" i="13"/>
  <c r="T34" i="13"/>
  <c r="P34" i="13"/>
  <c r="L34" i="13"/>
  <c r="H34" i="13"/>
  <c r="D34" i="13"/>
  <c r="X33" i="13"/>
  <c r="T33" i="13"/>
  <c r="P33" i="13"/>
  <c r="L33" i="13"/>
  <c r="H33" i="13"/>
  <c r="D33" i="13"/>
  <c r="X32" i="13"/>
  <c r="T32" i="13"/>
  <c r="P32" i="13"/>
  <c r="L32" i="13"/>
  <c r="H32" i="13"/>
  <c r="D32" i="13"/>
  <c r="X31" i="13"/>
  <c r="T31" i="13"/>
  <c r="P31" i="13"/>
  <c r="L31" i="13"/>
  <c r="H31" i="13"/>
  <c r="D31" i="13"/>
  <c r="X30" i="13"/>
  <c r="T30" i="13"/>
  <c r="P30" i="13"/>
  <c r="L30" i="13"/>
  <c r="H30" i="13"/>
  <c r="D30" i="13"/>
  <c r="X29" i="13"/>
  <c r="T29" i="13"/>
  <c r="P29" i="13"/>
  <c r="L29" i="13"/>
  <c r="H29" i="13"/>
  <c r="D29" i="13"/>
  <c r="X28" i="13"/>
  <c r="T28" i="13"/>
  <c r="P28" i="13"/>
  <c r="L28" i="13"/>
  <c r="H28" i="13"/>
  <c r="D28" i="13"/>
  <c r="X27" i="13"/>
  <c r="T27" i="13"/>
  <c r="P27" i="13"/>
  <c r="L27" i="13"/>
  <c r="H27" i="13"/>
  <c r="D27" i="13"/>
  <c r="X26" i="13"/>
  <c r="T26" i="13"/>
  <c r="P26" i="13"/>
  <c r="L26" i="13"/>
  <c r="H26" i="13"/>
  <c r="D26" i="13"/>
  <c r="X25" i="13"/>
  <c r="T25" i="13"/>
  <c r="P25" i="13"/>
  <c r="L25" i="13"/>
  <c r="H25" i="13"/>
  <c r="D25" i="13"/>
  <c r="X24" i="13"/>
  <c r="T24" i="13"/>
  <c r="P24" i="13"/>
  <c r="L24" i="13"/>
  <c r="H24" i="13"/>
  <c r="D24" i="13"/>
  <c r="X23" i="13"/>
  <c r="T23" i="13"/>
  <c r="P23" i="13"/>
  <c r="L23" i="13"/>
  <c r="H23" i="13"/>
  <c r="D23" i="13"/>
  <c r="X22" i="13"/>
  <c r="T22" i="13"/>
  <c r="P22" i="13"/>
  <c r="L22" i="13"/>
  <c r="H22" i="13"/>
  <c r="D22" i="13"/>
  <c r="X21" i="13"/>
  <c r="T21" i="13"/>
  <c r="P21" i="13"/>
  <c r="L21" i="13"/>
  <c r="H21" i="13"/>
  <c r="D21" i="13"/>
  <c r="X20" i="13"/>
  <c r="T20" i="13"/>
  <c r="P20" i="13"/>
  <c r="L20" i="13"/>
  <c r="H20" i="13"/>
  <c r="D20" i="13"/>
  <c r="X19" i="13"/>
  <c r="T19" i="13"/>
  <c r="P19" i="13"/>
  <c r="L19" i="13"/>
  <c r="H19" i="13"/>
  <c r="D19" i="13"/>
  <c r="X18" i="13"/>
  <c r="T18" i="13"/>
  <c r="P18" i="13"/>
  <c r="L18" i="13"/>
  <c r="H18" i="13"/>
  <c r="D18" i="13"/>
  <c r="X17" i="13"/>
  <c r="T17" i="13"/>
  <c r="P17" i="13"/>
  <c r="L17" i="13"/>
  <c r="H17" i="13"/>
  <c r="D17" i="13"/>
  <c r="X16" i="13"/>
  <c r="T16" i="13"/>
  <c r="P16" i="13"/>
  <c r="L16" i="13"/>
  <c r="H16" i="13"/>
  <c r="D16" i="13"/>
  <c r="X15" i="13"/>
  <c r="T15" i="13"/>
  <c r="P15" i="13"/>
  <c r="L15" i="13"/>
  <c r="H15" i="13"/>
  <c r="D15" i="13"/>
  <c r="X14" i="13"/>
  <c r="T14" i="13"/>
  <c r="P14" i="13"/>
  <c r="L14" i="13"/>
  <c r="H14" i="13"/>
  <c r="D14" i="13"/>
  <c r="X13" i="13"/>
  <c r="T13" i="13"/>
  <c r="P13" i="13"/>
  <c r="L13" i="13"/>
  <c r="H13" i="13"/>
  <c r="D13" i="13"/>
  <c r="X12" i="13"/>
  <c r="T12" i="13"/>
  <c r="P12" i="13"/>
  <c r="L12" i="13"/>
  <c r="H12" i="13"/>
  <c r="D12" i="13"/>
  <c r="X11" i="13"/>
  <c r="T11" i="13"/>
  <c r="P11" i="13"/>
  <c r="L11" i="13"/>
  <c r="H11" i="13"/>
  <c r="D11" i="13"/>
  <c r="X10" i="13"/>
  <c r="T10" i="13"/>
  <c r="P10" i="13"/>
  <c r="L10" i="13"/>
  <c r="H10" i="13"/>
  <c r="D10" i="13"/>
  <c r="X9" i="13"/>
  <c r="T9" i="13"/>
  <c r="P9" i="13"/>
  <c r="L9" i="13"/>
  <c r="H9" i="13"/>
  <c r="D9" i="13"/>
  <c r="X8" i="13"/>
  <c r="T8" i="13"/>
  <c r="P8" i="13"/>
  <c r="L8" i="13"/>
  <c r="H8" i="13"/>
  <c r="D8" i="13"/>
  <c r="X7" i="13"/>
  <c r="T7" i="13"/>
  <c r="P7" i="13"/>
  <c r="L7" i="13"/>
  <c r="H7" i="13"/>
  <c r="D7" i="13"/>
  <c r="X6" i="13"/>
  <c r="T6" i="13"/>
  <c r="P6" i="13"/>
  <c r="L6" i="13"/>
  <c r="H6" i="13"/>
  <c r="D6" i="13"/>
  <c r="X5" i="13"/>
  <c r="T5" i="13"/>
  <c r="P5" i="13"/>
  <c r="L5" i="13"/>
  <c r="H5" i="13"/>
  <c r="D5" i="13"/>
  <c r="X4" i="13"/>
  <c r="T4" i="13"/>
  <c r="P4" i="13"/>
  <c r="L4" i="13"/>
  <c r="H4" i="13"/>
  <c r="D4" i="13"/>
  <c r="X3" i="13"/>
  <c r="T3" i="13"/>
  <c r="P3" i="13"/>
  <c r="L3" i="13"/>
  <c r="H3" i="13"/>
  <c r="D3" i="13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6" i="12"/>
  <c r="Y117" i="12"/>
  <c r="Y118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6" i="12"/>
  <c r="U117" i="12"/>
  <c r="U118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6" i="12"/>
  <c r="Q117" i="12"/>
  <c r="Q118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6" i="12"/>
  <c r="M117" i="12"/>
  <c r="M118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6" i="12"/>
  <c r="I117" i="12"/>
  <c r="I118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6" i="12"/>
  <c r="E117" i="12"/>
  <c r="E118" i="12"/>
  <c r="X114" i="12"/>
  <c r="T114" i="12"/>
  <c r="P114" i="12"/>
  <c r="L114" i="12"/>
  <c r="H114" i="12"/>
  <c r="D114" i="12"/>
  <c r="X113" i="12"/>
  <c r="T113" i="12"/>
  <c r="P113" i="12"/>
  <c r="L113" i="12"/>
  <c r="H113" i="12"/>
  <c r="D113" i="12"/>
  <c r="X112" i="12"/>
  <c r="T112" i="12"/>
  <c r="P112" i="12"/>
  <c r="L112" i="12"/>
  <c r="H112" i="12"/>
  <c r="D112" i="12"/>
  <c r="X111" i="12"/>
  <c r="T111" i="12"/>
  <c r="P111" i="12"/>
  <c r="L111" i="12"/>
  <c r="H111" i="12"/>
  <c r="D111" i="12"/>
  <c r="X110" i="12"/>
  <c r="T110" i="12"/>
  <c r="P110" i="12"/>
  <c r="L110" i="12"/>
  <c r="H110" i="12"/>
  <c r="D110" i="12"/>
  <c r="X109" i="12"/>
  <c r="T109" i="12"/>
  <c r="P109" i="12"/>
  <c r="L109" i="12"/>
  <c r="H109" i="12"/>
  <c r="D109" i="12"/>
  <c r="X108" i="12"/>
  <c r="T108" i="12"/>
  <c r="P108" i="12"/>
  <c r="L108" i="12"/>
  <c r="H108" i="12"/>
  <c r="D108" i="12"/>
  <c r="X107" i="12"/>
  <c r="T107" i="12"/>
  <c r="P107" i="12"/>
  <c r="L107" i="12"/>
  <c r="H107" i="12"/>
  <c r="D107" i="12"/>
  <c r="X106" i="12"/>
  <c r="T106" i="12"/>
  <c r="P106" i="12"/>
  <c r="L106" i="12"/>
  <c r="H106" i="12"/>
  <c r="D106" i="12"/>
  <c r="X105" i="12"/>
  <c r="T105" i="12"/>
  <c r="P105" i="12"/>
  <c r="L105" i="12"/>
  <c r="H105" i="12"/>
  <c r="D105" i="12"/>
  <c r="X104" i="12"/>
  <c r="T104" i="12"/>
  <c r="P104" i="12"/>
  <c r="L104" i="12"/>
  <c r="H104" i="12"/>
  <c r="D104" i="12"/>
  <c r="X103" i="12"/>
  <c r="T103" i="12"/>
  <c r="P103" i="12"/>
  <c r="L103" i="12"/>
  <c r="H103" i="12"/>
  <c r="D103" i="12"/>
  <c r="X102" i="12"/>
  <c r="T102" i="12"/>
  <c r="P102" i="12"/>
  <c r="L102" i="12"/>
  <c r="H102" i="12"/>
  <c r="D102" i="12"/>
  <c r="X101" i="12"/>
  <c r="T101" i="12"/>
  <c r="P101" i="12"/>
  <c r="L101" i="12"/>
  <c r="H101" i="12"/>
  <c r="D101" i="12"/>
  <c r="X100" i="12"/>
  <c r="T100" i="12"/>
  <c r="P100" i="12"/>
  <c r="L100" i="12"/>
  <c r="H100" i="12"/>
  <c r="D100" i="12"/>
  <c r="X99" i="12"/>
  <c r="T99" i="12"/>
  <c r="P99" i="12"/>
  <c r="L99" i="12"/>
  <c r="H99" i="12"/>
  <c r="D99" i="12"/>
  <c r="X98" i="12"/>
  <c r="T98" i="12"/>
  <c r="P98" i="12"/>
  <c r="L98" i="12"/>
  <c r="H98" i="12"/>
  <c r="D98" i="12"/>
  <c r="X97" i="12"/>
  <c r="T97" i="12"/>
  <c r="P97" i="12"/>
  <c r="L97" i="12"/>
  <c r="H97" i="12"/>
  <c r="D97" i="12"/>
  <c r="X96" i="12"/>
  <c r="T96" i="12"/>
  <c r="P96" i="12"/>
  <c r="L96" i="12"/>
  <c r="H96" i="12"/>
  <c r="D96" i="12"/>
  <c r="X95" i="12"/>
  <c r="T95" i="12"/>
  <c r="P95" i="12"/>
  <c r="L95" i="12"/>
  <c r="H95" i="12"/>
  <c r="D95" i="12"/>
  <c r="X94" i="12"/>
  <c r="T94" i="12"/>
  <c r="P94" i="12"/>
  <c r="L94" i="12"/>
  <c r="H94" i="12"/>
  <c r="D94" i="12"/>
  <c r="X93" i="12"/>
  <c r="T93" i="12"/>
  <c r="P93" i="12"/>
  <c r="L93" i="12"/>
  <c r="H93" i="12"/>
  <c r="D93" i="12"/>
  <c r="X92" i="12"/>
  <c r="T92" i="12"/>
  <c r="P92" i="12"/>
  <c r="L92" i="12"/>
  <c r="H92" i="12"/>
  <c r="D92" i="12"/>
  <c r="X91" i="12"/>
  <c r="T91" i="12"/>
  <c r="P91" i="12"/>
  <c r="L91" i="12"/>
  <c r="H91" i="12"/>
  <c r="D91" i="12"/>
  <c r="X90" i="12"/>
  <c r="T90" i="12"/>
  <c r="P90" i="12"/>
  <c r="L90" i="12"/>
  <c r="H90" i="12"/>
  <c r="D90" i="12"/>
  <c r="X89" i="12"/>
  <c r="T89" i="12"/>
  <c r="P89" i="12"/>
  <c r="L89" i="12"/>
  <c r="H89" i="12"/>
  <c r="D89" i="12"/>
  <c r="X88" i="12"/>
  <c r="T88" i="12"/>
  <c r="P88" i="12"/>
  <c r="L88" i="12"/>
  <c r="H88" i="12"/>
  <c r="D88" i="12"/>
  <c r="X87" i="12"/>
  <c r="T87" i="12"/>
  <c r="P87" i="12"/>
  <c r="L87" i="12"/>
  <c r="H87" i="12"/>
  <c r="D87" i="12"/>
  <c r="X86" i="12"/>
  <c r="T86" i="12"/>
  <c r="P86" i="12"/>
  <c r="L86" i="12"/>
  <c r="H86" i="12"/>
  <c r="D86" i="12"/>
  <c r="X85" i="12"/>
  <c r="T85" i="12"/>
  <c r="P85" i="12"/>
  <c r="L85" i="12"/>
  <c r="H85" i="12"/>
  <c r="D85" i="12"/>
  <c r="X84" i="12"/>
  <c r="T84" i="12"/>
  <c r="P84" i="12"/>
  <c r="L84" i="12"/>
  <c r="H84" i="12"/>
  <c r="D84" i="12"/>
  <c r="X83" i="12"/>
  <c r="T83" i="12"/>
  <c r="P83" i="12"/>
  <c r="L83" i="12"/>
  <c r="H83" i="12"/>
  <c r="D83" i="12"/>
  <c r="X82" i="12"/>
  <c r="T82" i="12"/>
  <c r="P82" i="12"/>
  <c r="L82" i="12"/>
  <c r="H82" i="12"/>
  <c r="D82" i="12"/>
  <c r="X81" i="12"/>
  <c r="T81" i="12"/>
  <c r="P81" i="12"/>
  <c r="L81" i="12"/>
  <c r="H81" i="12"/>
  <c r="D81" i="12"/>
  <c r="X80" i="12"/>
  <c r="T80" i="12"/>
  <c r="P80" i="12"/>
  <c r="L80" i="12"/>
  <c r="H80" i="12"/>
  <c r="D80" i="12"/>
  <c r="X79" i="12"/>
  <c r="T79" i="12"/>
  <c r="P79" i="12"/>
  <c r="L79" i="12"/>
  <c r="H79" i="12"/>
  <c r="D79" i="12"/>
  <c r="X78" i="12"/>
  <c r="T78" i="12"/>
  <c r="P78" i="12"/>
  <c r="L78" i="12"/>
  <c r="H78" i="12"/>
  <c r="D78" i="12"/>
  <c r="X77" i="12"/>
  <c r="T77" i="12"/>
  <c r="P77" i="12"/>
  <c r="L77" i="12"/>
  <c r="H77" i="12"/>
  <c r="D77" i="12"/>
  <c r="X76" i="12"/>
  <c r="T76" i="12"/>
  <c r="P76" i="12"/>
  <c r="L76" i="12"/>
  <c r="H76" i="12"/>
  <c r="D76" i="12"/>
  <c r="X75" i="12"/>
  <c r="T75" i="12"/>
  <c r="P75" i="12"/>
  <c r="L75" i="12"/>
  <c r="H75" i="12"/>
  <c r="D75" i="12"/>
  <c r="X74" i="12"/>
  <c r="T74" i="12"/>
  <c r="P74" i="12"/>
  <c r="L74" i="12"/>
  <c r="H74" i="12"/>
  <c r="D74" i="12"/>
  <c r="X73" i="12"/>
  <c r="T73" i="12"/>
  <c r="P73" i="12"/>
  <c r="L73" i="12"/>
  <c r="H73" i="12"/>
  <c r="D73" i="12"/>
  <c r="X72" i="12"/>
  <c r="T72" i="12"/>
  <c r="P72" i="12"/>
  <c r="L72" i="12"/>
  <c r="H72" i="12"/>
  <c r="D72" i="12"/>
  <c r="X71" i="12"/>
  <c r="T71" i="12"/>
  <c r="P71" i="12"/>
  <c r="L71" i="12"/>
  <c r="H71" i="12"/>
  <c r="D71" i="12"/>
  <c r="X70" i="12"/>
  <c r="T70" i="12"/>
  <c r="P70" i="12"/>
  <c r="L70" i="12"/>
  <c r="H70" i="12"/>
  <c r="D70" i="12"/>
  <c r="X69" i="12"/>
  <c r="T69" i="12"/>
  <c r="P69" i="12"/>
  <c r="L69" i="12"/>
  <c r="H69" i="12"/>
  <c r="D69" i="12"/>
  <c r="X68" i="12"/>
  <c r="T68" i="12"/>
  <c r="P68" i="12"/>
  <c r="L68" i="12"/>
  <c r="H68" i="12"/>
  <c r="D68" i="12"/>
  <c r="X67" i="12"/>
  <c r="T67" i="12"/>
  <c r="P67" i="12"/>
  <c r="L67" i="12"/>
  <c r="H67" i="12"/>
  <c r="D67" i="12"/>
  <c r="X66" i="12"/>
  <c r="T66" i="12"/>
  <c r="P66" i="12"/>
  <c r="L66" i="12"/>
  <c r="H66" i="12"/>
  <c r="D66" i="12"/>
  <c r="X65" i="12"/>
  <c r="T65" i="12"/>
  <c r="P65" i="12"/>
  <c r="L65" i="12"/>
  <c r="H65" i="12"/>
  <c r="D65" i="12"/>
  <c r="X64" i="12"/>
  <c r="T64" i="12"/>
  <c r="P64" i="12"/>
  <c r="L64" i="12"/>
  <c r="H64" i="12"/>
  <c r="D64" i="12"/>
  <c r="X63" i="12"/>
  <c r="T63" i="12"/>
  <c r="P63" i="12"/>
  <c r="L63" i="12"/>
  <c r="H63" i="12"/>
  <c r="D63" i="12"/>
  <c r="X62" i="12"/>
  <c r="T62" i="12"/>
  <c r="P62" i="12"/>
  <c r="L62" i="12"/>
  <c r="H62" i="12"/>
  <c r="D62" i="12"/>
  <c r="X61" i="12"/>
  <c r="T61" i="12"/>
  <c r="P61" i="12"/>
  <c r="L61" i="12"/>
  <c r="H61" i="12"/>
  <c r="D61" i="12"/>
  <c r="X60" i="12"/>
  <c r="T60" i="12"/>
  <c r="P60" i="12"/>
  <c r="L60" i="12"/>
  <c r="H60" i="12"/>
  <c r="D60" i="12"/>
  <c r="X59" i="12"/>
  <c r="T59" i="12"/>
  <c r="P59" i="12"/>
  <c r="L59" i="12"/>
  <c r="H59" i="12"/>
  <c r="D59" i="12"/>
  <c r="X58" i="12"/>
  <c r="T58" i="12"/>
  <c r="P58" i="12"/>
  <c r="L58" i="12"/>
  <c r="H58" i="12"/>
  <c r="D58" i="12"/>
  <c r="X57" i="12"/>
  <c r="T57" i="12"/>
  <c r="P57" i="12"/>
  <c r="L57" i="12"/>
  <c r="H57" i="12"/>
  <c r="D57" i="12"/>
  <c r="X56" i="12"/>
  <c r="T56" i="12"/>
  <c r="P56" i="12"/>
  <c r="L56" i="12"/>
  <c r="H56" i="12"/>
  <c r="D56" i="12"/>
  <c r="X55" i="12"/>
  <c r="T55" i="12"/>
  <c r="P55" i="12"/>
  <c r="L55" i="12"/>
  <c r="H55" i="12"/>
  <c r="D55" i="12"/>
  <c r="X54" i="12"/>
  <c r="T54" i="12"/>
  <c r="P54" i="12"/>
  <c r="L54" i="12"/>
  <c r="H54" i="12"/>
  <c r="D54" i="12"/>
  <c r="X53" i="12"/>
  <c r="T53" i="12"/>
  <c r="P53" i="12"/>
  <c r="L53" i="12"/>
  <c r="H53" i="12"/>
  <c r="D53" i="12"/>
  <c r="X52" i="12"/>
  <c r="T52" i="12"/>
  <c r="P52" i="12"/>
  <c r="L52" i="12"/>
  <c r="H52" i="12"/>
  <c r="D52" i="12"/>
  <c r="X51" i="12"/>
  <c r="T51" i="12"/>
  <c r="P51" i="12"/>
  <c r="L51" i="12"/>
  <c r="H51" i="12"/>
  <c r="D51" i="12"/>
  <c r="X50" i="12"/>
  <c r="T50" i="12"/>
  <c r="P50" i="12"/>
  <c r="L50" i="12"/>
  <c r="H50" i="12"/>
  <c r="D50" i="12"/>
  <c r="X49" i="12"/>
  <c r="T49" i="12"/>
  <c r="P49" i="12"/>
  <c r="L49" i="12"/>
  <c r="H49" i="12"/>
  <c r="D49" i="12"/>
  <c r="X48" i="12"/>
  <c r="T48" i="12"/>
  <c r="P48" i="12"/>
  <c r="L48" i="12"/>
  <c r="H48" i="12"/>
  <c r="D48" i="12"/>
  <c r="X47" i="12"/>
  <c r="T47" i="12"/>
  <c r="P47" i="12"/>
  <c r="L47" i="12"/>
  <c r="H47" i="12"/>
  <c r="D47" i="12"/>
  <c r="X46" i="12"/>
  <c r="T46" i="12"/>
  <c r="P46" i="12"/>
  <c r="L46" i="12"/>
  <c r="H46" i="12"/>
  <c r="D46" i="12"/>
  <c r="X45" i="12"/>
  <c r="T45" i="12"/>
  <c r="P45" i="12"/>
  <c r="L45" i="12"/>
  <c r="H45" i="12"/>
  <c r="D45" i="12"/>
  <c r="X44" i="12"/>
  <c r="T44" i="12"/>
  <c r="P44" i="12"/>
  <c r="L44" i="12"/>
  <c r="H44" i="12"/>
  <c r="D44" i="12"/>
  <c r="X43" i="12"/>
  <c r="T43" i="12"/>
  <c r="P43" i="12"/>
  <c r="L43" i="12"/>
  <c r="H43" i="12"/>
  <c r="D43" i="12"/>
  <c r="X42" i="12"/>
  <c r="T42" i="12"/>
  <c r="P42" i="12"/>
  <c r="L42" i="12"/>
  <c r="H42" i="12"/>
  <c r="D42" i="12"/>
  <c r="X41" i="12"/>
  <c r="T41" i="12"/>
  <c r="P41" i="12"/>
  <c r="L41" i="12"/>
  <c r="H41" i="12"/>
  <c r="D41" i="12"/>
  <c r="X40" i="12"/>
  <c r="T40" i="12"/>
  <c r="P40" i="12"/>
  <c r="L40" i="12"/>
  <c r="H40" i="12"/>
  <c r="D40" i="12"/>
  <c r="X39" i="12"/>
  <c r="T39" i="12"/>
  <c r="P39" i="12"/>
  <c r="L39" i="12"/>
  <c r="H39" i="12"/>
  <c r="D39" i="12"/>
  <c r="X38" i="12"/>
  <c r="T38" i="12"/>
  <c r="P38" i="12"/>
  <c r="L38" i="12"/>
  <c r="H38" i="12"/>
  <c r="D38" i="12"/>
  <c r="X37" i="12"/>
  <c r="T37" i="12"/>
  <c r="P37" i="12"/>
  <c r="L37" i="12"/>
  <c r="H37" i="12"/>
  <c r="D37" i="12"/>
  <c r="X36" i="12"/>
  <c r="T36" i="12"/>
  <c r="P36" i="12"/>
  <c r="L36" i="12"/>
  <c r="H36" i="12"/>
  <c r="D36" i="12"/>
  <c r="X35" i="12"/>
  <c r="T35" i="12"/>
  <c r="P35" i="12"/>
  <c r="L35" i="12"/>
  <c r="H35" i="12"/>
  <c r="D35" i="12"/>
  <c r="X34" i="12"/>
  <c r="T34" i="12"/>
  <c r="P34" i="12"/>
  <c r="L34" i="12"/>
  <c r="H34" i="12"/>
  <c r="D34" i="12"/>
  <c r="X33" i="12"/>
  <c r="T33" i="12"/>
  <c r="P33" i="12"/>
  <c r="L33" i="12"/>
  <c r="H33" i="12"/>
  <c r="D33" i="12"/>
  <c r="X32" i="12"/>
  <c r="T32" i="12"/>
  <c r="P32" i="12"/>
  <c r="L32" i="12"/>
  <c r="H32" i="12"/>
  <c r="D32" i="12"/>
  <c r="X31" i="12"/>
  <c r="T31" i="12"/>
  <c r="P31" i="12"/>
  <c r="L31" i="12"/>
  <c r="H31" i="12"/>
  <c r="D31" i="12"/>
  <c r="X30" i="12"/>
  <c r="T30" i="12"/>
  <c r="P30" i="12"/>
  <c r="L30" i="12"/>
  <c r="H30" i="12"/>
  <c r="D30" i="12"/>
  <c r="X29" i="12"/>
  <c r="T29" i="12"/>
  <c r="P29" i="12"/>
  <c r="L29" i="12"/>
  <c r="H29" i="12"/>
  <c r="D29" i="12"/>
  <c r="X28" i="12"/>
  <c r="T28" i="12"/>
  <c r="P28" i="12"/>
  <c r="L28" i="12"/>
  <c r="H28" i="12"/>
  <c r="D28" i="12"/>
  <c r="X27" i="12"/>
  <c r="T27" i="12"/>
  <c r="P27" i="12"/>
  <c r="L27" i="12"/>
  <c r="H27" i="12"/>
  <c r="D27" i="12"/>
  <c r="X26" i="12"/>
  <c r="T26" i="12"/>
  <c r="P26" i="12"/>
  <c r="L26" i="12"/>
  <c r="H26" i="12"/>
  <c r="D26" i="12"/>
  <c r="X25" i="12"/>
  <c r="T25" i="12"/>
  <c r="P25" i="12"/>
  <c r="L25" i="12"/>
  <c r="H25" i="12"/>
  <c r="D25" i="12"/>
  <c r="X24" i="12"/>
  <c r="T24" i="12"/>
  <c r="P24" i="12"/>
  <c r="L24" i="12"/>
  <c r="H24" i="12"/>
  <c r="D24" i="12"/>
  <c r="X23" i="12"/>
  <c r="T23" i="12"/>
  <c r="P23" i="12"/>
  <c r="L23" i="12"/>
  <c r="H23" i="12"/>
  <c r="D23" i="12"/>
  <c r="X22" i="12"/>
  <c r="T22" i="12"/>
  <c r="P22" i="12"/>
  <c r="L22" i="12"/>
  <c r="H22" i="12"/>
  <c r="D22" i="12"/>
  <c r="X21" i="12"/>
  <c r="T21" i="12"/>
  <c r="P21" i="12"/>
  <c r="L21" i="12"/>
  <c r="H21" i="12"/>
  <c r="D21" i="12"/>
  <c r="X20" i="12"/>
  <c r="T20" i="12"/>
  <c r="P20" i="12"/>
  <c r="L20" i="12"/>
  <c r="H20" i="12"/>
  <c r="D20" i="12"/>
  <c r="X19" i="12"/>
  <c r="T19" i="12"/>
  <c r="P19" i="12"/>
  <c r="L19" i="12"/>
  <c r="H19" i="12"/>
  <c r="D19" i="12"/>
  <c r="X18" i="12"/>
  <c r="T18" i="12"/>
  <c r="P18" i="12"/>
  <c r="L18" i="12"/>
  <c r="H18" i="12"/>
  <c r="D18" i="12"/>
  <c r="X17" i="12"/>
  <c r="T17" i="12"/>
  <c r="P17" i="12"/>
  <c r="L17" i="12"/>
  <c r="H17" i="12"/>
  <c r="D17" i="12"/>
  <c r="X16" i="12"/>
  <c r="T16" i="12"/>
  <c r="P16" i="12"/>
  <c r="L16" i="12"/>
  <c r="H16" i="12"/>
  <c r="D16" i="12"/>
  <c r="X15" i="12"/>
  <c r="T15" i="12"/>
  <c r="P15" i="12"/>
  <c r="L15" i="12"/>
  <c r="H15" i="12"/>
  <c r="D15" i="12"/>
  <c r="X14" i="12"/>
  <c r="T14" i="12"/>
  <c r="P14" i="12"/>
  <c r="L14" i="12"/>
  <c r="H14" i="12"/>
  <c r="D14" i="12"/>
  <c r="X13" i="12"/>
  <c r="T13" i="12"/>
  <c r="P13" i="12"/>
  <c r="L13" i="12"/>
  <c r="H13" i="12"/>
  <c r="D13" i="12"/>
  <c r="X12" i="12"/>
  <c r="T12" i="12"/>
  <c r="P12" i="12"/>
  <c r="L12" i="12"/>
  <c r="H12" i="12"/>
  <c r="D12" i="12"/>
  <c r="X11" i="12"/>
  <c r="T11" i="12"/>
  <c r="P11" i="12"/>
  <c r="L11" i="12"/>
  <c r="H11" i="12"/>
  <c r="D11" i="12"/>
  <c r="X10" i="12"/>
  <c r="T10" i="12"/>
  <c r="P10" i="12"/>
  <c r="L10" i="12"/>
  <c r="H10" i="12"/>
  <c r="D10" i="12"/>
  <c r="X9" i="12"/>
  <c r="T9" i="12"/>
  <c r="P9" i="12"/>
  <c r="L9" i="12"/>
  <c r="H9" i="12"/>
  <c r="D9" i="12"/>
  <c r="X8" i="12"/>
  <c r="T8" i="12"/>
  <c r="P8" i="12"/>
  <c r="L8" i="12"/>
  <c r="H8" i="12"/>
  <c r="D8" i="12"/>
  <c r="X7" i="12"/>
  <c r="T7" i="12"/>
  <c r="P7" i="12"/>
  <c r="L7" i="12"/>
  <c r="H7" i="12"/>
  <c r="D7" i="12"/>
  <c r="X6" i="12"/>
  <c r="T6" i="12"/>
  <c r="P6" i="12"/>
  <c r="L6" i="12"/>
  <c r="H6" i="12"/>
  <c r="D6" i="12"/>
  <c r="X5" i="12"/>
  <c r="T5" i="12"/>
  <c r="P5" i="12"/>
  <c r="L5" i="12"/>
  <c r="H5" i="12"/>
  <c r="D5" i="12"/>
  <c r="X4" i="12"/>
  <c r="T4" i="12"/>
  <c r="P4" i="12"/>
  <c r="L4" i="12"/>
  <c r="H4" i="12"/>
  <c r="D4" i="12"/>
  <c r="X3" i="12"/>
  <c r="T3" i="12"/>
  <c r="P3" i="12"/>
  <c r="L3" i="12"/>
  <c r="H3" i="12"/>
  <c r="D3" i="12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6" i="11"/>
  <c r="Y117" i="11"/>
  <c r="Y118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6" i="11"/>
  <c r="U117" i="11"/>
  <c r="U118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6" i="11"/>
  <c r="Q117" i="11"/>
  <c r="Q118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6" i="11"/>
  <c r="M117" i="11"/>
  <c r="M118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6" i="11"/>
  <c r="I117" i="11"/>
  <c r="I118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6" i="11"/>
  <c r="E117" i="11"/>
  <c r="E118" i="11"/>
  <c r="X114" i="11"/>
  <c r="T114" i="11"/>
  <c r="P114" i="11"/>
  <c r="L114" i="11"/>
  <c r="H114" i="11"/>
  <c r="D114" i="11"/>
  <c r="X113" i="11"/>
  <c r="T113" i="11"/>
  <c r="P113" i="11"/>
  <c r="L113" i="11"/>
  <c r="H113" i="11"/>
  <c r="D113" i="11"/>
  <c r="X112" i="11"/>
  <c r="T112" i="11"/>
  <c r="P112" i="11"/>
  <c r="L112" i="11"/>
  <c r="H112" i="11"/>
  <c r="D112" i="11"/>
  <c r="X111" i="11"/>
  <c r="T111" i="11"/>
  <c r="P111" i="11"/>
  <c r="L111" i="11"/>
  <c r="H111" i="11"/>
  <c r="D111" i="11"/>
  <c r="X110" i="11"/>
  <c r="T110" i="11"/>
  <c r="P110" i="11"/>
  <c r="L110" i="11"/>
  <c r="H110" i="11"/>
  <c r="D110" i="11"/>
  <c r="X109" i="11"/>
  <c r="T109" i="11"/>
  <c r="P109" i="11"/>
  <c r="L109" i="11"/>
  <c r="H109" i="11"/>
  <c r="D109" i="11"/>
  <c r="X108" i="11"/>
  <c r="T108" i="11"/>
  <c r="P108" i="11"/>
  <c r="L108" i="11"/>
  <c r="H108" i="11"/>
  <c r="D108" i="11"/>
  <c r="X107" i="11"/>
  <c r="T107" i="11"/>
  <c r="P107" i="11"/>
  <c r="L107" i="11"/>
  <c r="H107" i="11"/>
  <c r="D107" i="11"/>
  <c r="X106" i="11"/>
  <c r="T106" i="11"/>
  <c r="P106" i="11"/>
  <c r="L106" i="11"/>
  <c r="H106" i="11"/>
  <c r="D106" i="11"/>
  <c r="X105" i="11"/>
  <c r="T105" i="11"/>
  <c r="P105" i="11"/>
  <c r="L105" i="11"/>
  <c r="H105" i="11"/>
  <c r="D105" i="11"/>
  <c r="X104" i="11"/>
  <c r="T104" i="11"/>
  <c r="P104" i="11"/>
  <c r="L104" i="11"/>
  <c r="H104" i="11"/>
  <c r="D104" i="11"/>
  <c r="X103" i="11"/>
  <c r="T103" i="11"/>
  <c r="P103" i="11"/>
  <c r="L103" i="11"/>
  <c r="H103" i="11"/>
  <c r="D103" i="11"/>
  <c r="X102" i="11"/>
  <c r="T102" i="11"/>
  <c r="P102" i="11"/>
  <c r="L102" i="11"/>
  <c r="H102" i="11"/>
  <c r="D102" i="11"/>
  <c r="X101" i="11"/>
  <c r="T101" i="11"/>
  <c r="P101" i="11"/>
  <c r="L101" i="11"/>
  <c r="H101" i="11"/>
  <c r="D101" i="11"/>
  <c r="X100" i="11"/>
  <c r="T100" i="11"/>
  <c r="P100" i="11"/>
  <c r="L100" i="11"/>
  <c r="H100" i="11"/>
  <c r="D100" i="11"/>
  <c r="X99" i="11"/>
  <c r="T99" i="11"/>
  <c r="P99" i="11"/>
  <c r="L99" i="11"/>
  <c r="H99" i="11"/>
  <c r="D99" i="11"/>
  <c r="X98" i="11"/>
  <c r="T98" i="11"/>
  <c r="P98" i="11"/>
  <c r="L98" i="11"/>
  <c r="H98" i="11"/>
  <c r="D98" i="11"/>
  <c r="X97" i="11"/>
  <c r="T97" i="11"/>
  <c r="P97" i="11"/>
  <c r="L97" i="11"/>
  <c r="H97" i="11"/>
  <c r="D97" i="11"/>
  <c r="X96" i="11"/>
  <c r="T96" i="11"/>
  <c r="P96" i="11"/>
  <c r="L96" i="11"/>
  <c r="H96" i="11"/>
  <c r="D96" i="11"/>
  <c r="X95" i="11"/>
  <c r="T95" i="11"/>
  <c r="P95" i="11"/>
  <c r="L95" i="11"/>
  <c r="H95" i="11"/>
  <c r="D95" i="11"/>
  <c r="X94" i="11"/>
  <c r="T94" i="11"/>
  <c r="P94" i="11"/>
  <c r="L94" i="11"/>
  <c r="H94" i="11"/>
  <c r="D94" i="11"/>
  <c r="X93" i="11"/>
  <c r="T93" i="11"/>
  <c r="P93" i="11"/>
  <c r="L93" i="11"/>
  <c r="H93" i="11"/>
  <c r="D93" i="11"/>
  <c r="X92" i="11"/>
  <c r="T92" i="11"/>
  <c r="P92" i="11"/>
  <c r="L92" i="11"/>
  <c r="H92" i="11"/>
  <c r="D92" i="11"/>
  <c r="X91" i="11"/>
  <c r="T91" i="11"/>
  <c r="P91" i="11"/>
  <c r="L91" i="11"/>
  <c r="H91" i="11"/>
  <c r="D91" i="11"/>
  <c r="X90" i="11"/>
  <c r="T90" i="11"/>
  <c r="P90" i="11"/>
  <c r="L90" i="11"/>
  <c r="H90" i="11"/>
  <c r="D90" i="11"/>
  <c r="X89" i="11"/>
  <c r="T89" i="11"/>
  <c r="P89" i="11"/>
  <c r="L89" i="11"/>
  <c r="H89" i="11"/>
  <c r="D89" i="11"/>
  <c r="X88" i="11"/>
  <c r="T88" i="11"/>
  <c r="P88" i="11"/>
  <c r="L88" i="11"/>
  <c r="H88" i="11"/>
  <c r="D88" i="11"/>
  <c r="X87" i="11"/>
  <c r="T87" i="11"/>
  <c r="P87" i="11"/>
  <c r="L87" i="11"/>
  <c r="H87" i="11"/>
  <c r="D87" i="11"/>
  <c r="X86" i="11"/>
  <c r="T86" i="11"/>
  <c r="P86" i="11"/>
  <c r="L86" i="11"/>
  <c r="H86" i="11"/>
  <c r="D86" i="11"/>
  <c r="X85" i="11"/>
  <c r="T85" i="11"/>
  <c r="P85" i="11"/>
  <c r="L85" i="11"/>
  <c r="H85" i="11"/>
  <c r="D85" i="11"/>
  <c r="X84" i="11"/>
  <c r="T84" i="11"/>
  <c r="P84" i="11"/>
  <c r="L84" i="11"/>
  <c r="H84" i="11"/>
  <c r="D84" i="11"/>
  <c r="X83" i="11"/>
  <c r="T83" i="11"/>
  <c r="P83" i="11"/>
  <c r="L83" i="11"/>
  <c r="H83" i="11"/>
  <c r="D83" i="11"/>
  <c r="X82" i="11"/>
  <c r="T82" i="11"/>
  <c r="P82" i="11"/>
  <c r="L82" i="11"/>
  <c r="H82" i="11"/>
  <c r="D82" i="11"/>
  <c r="X81" i="11"/>
  <c r="T81" i="11"/>
  <c r="P81" i="11"/>
  <c r="L81" i="11"/>
  <c r="H81" i="11"/>
  <c r="D81" i="11"/>
  <c r="X80" i="11"/>
  <c r="T80" i="11"/>
  <c r="P80" i="11"/>
  <c r="L80" i="11"/>
  <c r="H80" i="11"/>
  <c r="D80" i="11"/>
  <c r="X79" i="11"/>
  <c r="T79" i="11"/>
  <c r="P79" i="11"/>
  <c r="L79" i="11"/>
  <c r="H79" i="11"/>
  <c r="D79" i="11"/>
  <c r="X78" i="11"/>
  <c r="T78" i="11"/>
  <c r="P78" i="11"/>
  <c r="L78" i="11"/>
  <c r="H78" i="11"/>
  <c r="D78" i="11"/>
  <c r="X77" i="11"/>
  <c r="T77" i="11"/>
  <c r="P77" i="11"/>
  <c r="L77" i="11"/>
  <c r="H77" i="11"/>
  <c r="D77" i="11"/>
  <c r="X76" i="11"/>
  <c r="T76" i="11"/>
  <c r="P76" i="11"/>
  <c r="L76" i="11"/>
  <c r="H76" i="11"/>
  <c r="D76" i="11"/>
  <c r="X75" i="11"/>
  <c r="T75" i="11"/>
  <c r="P75" i="11"/>
  <c r="L75" i="11"/>
  <c r="H75" i="11"/>
  <c r="D75" i="11"/>
  <c r="X74" i="11"/>
  <c r="T74" i="11"/>
  <c r="P74" i="11"/>
  <c r="L74" i="11"/>
  <c r="H74" i="11"/>
  <c r="D74" i="11"/>
  <c r="X73" i="11"/>
  <c r="T73" i="11"/>
  <c r="P73" i="11"/>
  <c r="L73" i="11"/>
  <c r="H73" i="11"/>
  <c r="D73" i="11"/>
  <c r="X72" i="11"/>
  <c r="T72" i="11"/>
  <c r="P72" i="11"/>
  <c r="L72" i="11"/>
  <c r="H72" i="11"/>
  <c r="D72" i="11"/>
  <c r="X71" i="11"/>
  <c r="T71" i="11"/>
  <c r="P71" i="11"/>
  <c r="L71" i="11"/>
  <c r="H71" i="11"/>
  <c r="D71" i="11"/>
  <c r="X70" i="11"/>
  <c r="T70" i="11"/>
  <c r="P70" i="11"/>
  <c r="L70" i="11"/>
  <c r="H70" i="11"/>
  <c r="D70" i="11"/>
  <c r="X69" i="11"/>
  <c r="T69" i="11"/>
  <c r="P69" i="11"/>
  <c r="L69" i="11"/>
  <c r="H69" i="11"/>
  <c r="D69" i="11"/>
  <c r="X68" i="11"/>
  <c r="T68" i="11"/>
  <c r="P68" i="11"/>
  <c r="L68" i="11"/>
  <c r="H68" i="11"/>
  <c r="D68" i="11"/>
  <c r="X67" i="11"/>
  <c r="T67" i="11"/>
  <c r="P67" i="11"/>
  <c r="L67" i="11"/>
  <c r="H67" i="11"/>
  <c r="D67" i="11"/>
  <c r="X66" i="11"/>
  <c r="T66" i="11"/>
  <c r="P66" i="11"/>
  <c r="L66" i="11"/>
  <c r="H66" i="11"/>
  <c r="D66" i="11"/>
  <c r="X65" i="11"/>
  <c r="T65" i="11"/>
  <c r="P65" i="11"/>
  <c r="L65" i="11"/>
  <c r="H65" i="11"/>
  <c r="D65" i="11"/>
  <c r="X64" i="11"/>
  <c r="T64" i="11"/>
  <c r="P64" i="11"/>
  <c r="L64" i="11"/>
  <c r="H64" i="11"/>
  <c r="D64" i="11"/>
  <c r="X63" i="11"/>
  <c r="T63" i="11"/>
  <c r="P63" i="11"/>
  <c r="L63" i="11"/>
  <c r="H63" i="11"/>
  <c r="D63" i="11"/>
  <c r="X62" i="11"/>
  <c r="T62" i="11"/>
  <c r="P62" i="11"/>
  <c r="L62" i="11"/>
  <c r="H62" i="11"/>
  <c r="D62" i="11"/>
  <c r="X61" i="11"/>
  <c r="T61" i="11"/>
  <c r="P61" i="11"/>
  <c r="L61" i="11"/>
  <c r="H61" i="11"/>
  <c r="D61" i="11"/>
  <c r="X60" i="11"/>
  <c r="T60" i="11"/>
  <c r="P60" i="11"/>
  <c r="L60" i="11"/>
  <c r="H60" i="11"/>
  <c r="D60" i="11"/>
  <c r="X59" i="11"/>
  <c r="T59" i="11"/>
  <c r="P59" i="11"/>
  <c r="L59" i="11"/>
  <c r="H59" i="11"/>
  <c r="D59" i="11"/>
  <c r="X58" i="11"/>
  <c r="T58" i="11"/>
  <c r="P58" i="11"/>
  <c r="L58" i="11"/>
  <c r="H58" i="11"/>
  <c r="D58" i="11"/>
  <c r="X57" i="11"/>
  <c r="T57" i="11"/>
  <c r="P57" i="11"/>
  <c r="L57" i="11"/>
  <c r="H57" i="11"/>
  <c r="D57" i="11"/>
  <c r="X56" i="11"/>
  <c r="T56" i="11"/>
  <c r="P56" i="11"/>
  <c r="L56" i="11"/>
  <c r="H56" i="11"/>
  <c r="D56" i="11"/>
  <c r="X55" i="11"/>
  <c r="T55" i="11"/>
  <c r="P55" i="11"/>
  <c r="L55" i="11"/>
  <c r="H55" i="11"/>
  <c r="D55" i="11"/>
  <c r="X54" i="11"/>
  <c r="T54" i="11"/>
  <c r="P54" i="11"/>
  <c r="L54" i="11"/>
  <c r="H54" i="11"/>
  <c r="D54" i="11"/>
  <c r="X53" i="11"/>
  <c r="T53" i="11"/>
  <c r="P53" i="11"/>
  <c r="L53" i="11"/>
  <c r="H53" i="11"/>
  <c r="D53" i="11"/>
  <c r="X52" i="11"/>
  <c r="T52" i="11"/>
  <c r="P52" i="11"/>
  <c r="L52" i="11"/>
  <c r="H52" i="11"/>
  <c r="D52" i="11"/>
  <c r="X51" i="11"/>
  <c r="T51" i="11"/>
  <c r="P51" i="11"/>
  <c r="L51" i="11"/>
  <c r="H51" i="11"/>
  <c r="D51" i="11"/>
  <c r="X50" i="11"/>
  <c r="T50" i="11"/>
  <c r="P50" i="11"/>
  <c r="L50" i="11"/>
  <c r="H50" i="11"/>
  <c r="D50" i="11"/>
  <c r="X49" i="11"/>
  <c r="T49" i="11"/>
  <c r="P49" i="11"/>
  <c r="L49" i="11"/>
  <c r="H49" i="11"/>
  <c r="D49" i="11"/>
  <c r="X48" i="11"/>
  <c r="T48" i="11"/>
  <c r="P48" i="11"/>
  <c r="L48" i="11"/>
  <c r="H48" i="11"/>
  <c r="D48" i="11"/>
  <c r="X47" i="11"/>
  <c r="T47" i="11"/>
  <c r="P47" i="11"/>
  <c r="L47" i="11"/>
  <c r="H47" i="11"/>
  <c r="D47" i="11"/>
  <c r="X46" i="11"/>
  <c r="T46" i="11"/>
  <c r="P46" i="11"/>
  <c r="L46" i="11"/>
  <c r="H46" i="11"/>
  <c r="D46" i="11"/>
  <c r="X45" i="11"/>
  <c r="T45" i="11"/>
  <c r="P45" i="11"/>
  <c r="L45" i="11"/>
  <c r="H45" i="11"/>
  <c r="D45" i="11"/>
  <c r="X44" i="11"/>
  <c r="T44" i="11"/>
  <c r="P44" i="11"/>
  <c r="L44" i="11"/>
  <c r="H44" i="11"/>
  <c r="D44" i="11"/>
  <c r="X43" i="11"/>
  <c r="T43" i="11"/>
  <c r="P43" i="11"/>
  <c r="L43" i="11"/>
  <c r="H43" i="11"/>
  <c r="D43" i="11"/>
  <c r="X42" i="11"/>
  <c r="T42" i="11"/>
  <c r="P42" i="11"/>
  <c r="L42" i="11"/>
  <c r="H42" i="11"/>
  <c r="D42" i="11"/>
  <c r="X41" i="11"/>
  <c r="T41" i="11"/>
  <c r="P41" i="11"/>
  <c r="L41" i="11"/>
  <c r="H41" i="11"/>
  <c r="D41" i="11"/>
  <c r="X40" i="11"/>
  <c r="T40" i="11"/>
  <c r="P40" i="11"/>
  <c r="L40" i="11"/>
  <c r="H40" i="11"/>
  <c r="D40" i="11"/>
  <c r="X39" i="11"/>
  <c r="T39" i="11"/>
  <c r="P39" i="11"/>
  <c r="L39" i="11"/>
  <c r="H39" i="11"/>
  <c r="D39" i="11"/>
  <c r="X38" i="11"/>
  <c r="T38" i="11"/>
  <c r="P38" i="11"/>
  <c r="L38" i="11"/>
  <c r="H38" i="11"/>
  <c r="D38" i="11"/>
  <c r="X37" i="11"/>
  <c r="T37" i="11"/>
  <c r="P37" i="11"/>
  <c r="L37" i="11"/>
  <c r="H37" i="11"/>
  <c r="D37" i="11"/>
  <c r="X36" i="11"/>
  <c r="T36" i="11"/>
  <c r="P36" i="11"/>
  <c r="L36" i="11"/>
  <c r="H36" i="11"/>
  <c r="D36" i="11"/>
  <c r="X35" i="11"/>
  <c r="T35" i="11"/>
  <c r="P35" i="11"/>
  <c r="L35" i="11"/>
  <c r="H35" i="11"/>
  <c r="D35" i="11"/>
  <c r="X34" i="11"/>
  <c r="T34" i="11"/>
  <c r="P34" i="11"/>
  <c r="L34" i="11"/>
  <c r="H34" i="11"/>
  <c r="D34" i="11"/>
  <c r="X33" i="11"/>
  <c r="T33" i="11"/>
  <c r="P33" i="11"/>
  <c r="L33" i="11"/>
  <c r="H33" i="11"/>
  <c r="D33" i="11"/>
  <c r="X32" i="11"/>
  <c r="T32" i="11"/>
  <c r="P32" i="11"/>
  <c r="L32" i="11"/>
  <c r="H32" i="11"/>
  <c r="D32" i="11"/>
  <c r="X31" i="11"/>
  <c r="T31" i="11"/>
  <c r="P31" i="11"/>
  <c r="L31" i="11"/>
  <c r="H31" i="11"/>
  <c r="D31" i="11"/>
  <c r="X30" i="11"/>
  <c r="T30" i="11"/>
  <c r="P30" i="11"/>
  <c r="L30" i="11"/>
  <c r="H30" i="11"/>
  <c r="D30" i="11"/>
  <c r="X29" i="11"/>
  <c r="T29" i="11"/>
  <c r="P29" i="11"/>
  <c r="L29" i="11"/>
  <c r="H29" i="11"/>
  <c r="D29" i="11"/>
  <c r="X28" i="11"/>
  <c r="T28" i="11"/>
  <c r="P28" i="11"/>
  <c r="L28" i="11"/>
  <c r="H28" i="11"/>
  <c r="D28" i="11"/>
  <c r="X27" i="11"/>
  <c r="T27" i="11"/>
  <c r="P27" i="11"/>
  <c r="L27" i="11"/>
  <c r="H27" i="11"/>
  <c r="D27" i="11"/>
  <c r="X26" i="11"/>
  <c r="T26" i="11"/>
  <c r="P26" i="11"/>
  <c r="L26" i="11"/>
  <c r="H26" i="11"/>
  <c r="D26" i="11"/>
  <c r="X25" i="11"/>
  <c r="T25" i="11"/>
  <c r="P25" i="11"/>
  <c r="L25" i="11"/>
  <c r="H25" i="11"/>
  <c r="D25" i="11"/>
  <c r="X24" i="11"/>
  <c r="T24" i="11"/>
  <c r="P24" i="11"/>
  <c r="L24" i="11"/>
  <c r="H24" i="11"/>
  <c r="D24" i="11"/>
  <c r="X23" i="11"/>
  <c r="T23" i="11"/>
  <c r="P23" i="11"/>
  <c r="L23" i="11"/>
  <c r="H23" i="11"/>
  <c r="D23" i="11"/>
  <c r="X22" i="11"/>
  <c r="T22" i="11"/>
  <c r="P22" i="11"/>
  <c r="L22" i="11"/>
  <c r="H22" i="11"/>
  <c r="D22" i="11"/>
  <c r="X21" i="11"/>
  <c r="T21" i="11"/>
  <c r="P21" i="11"/>
  <c r="L21" i="11"/>
  <c r="H21" i="11"/>
  <c r="D21" i="11"/>
  <c r="X20" i="11"/>
  <c r="T20" i="11"/>
  <c r="P20" i="11"/>
  <c r="L20" i="11"/>
  <c r="H20" i="11"/>
  <c r="D20" i="11"/>
  <c r="X19" i="11"/>
  <c r="T19" i="11"/>
  <c r="P19" i="11"/>
  <c r="L19" i="11"/>
  <c r="H19" i="11"/>
  <c r="D19" i="11"/>
  <c r="X18" i="11"/>
  <c r="T18" i="11"/>
  <c r="P18" i="11"/>
  <c r="L18" i="11"/>
  <c r="H18" i="11"/>
  <c r="D18" i="11"/>
  <c r="X17" i="11"/>
  <c r="T17" i="11"/>
  <c r="P17" i="11"/>
  <c r="L17" i="11"/>
  <c r="H17" i="11"/>
  <c r="D17" i="11"/>
  <c r="X16" i="11"/>
  <c r="T16" i="11"/>
  <c r="P16" i="11"/>
  <c r="L16" i="11"/>
  <c r="H16" i="11"/>
  <c r="D16" i="11"/>
  <c r="X15" i="11"/>
  <c r="T15" i="11"/>
  <c r="P15" i="11"/>
  <c r="L15" i="11"/>
  <c r="H15" i="11"/>
  <c r="D15" i="11"/>
  <c r="X14" i="11"/>
  <c r="T14" i="11"/>
  <c r="P14" i="11"/>
  <c r="L14" i="11"/>
  <c r="H14" i="11"/>
  <c r="D14" i="11"/>
  <c r="X13" i="11"/>
  <c r="T13" i="11"/>
  <c r="P13" i="11"/>
  <c r="L13" i="11"/>
  <c r="H13" i="11"/>
  <c r="D13" i="11"/>
  <c r="X12" i="11"/>
  <c r="T12" i="11"/>
  <c r="P12" i="11"/>
  <c r="L12" i="11"/>
  <c r="H12" i="11"/>
  <c r="D12" i="11"/>
  <c r="X11" i="11"/>
  <c r="T11" i="11"/>
  <c r="P11" i="11"/>
  <c r="L11" i="11"/>
  <c r="H11" i="11"/>
  <c r="D11" i="11"/>
  <c r="X10" i="11"/>
  <c r="T10" i="11"/>
  <c r="P10" i="11"/>
  <c r="L10" i="11"/>
  <c r="H10" i="11"/>
  <c r="D10" i="11"/>
  <c r="X9" i="11"/>
  <c r="T9" i="11"/>
  <c r="P9" i="11"/>
  <c r="L9" i="11"/>
  <c r="H9" i="11"/>
  <c r="D9" i="11"/>
  <c r="X8" i="11"/>
  <c r="T8" i="11"/>
  <c r="P8" i="11"/>
  <c r="L8" i="11"/>
  <c r="H8" i="11"/>
  <c r="D8" i="11"/>
  <c r="X7" i="11"/>
  <c r="T7" i="11"/>
  <c r="P7" i="11"/>
  <c r="L7" i="11"/>
  <c r="H7" i="11"/>
  <c r="D7" i="11"/>
  <c r="X6" i="11"/>
  <c r="T6" i="11"/>
  <c r="P6" i="11"/>
  <c r="L6" i="11"/>
  <c r="H6" i="11"/>
  <c r="D6" i="11"/>
  <c r="X5" i="11"/>
  <c r="T5" i="11"/>
  <c r="P5" i="11"/>
  <c r="L5" i="11"/>
  <c r="H5" i="11"/>
  <c r="D5" i="11"/>
  <c r="X4" i="11"/>
  <c r="T4" i="11"/>
  <c r="P4" i="11"/>
  <c r="L4" i="11"/>
  <c r="H4" i="11"/>
  <c r="D4" i="11"/>
  <c r="X3" i="11"/>
  <c r="T3" i="11"/>
  <c r="P3" i="11"/>
  <c r="L3" i="11"/>
  <c r="H3" i="11"/>
  <c r="D3" i="11"/>
  <c r="Y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X114" i="10"/>
  <c r="T114" i="10"/>
  <c r="P114" i="10"/>
  <c r="L114" i="10"/>
  <c r="H114" i="10"/>
  <c r="X113" i="10"/>
  <c r="T113" i="10"/>
  <c r="P113" i="10"/>
  <c r="L113" i="10"/>
  <c r="H113" i="10"/>
  <c r="X112" i="10"/>
  <c r="T112" i="10"/>
  <c r="P112" i="10"/>
  <c r="L112" i="10"/>
  <c r="H112" i="10"/>
  <c r="X111" i="10"/>
  <c r="T111" i="10"/>
  <c r="P111" i="10"/>
  <c r="L111" i="10"/>
  <c r="H111" i="10"/>
  <c r="X110" i="10"/>
  <c r="T110" i="10"/>
  <c r="P110" i="10"/>
  <c r="L110" i="10"/>
  <c r="H110" i="10"/>
  <c r="X109" i="10"/>
  <c r="T109" i="10"/>
  <c r="P109" i="10"/>
  <c r="L109" i="10"/>
  <c r="H109" i="10"/>
  <c r="X108" i="10"/>
  <c r="T108" i="10"/>
  <c r="P108" i="10"/>
  <c r="L108" i="10"/>
  <c r="H108" i="10"/>
  <c r="X107" i="10"/>
  <c r="T107" i="10"/>
  <c r="P107" i="10"/>
  <c r="L107" i="10"/>
  <c r="H107" i="10"/>
  <c r="X106" i="10"/>
  <c r="T106" i="10"/>
  <c r="P106" i="10"/>
  <c r="L106" i="10"/>
  <c r="H106" i="10"/>
  <c r="X105" i="10"/>
  <c r="T105" i="10"/>
  <c r="P105" i="10"/>
  <c r="L105" i="10"/>
  <c r="H105" i="10"/>
  <c r="X104" i="10"/>
  <c r="T104" i="10"/>
  <c r="P104" i="10"/>
  <c r="L104" i="10"/>
  <c r="H104" i="10"/>
  <c r="X103" i="10"/>
  <c r="T103" i="10"/>
  <c r="P103" i="10"/>
  <c r="L103" i="10"/>
  <c r="H103" i="10"/>
  <c r="X102" i="10"/>
  <c r="T102" i="10"/>
  <c r="P102" i="10"/>
  <c r="L102" i="10"/>
  <c r="H102" i="10"/>
  <c r="X101" i="10"/>
  <c r="T101" i="10"/>
  <c r="P101" i="10"/>
  <c r="L101" i="10"/>
  <c r="H101" i="10"/>
  <c r="X100" i="10"/>
  <c r="T100" i="10"/>
  <c r="P100" i="10"/>
  <c r="L100" i="10"/>
  <c r="H100" i="10"/>
  <c r="X99" i="10"/>
  <c r="T99" i="10"/>
  <c r="P99" i="10"/>
  <c r="L99" i="10"/>
  <c r="H99" i="10"/>
  <c r="X98" i="10"/>
  <c r="T98" i="10"/>
  <c r="P98" i="10"/>
  <c r="L98" i="10"/>
  <c r="H98" i="10"/>
  <c r="X97" i="10"/>
  <c r="T97" i="10"/>
  <c r="P97" i="10"/>
  <c r="L97" i="10"/>
  <c r="H97" i="10"/>
  <c r="X96" i="10"/>
  <c r="T96" i="10"/>
  <c r="P96" i="10"/>
  <c r="L96" i="10"/>
  <c r="H96" i="10"/>
  <c r="X95" i="10"/>
  <c r="T95" i="10"/>
  <c r="P95" i="10"/>
  <c r="L95" i="10"/>
  <c r="H95" i="10"/>
  <c r="X94" i="10"/>
  <c r="T94" i="10"/>
  <c r="P94" i="10"/>
  <c r="L94" i="10"/>
  <c r="H94" i="10"/>
  <c r="X93" i="10"/>
  <c r="T93" i="10"/>
  <c r="P93" i="10"/>
  <c r="L93" i="10"/>
  <c r="H93" i="10"/>
  <c r="X92" i="10"/>
  <c r="T92" i="10"/>
  <c r="P92" i="10"/>
  <c r="L92" i="10"/>
  <c r="H92" i="10"/>
  <c r="X91" i="10"/>
  <c r="T91" i="10"/>
  <c r="P91" i="10"/>
  <c r="L91" i="10"/>
  <c r="H91" i="10"/>
  <c r="X90" i="10"/>
  <c r="T90" i="10"/>
  <c r="P90" i="10"/>
  <c r="L90" i="10"/>
  <c r="H90" i="10"/>
  <c r="X89" i="10"/>
  <c r="T89" i="10"/>
  <c r="P89" i="10"/>
  <c r="L89" i="10"/>
  <c r="H89" i="10"/>
  <c r="X88" i="10"/>
  <c r="T88" i="10"/>
  <c r="P88" i="10"/>
  <c r="L88" i="10"/>
  <c r="H88" i="10"/>
  <c r="X87" i="10"/>
  <c r="T87" i="10"/>
  <c r="P87" i="10"/>
  <c r="L87" i="10"/>
  <c r="H87" i="10"/>
  <c r="X86" i="10"/>
  <c r="T86" i="10"/>
  <c r="P86" i="10"/>
  <c r="L86" i="10"/>
  <c r="H86" i="10"/>
  <c r="X85" i="10"/>
  <c r="T85" i="10"/>
  <c r="P85" i="10"/>
  <c r="L85" i="10"/>
  <c r="H85" i="10"/>
  <c r="X84" i="10"/>
  <c r="T84" i="10"/>
  <c r="P84" i="10"/>
  <c r="L84" i="10"/>
  <c r="H84" i="10"/>
  <c r="X83" i="10"/>
  <c r="T83" i="10"/>
  <c r="P83" i="10"/>
  <c r="L83" i="10"/>
  <c r="H83" i="10"/>
  <c r="X82" i="10"/>
  <c r="T82" i="10"/>
  <c r="P82" i="10"/>
  <c r="L82" i="10"/>
  <c r="H82" i="10"/>
  <c r="X81" i="10"/>
  <c r="T81" i="10"/>
  <c r="P81" i="10"/>
  <c r="L81" i="10"/>
  <c r="H81" i="10"/>
  <c r="X80" i="10"/>
  <c r="T80" i="10"/>
  <c r="P80" i="10"/>
  <c r="L80" i="10"/>
  <c r="H80" i="10"/>
  <c r="X79" i="10"/>
  <c r="T79" i="10"/>
  <c r="P79" i="10"/>
  <c r="L79" i="10"/>
  <c r="H79" i="10"/>
  <c r="X78" i="10"/>
  <c r="T78" i="10"/>
  <c r="P78" i="10"/>
  <c r="L78" i="10"/>
  <c r="H78" i="10"/>
  <c r="X77" i="10"/>
  <c r="T77" i="10"/>
  <c r="P77" i="10"/>
  <c r="L77" i="10"/>
  <c r="H77" i="10"/>
  <c r="X76" i="10"/>
  <c r="T76" i="10"/>
  <c r="P76" i="10"/>
  <c r="L76" i="10"/>
  <c r="H76" i="10"/>
  <c r="X75" i="10"/>
  <c r="T75" i="10"/>
  <c r="P75" i="10"/>
  <c r="L75" i="10"/>
  <c r="H75" i="10"/>
  <c r="X74" i="10"/>
  <c r="T74" i="10"/>
  <c r="P74" i="10"/>
  <c r="L74" i="10"/>
  <c r="H74" i="10"/>
  <c r="X73" i="10"/>
  <c r="T73" i="10"/>
  <c r="P73" i="10"/>
  <c r="L73" i="10"/>
  <c r="H73" i="10"/>
  <c r="X72" i="10"/>
  <c r="T72" i="10"/>
  <c r="P72" i="10"/>
  <c r="L72" i="10"/>
  <c r="H72" i="10"/>
  <c r="X71" i="10"/>
  <c r="T71" i="10"/>
  <c r="P71" i="10"/>
  <c r="L71" i="10"/>
  <c r="H71" i="10"/>
  <c r="X70" i="10"/>
  <c r="T70" i="10"/>
  <c r="P70" i="10"/>
  <c r="L70" i="10"/>
  <c r="H70" i="10"/>
  <c r="X69" i="10"/>
  <c r="T69" i="10"/>
  <c r="P69" i="10"/>
  <c r="L69" i="10"/>
  <c r="H69" i="10"/>
  <c r="X68" i="10"/>
  <c r="T68" i="10"/>
  <c r="P68" i="10"/>
  <c r="L68" i="10"/>
  <c r="H68" i="10"/>
  <c r="X67" i="10"/>
  <c r="T67" i="10"/>
  <c r="P67" i="10"/>
  <c r="L67" i="10"/>
  <c r="H67" i="10"/>
  <c r="X66" i="10"/>
  <c r="T66" i="10"/>
  <c r="P66" i="10"/>
  <c r="L66" i="10"/>
  <c r="H66" i="10"/>
  <c r="X65" i="10"/>
  <c r="T65" i="10"/>
  <c r="P65" i="10"/>
  <c r="L65" i="10"/>
  <c r="H65" i="10"/>
  <c r="X64" i="10"/>
  <c r="T64" i="10"/>
  <c r="P64" i="10"/>
  <c r="L64" i="10"/>
  <c r="H64" i="10"/>
  <c r="X63" i="10"/>
  <c r="T63" i="10"/>
  <c r="P63" i="10"/>
  <c r="L63" i="10"/>
  <c r="H63" i="10"/>
  <c r="X62" i="10"/>
  <c r="T62" i="10"/>
  <c r="P62" i="10"/>
  <c r="L62" i="10"/>
  <c r="H62" i="10"/>
  <c r="X61" i="10"/>
  <c r="T61" i="10"/>
  <c r="P61" i="10"/>
  <c r="L61" i="10"/>
  <c r="H61" i="10"/>
  <c r="X60" i="10"/>
  <c r="T60" i="10"/>
  <c r="P60" i="10"/>
  <c r="L60" i="10"/>
  <c r="H60" i="10"/>
  <c r="X59" i="10"/>
  <c r="T59" i="10"/>
  <c r="P59" i="10"/>
  <c r="L59" i="10"/>
  <c r="H59" i="10"/>
  <c r="X58" i="10"/>
  <c r="T58" i="10"/>
  <c r="P58" i="10"/>
  <c r="L58" i="10"/>
  <c r="H58" i="10"/>
  <c r="X57" i="10"/>
  <c r="T57" i="10"/>
  <c r="P57" i="10"/>
  <c r="L57" i="10"/>
  <c r="H57" i="10"/>
  <c r="X56" i="10"/>
  <c r="T56" i="10"/>
  <c r="P56" i="10"/>
  <c r="L56" i="10"/>
  <c r="H56" i="10"/>
  <c r="X55" i="10"/>
  <c r="T55" i="10"/>
  <c r="P55" i="10"/>
  <c r="L55" i="10"/>
  <c r="H55" i="10"/>
  <c r="X54" i="10"/>
  <c r="T54" i="10"/>
  <c r="P54" i="10"/>
  <c r="L54" i="10"/>
  <c r="H54" i="10"/>
  <c r="X53" i="10"/>
  <c r="T53" i="10"/>
  <c r="P53" i="10"/>
  <c r="L53" i="10"/>
  <c r="H53" i="10"/>
  <c r="X52" i="10"/>
  <c r="T52" i="10"/>
  <c r="P52" i="10"/>
  <c r="L52" i="10"/>
  <c r="H52" i="10"/>
  <c r="X51" i="10"/>
  <c r="T51" i="10"/>
  <c r="P51" i="10"/>
  <c r="L51" i="10"/>
  <c r="H51" i="10"/>
  <c r="X50" i="10"/>
  <c r="T50" i="10"/>
  <c r="P50" i="10"/>
  <c r="L50" i="10"/>
  <c r="H50" i="10"/>
  <c r="X49" i="10"/>
  <c r="T49" i="10"/>
  <c r="P49" i="10"/>
  <c r="L49" i="10"/>
  <c r="H49" i="10"/>
  <c r="X48" i="10"/>
  <c r="T48" i="10"/>
  <c r="P48" i="10"/>
  <c r="L48" i="10"/>
  <c r="H48" i="10"/>
  <c r="X47" i="10"/>
  <c r="T47" i="10"/>
  <c r="P47" i="10"/>
  <c r="L47" i="10"/>
  <c r="H47" i="10"/>
  <c r="X46" i="10"/>
  <c r="T46" i="10"/>
  <c r="P46" i="10"/>
  <c r="L46" i="10"/>
  <c r="H46" i="10"/>
  <c r="X45" i="10"/>
  <c r="T45" i="10"/>
  <c r="P45" i="10"/>
  <c r="L45" i="10"/>
  <c r="H45" i="10"/>
  <c r="X44" i="10"/>
  <c r="T44" i="10"/>
  <c r="P44" i="10"/>
  <c r="L44" i="10"/>
  <c r="H44" i="10"/>
  <c r="X43" i="10"/>
  <c r="T43" i="10"/>
  <c r="P43" i="10"/>
  <c r="L43" i="10"/>
  <c r="H43" i="10"/>
  <c r="X42" i="10"/>
  <c r="T42" i="10"/>
  <c r="P42" i="10"/>
  <c r="L42" i="10"/>
  <c r="H42" i="10"/>
  <c r="X41" i="10"/>
  <c r="T41" i="10"/>
  <c r="P41" i="10"/>
  <c r="L41" i="10"/>
  <c r="H41" i="10"/>
  <c r="X40" i="10"/>
  <c r="T40" i="10"/>
  <c r="P40" i="10"/>
  <c r="L40" i="10"/>
  <c r="H40" i="10"/>
  <c r="X39" i="10"/>
  <c r="T39" i="10"/>
  <c r="P39" i="10"/>
  <c r="L39" i="10"/>
  <c r="H39" i="10"/>
  <c r="X38" i="10"/>
  <c r="T38" i="10"/>
  <c r="P38" i="10"/>
  <c r="L38" i="10"/>
  <c r="H38" i="10"/>
  <c r="X37" i="10"/>
  <c r="T37" i="10"/>
  <c r="P37" i="10"/>
  <c r="L37" i="10"/>
  <c r="H37" i="10"/>
  <c r="X36" i="10"/>
  <c r="T36" i="10"/>
  <c r="P36" i="10"/>
  <c r="L36" i="10"/>
  <c r="H36" i="10"/>
  <c r="X35" i="10"/>
  <c r="T35" i="10"/>
  <c r="P35" i="10"/>
  <c r="L35" i="10"/>
  <c r="H35" i="10"/>
  <c r="X34" i="10"/>
  <c r="T34" i="10"/>
  <c r="P34" i="10"/>
  <c r="L34" i="10"/>
  <c r="H34" i="10"/>
  <c r="X33" i="10"/>
  <c r="T33" i="10"/>
  <c r="P33" i="10"/>
  <c r="L33" i="10"/>
  <c r="H33" i="10"/>
  <c r="X32" i="10"/>
  <c r="T32" i="10"/>
  <c r="P32" i="10"/>
  <c r="L32" i="10"/>
  <c r="H32" i="10"/>
  <c r="X31" i="10"/>
  <c r="T31" i="10"/>
  <c r="P31" i="10"/>
  <c r="L31" i="10"/>
  <c r="H31" i="10"/>
  <c r="X30" i="10"/>
  <c r="T30" i="10"/>
  <c r="P30" i="10"/>
  <c r="L30" i="10"/>
  <c r="H30" i="10"/>
  <c r="X29" i="10"/>
  <c r="T29" i="10"/>
  <c r="P29" i="10"/>
  <c r="L29" i="10"/>
  <c r="H29" i="10"/>
  <c r="X28" i="10"/>
  <c r="T28" i="10"/>
  <c r="P28" i="10"/>
  <c r="L28" i="10"/>
  <c r="H28" i="10"/>
  <c r="X27" i="10"/>
  <c r="T27" i="10"/>
  <c r="P27" i="10"/>
  <c r="L27" i="10"/>
  <c r="H27" i="10"/>
  <c r="X26" i="10"/>
  <c r="T26" i="10"/>
  <c r="P26" i="10"/>
  <c r="L26" i="10"/>
  <c r="H26" i="10"/>
  <c r="X25" i="10"/>
  <c r="T25" i="10"/>
  <c r="P25" i="10"/>
  <c r="L25" i="10"/>
  <c r="H25" i="10"/>
  <c r="X24" i="10"/>
  <c r="T24" i="10"/>
  <c r="P24" i="10"/>
  <c r="L24" i="10"/>
  <c r="H24" i="10"/>
  <c r="X23" i="10"/>
  <c r="T23" i="10"/>
  <c r="P23" i="10"/>
  <c r="L23" i="10"/>
  <c r="H23" i="10"/>
  <c r="X22" i="10"/>
  <c r="T22" i="10"/>
  <c r="P22" i="10"/>
  <c r="L22" i="10"/>
  <c r="H22" i="10"/>
  <c r="X21" i="10"/>
  <c r="T21" i="10"/>
  <c r="P21" i="10"/>
  <c r="L21" i="10"/>
  <c r="H21" i="10"/>
  <c r="X20" i="10"/>
  <c r="T20" i="10"/>
  <c r="P20" i="10"/>
  <c r="L20" i="10"/>
  <c r="H20" i="10"/>
  <c r="X19" i="10"/>
  <c r="T19" i="10"/>
  <c r="P19" i="10"/>
  <c r="L19" i="10"/>
  <c r="H19" i="10"/>
  <c r="X18" i="10"/>
  <c r="T18" i="10"/>
  <c r="P18" i="10"/>
  <c r="L18" i="10"/>
  <c r="H18" i="10"/>
  <c r="X17" i="10"/>
  <c r="T17" i="10"/>
  <c r="P17" i="10"/>
  <c r="L17" i="10"/>
  <c r="H17" i="10"/>
  <c r="X16" i="10"/>
  <c r="T16" i="10"/>
  <c r="P16" i="10"/>
  <c r="L16" i="10"/>
  <c r="H16" i="10"/>
  <c r="X15" i="10"/>
  <c r="T15" i="10"/>
  <c r="P15" i="10"/>
  <c r="L15" i="10"/>
  <c r="H15" i="10"/>
  <c r="X14" i="10"/>
  <c r="T14" i="10"/>
  <c r="P14" i="10"/>
  <c r="L14" i="10"/>
  <c r="H14" i="10"/>
  <c r="X13" i="10"/>
  <c r="T13" i="10"/>
  <c r="P13" i="10"/>
  <c r="L13" i="10"/>
  <c r="H13" i="10"/>
  <c r="X12" i="10"/>
  <c r="T12" i="10"/>
  <c r="P12" i="10"/>
  <c r="L12" i="10"/>
  <c r="H12" i="10"/>
  <c r="X11" i="10"/>
  <c r="T11" i="10"/>
  <c r="P11" i="10"/>
  <c r="L11" i="10"/>
  <c r="H11" i="10"/>
  <c r="X10" i="10"/>
  <c r="T10" i="10"/>
  <c r="P10" i="10"/>
  <c r="L10" i="10"/>
  <c r="H10" i="10"/>
  <c r="X9" i="10"/>
  <c r="T9" i="10"/>
  <c r="P9" i="10"/>
  <c r="L9" i="10"/>
  <c r="H9" i="10"/>
  <c r="X8" i="10"/>
  <c r="T8" i="10"/>
  <c r="P8" i="10"/>
  <c r="L8" i="10"/>
  <c r="H8" i="10"/>
  <c r="X7" i="10"/>
  <c r="T7" i="10"/>
  <c r="P7" i="10"/>
  <c r="L7" i="10"/>
  <c r="H7" i="10"/>
  <c r="X6" i="10"/>
  <c r="T6" i="10"/>
  <c r="P6" i="10"/>
  <c r="L6" i="10"/>
  <c r="H6" i="10"/>
  <c r="X5" i="10"/>
  <c r="T5" i="10"/>
  <c r="P5" i="10"/>
  <c r="L5" i="10"/>
  <c r="H5" i="10"/>
  <c r="X4" i="10"/>
  <c r="T4" i="10"/>
  <c r="P4" i="10"/>
  <c r="L4" i="10"/>
  <c r="H4" i="10"/>
  <c r="X3" i="10"/>
  <c r="T3" i="10"/>
  <c r="P3" i="10"/>
  <c r="L3" i="10"/>
  <c r="H3" i="10"/>
  <c r="Y3" i="9"/>
  <c r="Y4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6" i="9"/>
  <c r="Y117" i="9"/>
  <c r="Y118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6" i="9"/>
  <c r="U117" i="9"/>
  <c r="U118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6" i="9"/>
  <c r="Q117" i="9"/>
  <c r="Q118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6" i="9"/>
  <c r="M117" i="9"/>
  <c r="M118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6" i="9"/>
  <c r="I117" i="9"/>
  <c r="I118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6" i="9"/>
  <c r="E117" i="9"/>
  <c r="E118" i="9"/>
  <c r="X114" i="9"/>
  <c r="T114" i="9"/>
  <c r="P114" i="9"/>
  <c r="L114" i="9"/>
  <c r="H114" i="9"/>
  <c r="D114" i="9"/>
  <c r="X113" i="9"/>
  <c r="T113" i="9"/>
  <c r="P113" i="9"/>
  <c r="L113" i="9"/>
  <c r="H113" i="9"/>
  <c r="D113" i="9"/>
  <c r="X112" i="9"/>
  <c r="T112" i="9"/>
  <c r="P112" i="9"/>
  <c r="L112" i="9"/>
  <c r="H112" i="9"/>
  <c r="D112" i="9"/>
  <c r="X111" i="9"/>
  <c r="T111" i="9"/>
  <c r="P111" i="9"/>
  <c r="L111" i="9"/>
  <c r="H111" i="9"/>
  <c r="D111" i="9"/>
  <c r="X110" i="9"/>
  <c r="T110" i="9"/>
  <c r="P110" i="9"/>
  <c r="L110" i="9"/>
  <c r="H110" i="9"/>
  <c r="D110" i="9"/>
  <c r="X109" i="9"/>
  <c r="T109" i="9"/>
  <c r="P109" i="9"/>
  <c r="L109" i="9"/>
  <c r="H109" i="9"/>
  <c r="D109" i="9"/>
  <c r="X108" i="9"/>
  <c r="T108" i="9"/>
  <c r="P108" i="9"/>
  <c r="L108" i="9"/>
  <c r="H108" i="9"/>
  <c r="D108" i="9"/>
  <c r="X107" i="9"/>
  <c r="T107" i="9"/>
  <c r="P107" i="9"/>
  <c r="L107" i="9"/>
  <c r="H107" i="9"/>
  <c r="D107" i="9"/>
  <c r="X106" i="9"/>
  <c r="T106" i="9"/>
  <c r="P106" i="9"/>
  <c r="L106" i="9"/>
  <c r="H106" i="9"/>
  <c r="D106" i="9"/>
  <c r="X105" i="9"/>
  <c r="T105" i="9"/>
  <c r="P105" i="9"/>
  <c r="L105" i="9"/>
  <c r="H105" i="9"/>
  <c r="D105" i="9"/>
  <c r="X104" i="9"/>
  <c r="T104" i="9"/>
  <c r="P104" i="9"/>
  <c r="L104" i="9"/>
  <c r="H104" i="9"/>
  <c r="D104" i="9"/>
  <c r="X103" i="9"/>
  <c r="T103" i="9"/>
  <c r="P103" i="9"/>
  <c r="L103" i="9"/>
  <c r="H103" i="9"/>
  <c r="D103" i="9"/>
  <c r="X102" i="9"/>
  <c r="T102" i="9"/>
  <c r="P102" i="9"/>
  <c r="L102" i="9"/>
  <c r="H102" i="9"/>
  <c r="D102" i="9"/>
  <c r="X101" i="9"/>
  <c r="T101" i="9"/>
  <c r="P101" i="9"/>
  <c r="L101" i="9"/>
  <c r="H101" i="9"/>
  <c r="D101" i="9"/>
  <c r="X100" i="9"/>
  <c r="T100" i="9"/>
  <c r="P100" i="9"/>
  <c r="L100" i="9"/>
  <c r="H100" i="9"/>
  <c r="D100" i="9"/>
  <c r="X99" i="9"/>
  <c r="T99" i="9"/>
  <c r="P99" i="9"/>
  <c r="L99" i="9"/>
  <c r="H99" i="9"/>
  <c r="D99" i="9"/>
  <c r="X98" i="9"/>
  <c r="T98" i="9"/>
  <c r="P98" i="9"/>
  <c r="L98" i="9"/>
  <c r="H98" i="9"/>
  <c r="D98" i="9"/>
  <c r="X97" i="9"/>
  <c r="T97" i="9"/>
  <c r="P97" i="9"/>
  <c r="L97" i="9"/>
  <c r="H97" i="9"/>
  <c r="D97" i="9"/>
  <c r="X96" i="9"/>
  <c r="T96" i="9"/>
  <c r="P96" i="9"/>
  <c r="L96" i="9"/>
  <c r="H96" i="9"/>
  <c r="D96" i="9"/>
  <c r="X95" i="9"/>
  <c r="T95" i="9"/>
  <c r="P95" i="9"/>
  <c r="L95" i="9"/>
  <c r="H95" i="9"/>
  <c r="D95" i="9"/>
  <c r="X94" i="9"/>
  <c r="T94" i="9"/>
  <c r="P94" i="9"/>
  <c r="L94" i="9"/>
  <c r="H94" i="9"/>
  <c r="D94" i="9"/>
  <c r="X93" i="9"/>
  <c r="T93" i="9"/>
  <c r="P93" i="9"/>
  <c r="L93" i="9"/>
  <c r="H93" i="9"/>
  <c r="D93" i="9"/>
  <c r="X92" i="9"/>
  <c r="T92" i="9"/>
  <c r="P92" i="9"/>
  <c r="L92" i="9"/>
  <c r="H92" i="9"/>
  <c r="D92" i="9"/>
  <c r="X91" i="9"/>
  <c r="T91" i="9"/>
  <c r="P91" i="9"/>
  <c r="L91" i="9"/>
  <c r="H91" i="9"/>
  <c r="D91" i="9"/>
  <c r="X90" i="9"/>
  <c r="T90" i="9"/>
  <c r="P90" i="9"/>
  <c r="L90" i="9"/>
  <c r="H90" i="9"/>
  <c r="D90" i="9"/>
  <c r="X89" i="9"/>
  <c r="T89" i="9"/>
  <c r="P89" i="9"/>
  <c r="L89" i="9"/>
  <c r="H89" i="9"/>
  <c r="D89" i="9"/>
  <c r="X88" i="9"/>
  <c r="T88" i="9"/>
  <c r="P88" i="9"/>
  <c r="L88" i="9"/>
  <c r="H88" i="9"/>
  <c r="D88" i="9"/>
  <c r="X87" i="9"/>
  <c r="T87" i="9"/>
  <c r="P87" i="9"/>
  <c r="L87" i="9"/>
  <c r="H87" i="9"/>
  <c r="D87" i="9"/>
  <c r="X86" i="9"/>
  <c r="T86" i="9"/>
  <c r="P86" i="9"/>
  <c r="L86" i="9"/>
  <c r="H86" i="9"/>
  <c r="D86" i="9"/>
  <c r="X85" i="9"/>
  <c r="T85" i="9"/>
  <c r="P85" i="9"/>
  <c r="L85" i="9"/>
  <c r="H85" i="9"/>
  <c r="D85" i="9"/>
  <c r="X84" i="9"/>
  <c r="T84" i="9"/>
  <c r="P84" i="9"/>
  <c r="L84" i="9"/>
  <c r="H84" i="9"/>
  <c r="D84" i="9"/>
  <c r="X83" i="9"/>
  <c r="T83" i="9"/>
  <c r="P83" i="9"/>
  <c r="L83" i="9"/>
  <c r="H83" i="9"/>
  <c r="D83" i="9"/>
  <c r="X82" i="9"/>
  <c r="T82" i="9"/>
  <c r="P82" i="9"/>
  <c r="L82" i="9"/>
  <c r="H82" i="9"/>
  <c r="D82" i="9"/>
  <c r="X81" i="9"/>
  <c r="T81" i="9"/>
  <c r="P81" i="9"/>
  <c r="L81" i="9"/>
  <c r="H81" i="9"/>
  <c r="D81" i="9"/>
  <c r="X80" i="9"/>
  <c r="T80" i="9"/>
  <c r="P80" i="9"/>
  <c r="L80" i="9"/>
  <c r="H80" i="9"/>
  <c r="D80" i="9"/>
  <c r="X79" i="9"/>
  <c r="T79" i="9"/>
  <c r="P79" i="9"/>
  <c r="L79" i="9"/>
  <c r="H79" i="9"/>
  <c r="D79" i="9"/>
  <c r="X78" i="9"/>
  <c r="T78" i="9"/>
  <c r="P78" i="9"/>
  <c r="L78" i="9"/>
  <c r="H78" i="9"/>
  <c r="D78" i="9"/>
  <c r="X77" i="9"/>
  <c r="T77" i="9"/>
  <c r="P77" i="9"/>
  <c r="L77" i="9"/>
  <c r="H77" i="9"/>
  <c r="D77" i="9"/>
  <c r="X76" i="9"/>
  <c r="T76" i="9"/>
  <c r="P76" i="9"/>
  <c r="L76" i="9"/>
  <c r="H76" i="9"/>
  <c r="D76" i="9"/>
  <c r="X75" i="9"/>
  <c r="T75" i="9"/>
  <c r="P75" i="9"/>
  <c r="L75" i="9"/>
  <c r="H75" i="9"/>
  <c r="D75" i="9"/>
  <c r="X74" i="9"/>
  <c r="T74" i="9"/>
  <c r="P74" i="9"/>
  <c r="L74" i="9"/>
  <c r="H74" i="9"/>
  <c r="D74" i="9"/>
  <c r="X73" i="9"/>
  <c r="T73" i="9"/>
  <c r="P73" i="9"/>
  <c r="L73" i="9"/>
  <c r="H73" i="9"/>
  <c r="D73" i="9"/>
  <c r="X72" i="9"/>
  <c r="T72" i="9"/>
  <c r="P72" i="9"/>
  <c r="L72" i="9"/>
  <c r="H72" i="9"/>
  <c r="D72" i="9"/>
  <c r="X71" i="9"/>
  <c r="T71" i="9"/>
  <c r="P71" i="9"/>
  <c r="L71" i="9"/>
  <c r="H71" i="9"/>
  <c r="D71" i="9"/>
  <c r="X70" i="9"/>
  <c r="T70" i="9"/>
  <c r="P70" i="9"/>
  <c r="L70" i="9"/>
  <c r="H70" i="9"/>
  <c r="D70" i="9"/>
  <c r="X69" i="9"/>
  <c r="T69" i="9"/>
  <c r="P69" i="9"/>
  <c r="L69" i="9"/>
  <c r="H69" i="9"/>
  <c r="D69" i="9"/>
  <c r="X68" i="9"/>
  <c r="T68" i="9"/>
  <c r="P68" i="9"/>
  <c r="L68" i="9"/>
  <c r="H68" i="9"/>
  <c r="D68" i="9"/>
  <c r="X67" i="9"/>
  <c r="T67" i="9"/>
  <c r="P67" i="9"/>
  <c r="L67" i="9"/>
  <c r="H67" i="9"/>
  <c r="D67" i="9"/>
  <c r="X66" i="9"/>
  <c r="T66" i="9"/>
  <c r="P66" i="9"/>
  <c r="L66" i="9"/>
  <c r="H66" i="9"/>
  <c r="D66" i="9"/>
  <c r="X65" i="9"/>
  <c r="T65" i="9"/>
  <c r="P65" i="9"/>
  <c r="L65" i="9"/>
  <c r="H65" i="9"/>
  <c r="D65" i="9"/>
  <c r="X64" i="9"/>
  <c r="T64" i="9"/>
  <c r="P64" i="9"/>
  <c r="L64" i="9"/>
  <c r="H64" i="9"/>
  <c r="D64" i="9"/>
  <c r="X63" i="9"/>
  <c r="T63" i="9"/>
  <c r="P63" i="9"/>
  <c r="L63" i="9"/>
  <c r="H63" i="9"/>
  <c r="D63" i="9"/>
  <c r="X62" i="9"/>
  <c r="T62" i="9"/>
  <c r="P62" i="9"/>
  <c r="L62" i="9"/>
  <c r="H62" i="9"/>
  <c r="D62" i="9"/>
  <c r="X61" i="9"/>
  <c r="T61" i="9"/>
  <c r="P61" i="9"/>
  <c r="L61" i="9"/>
  <c r="H61" i="9"/>
  <c r="D61" i="9"/>
  <c r="X60" i="9"/>
  <c r="T60" i="9"/>
  <c r="P60" i="9"/>
  <c r="L60" i="9"/>
  <c r="H60" i="9"/>
  <c r="D60" i="9"/>
  <c r="X59" i="9"/>
  <c r="T59" i="9"/>
  <c r="P59" i="9"/>
  <c r="L59" i="9"/>
  <c r="H59" i="9"/>
  <c r="D59" i="9"/>
  <c r="X58" i="9"/>
  <c r="T58" i="9"/>
  <c r="P58" i="9"/>
  <c r="L58" i="9"/>
  <c r="H58" i="9"/>
  <c r="D58" i="9"/>
  <c r="X57" i="9"/>
  <c r="T57" i="9"/>
  <c r="P57" i="9"/>
  <c r="L57" i="9"/>
  <c r="H57" i="9"/>
  <c r="D57" i="9"/>
  <c r="X56" i="9"/>
  <c r="T56" i="9"/>
  <c r="P56" i="9"/>
  <c r="L56" i="9"/>
  <c r="H56" i="9"/>
  <c r="D56" i="9"/>
  <c r="X55" i="9"/>
  <c r="T55" i="9"/>
  <c r="P55" i="9"/>
  <c r="L55" i="9"/>
  <c r="H55" i="9"/>
  <c r="D55" i="9"/>
  <c r="X54" i="9"/>
  <c r="T54" i="9"/>
  <c r="P54" i="9"/>
  <c r="L54" i="9"/>
  <c r="H54" i="9"/>
  <c r="D54" i="9"/>
  <c r="X53" i="9"/>
  <c r="T53" i="9"/>
  <c r="P53" i="9"/>
  <c r="L53" i="9"/>
  <c r="H53" i="9"/>
  <c r="D53" i="9"/>
  <c r="X52" i="9"/>
  <c r="T52" i="9"/>
  <c r="P52" i="9"/>
  <c r="L52" i="9"/>
  <c r="H52" i="9"/>
  <c r="D52" i="9"/>
  <c r="X51" i="9"/>
  <c r="T51" i="9"/>
  <c r="P51" i="9"/>
  <c r="L51" i="9"/>
  <c r="H51" i="9"/>
  <c r="D51" i="9"/>
  <c r="X50" i="9"/>
  <c r="T50" i="9"/>
  <c r="P50" i="9"/>
  <c r="L50" i="9"/>
  <c r="H50" i="9"/>
  <c r="D50" i="9"/>
  <c r="X49" i="9"/>
  <c r="T49" i="9"/>
  <c r="P49" i="9"/>
  <c r="L49" i="9"/>
  <c r="H49" i="9"/>
  <c r="D49" i="9"/>
  <c r="X48" i="9"/>
  <c r="T48" i="9"/>
  <c r="P48" i="9"/>
  <c r="L48" i="9"/>
  <c r="H48" i="9"/>
  <c r="D48" i="9"/>
  <c r="X47" i="9"/>
  <c r="T47" i="9"/>
  <c r="P47" i="9"/>
  <c r="L47" i="9"/>
  <c r="H47" i="9"/>
  <c r="D47" i="9"/>
  <c r="X46" i="9"/>
  <c r="T46" i="9"/>
  <c r="P46" i="9"/>
  <c r="L46" i="9"/>
  <c r="H46" i="9"/>
  <c r="D46" i="9"/>
  <c r="X45" i="9"/>
  <c r="T45" i="9"/>
  <c r="P45" i="9"/>
  <c r="L45" i="9"/>
  <c r="H45" i="9"/>
  <c r="D45" i="9"/>
  <c r="X44" i="9"/>
  <c r="T44" i="9"/>
  <c r="P44" i="9"/>
  <c r="L44" i="9"/>
  <c r="H44" i="9"/>
  <c r="D44" i="9"/>
  <c r="X43" i="9"/>
  <c r="T43" i="9"/>
  <c r="P43" i="9"/>
  <c r="L43" i="9"/>
  <c r="H43" i="9"/>
  <c r="D43" i="9"/>
  <c r="X42" i="9"/>
  <c r="T42" i="9"/>
  <c r="P42" i="9"/>
  <c r="L42" i="9"/>
  <c r="H42" i="9"/>
  <c r="D42" i="9"/>
  <c r="X41" i="9"/>
  <c r="T41" i="9"/>
  <c r="P41" i="9"/>
  <c r="L41" i="9"/>
  <c r="H41" i="9"/>
  <c r="D41" i="9"/>
  <c r="X40" i="9"/>
  <c r="T40" i="9"/>
  <c r="P40" i="9"/>
  <c r="L40" i="9"/>
  <c r="H40" i="9"/>
  <c r="D40" i="9"/>
  <c r="X39" i="9"/>
  <c r="T39" i="9"/>
  <c r="P39" i="9"/>
  <c r="L39" i="9"/>
  <c r="H39" i="9"/>
  <c r="D39" i="9"/>
  <c r="X38" i="9"/>
  <c r="T38" i="9"/>
  <c r="P38" i="9"/>
  <c r="L38" i="9"/>
  <c r="H38" i="9"/>
  <c r="D38" i="9"/>
  <c r="X37" i="9"/>
  <c r="T37" i="9"/>
  <c r="P37" i="9"/>
  <c r="L37" i="9"/>
  <c r="H37" i="9"/>
  <c r="D37" i="9"/>
  <c r="X36" i="9"/>
  <c r="T36" i="9"/>
  <c r="P36" i="9"/>
  <c r="L36" i="9"/>
  <c r="H36" i="9"/>
  <c r="D36" i="9"/>
  <c r="X35" i="9"/>
  <c r="T35" i="9"/>
  <c r="P35" i="9"/>
  <c r="L35" i="9"/>
  <c r="H35" i="9"/>
  <c r="D35" i="9"/>
  <c r="X34" i="9"/>
  <c r="T34" i="9"/>
  <c r="P34" i="9"/>
  <c r="L34" i="9"/>
  <c r="H34" i="9"/>
  <c r="D34" i="9"/>
  <c r="X33" i="9"/>
  <c r="T33" i="9"/>
  <c r="P33" i="9"/>
  <c r="L33" i="9"/>
  <c r="H33" i="9"/>
  <c r="D33" i="9"/>
  <c r="X32" i="9"/>
  <c r="T32" i="9"/>
  <c r="P32" i="9"/>
  <c r="L32" i="9"/>
  <c r="H32" i="9"/>
  <c r="D32" i="9"/>
  <c r="X31" i="9"/>
  <c r="T31" i="9"/>
  <c r="P31" i="9"/>
  <c r="L31" i="9"/>
  <c r="H31" i="9"/>
  <c r="D31" i="9"/>
  <c r="X30" i="9"/>
  <c r="T30" i="9"/>
  <c r="P30" i="9"/>
  <c r="L30" i="9"/>
  <c r="H30" i="9"/>
  <c r="D30" i="9"/>
  <c r="X29" i="9"/>
  <c r="T29" i="9"/>
  <c r="P29" i="9"/>
  <c r="L29" i="9"/>
  <c r="H29" i="9"/>
  <c r="D29" i="9"/>
  <c r="X28" i="9"/>
  <c r="T28" i="9"/>
  <c r="P28" i="9"/>
  <c r="L28" i="9"/>
  <c r="H28" i="9"/>
  <c r="D28" i="9"/>
  <c r="X27" i="9"/>
  <c r="T27" i="9"/>
  <c r="P27" i="9"/>
  <c r="L27" i="9"/>
  <c r="H27" i="9"/>
  <c r="D27" i="9"/>
  <c r="X26" i="9"/>
  <c r="T26" i="9"/>
  <c r="P26" i="9"/>
  <c r="L26" i="9"/>
  <c r="H26" i="9"/>
  <c r="D26" i="9"/>
  <c r="X25" i="9"/>
  <c r="T25" i="9"/>
  <c r="P25" i="9"/>
  <c r="L25" i="9"/>
  <c r="H25" i="9"/>
  <c r="D25" i="9"/>
  <c r="X24" i="9"/>
  <c r="T24" i="9"/>
  <c r="P24" i="9"/>
  <c r="L24" i="9"/>
  <c r="H24" i="9"/>
  <c r="D24" i="9"/>
  <c r="X23" i="9"/>
  <c r="T23" i="9"/>
  <c r="P23" i="9"/>
  <c r="L23" i="9"/>
  <c r="H23" i="9"/>
  <c r="D23" i="9"/>
  <c r="X22" i="9"/>
  <c r="T22" i="9"/>
  <c r="P22" i="9"/>
  <c r="L22" i="9"/>
  <c r="H22" i="9"/>
  <c r="D22" i="9"/>
  <c r="X21" i="9"/>
  <c r="T21" i="9"/>
  <c r="P21" i="9"/>
  <c r="L21" i="9"/>
  <c r="H21" i="9"/>
  <c r="D21" i="9"/>
  <c r="X20" i="9"/>
  <c r="T20" i="9"/>
  <c r="P20" i="9"/>
  <c r="L20" i="9"/>
  <c r="H20" i="9"/>
  <c r="D20" i="9"/>
  <c r="X19" i="9"/>
  <c r="T19" i="9"/>
  <c r="P19" i="9"/>
  <c r="L19" i="9"/>
  <c r="H19" i="9"/>
  <c r="D19" i="9"/>
  <c r="X18" i="9"/>
  <c r="T18" i="9"/>
  <c r="P18" i="9"/>
  <c r="L18" i="9"/>
  <c r="H18" i="9"/>
  <c r="D18" i="9"/>
  <c r="X17" i="9"/>
  <c r="T17" i="9"/>
  <c r="P17" i="9"/>
  <c r="L17" i="9"/>
  <c r="H17" i="9"/>
  <c r="D17" i="9"/>
  <c r="X16" i="9"/>
  <c r="T16" i="9"/>
  <c r="P16" i="9"/>
  <c r="L16" i="9"/>
  <c r="H16" i="9"/>
  <c r="D16" i="9"/>
  <c r="X15" i="9"/>
  <c r="T15" i="9"/>
  <c r="P15" i="9"/>
  <c r="L15" i="9"/>
  <c r="H15" i="9"/>
  <c r="D15" i="9"/>
  <c r="X14" i="9"/>
  <c r="T14" i="9"/>
  <c r="P14" i="9"/>
  <c r="L14" i="9"/>
  <c r="H14" i="9"/>
  <c r="D14" i="9"/>
  <c r="X13" i="9"/>
  <c r="T13" i="9"/>
  <c r="P13" i="9"/>
  <c r="L13" i="9"/>
  <c r="H13" i="9"/>
  <c r="D13" i="9"/>
  <c r="X12" i="9"/>
  <c r="T12" i="9"/>
  <c r="P12" i="9"/>
  <c r="L12" i="9"/>
  <c r="H12" i="9"/>
  <c r="D12" i="9"/>
  <c r="X11" i="9"/>
  <c r="T11" i="9"/>
  <c r="P11" i="9"/>
  <c r="L11" i="9"/>
  <c r="H11" i="9"/>
  <c r="D11" i="9"/>
  <c r="X10" i="9"/>
  <c r="T10" i="9"/>
  <c r="P10" i="9"/>
  <c r="L10" i="9"/>
  <c r="H10" i="9"/>
  <c r="D10" i="9"/>
  <c r="X9" i="9"/>
  <c r="T9" i="9"/>
  <c r="P9" i="9"/>
  <c r="L9" i="9"/>
  <c r="H9" i="9"/>
  <c r="D9" i="9"/>
  <c r="X8" i="9"/>
  <c r="T8" i="9"/>
  <c r="P8" i="9"/>
  <c r="L8" i="9"/>
  <c r="H8" i="9"/>
  <c r="D8" i="9"/>
  <c r="X7" i="9"/>
  <c r="T7" i="9"/>
  <c r="P7" i="9"/>
  <c r="L7" i="9"/>
  <c r="H7" i="9"/>
  <c r="D7" i="9"/>
  <c r="X6" i="9"/>
  <c r="T6" i="9"/>
  <c r="P6" i="9"/>
  <c r="L6" i="9"/>
  <c r="H6" i="9"/>
  <c r="D6" i="9"/>
  <c r="X5" i="9"/>
  <c r="T5" i="9"/>
  <c r="P5" i="9"/>
  <c r="L5" i="9"/>
  <c r="H5" i="9"/>
  <c r="D5" i="9"/>
  <c r="X4" i="9"/>
  <c r="T4" i="9"/>
  <c r="P4" i="9"/>
  <c r="L4" i="9"/>
  <c r="H4" i="9"/>
  <c r="D4" i="9"/>
  <c r="X3" i="9"/>
  <c r="T3" i="9"/>
  <c r="P3" i="9"/>
  <c r="L3" i="9"/>
  <c r="H3" i="9"/>
  <c r="D3" i="9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W32" i="8"/>
  <c r="X32" i="8"/>
  <c r="K32" i="8"/>
  <c r="L32" i="8"/>
  <c r="E32" i="8"/>
  <c r="F32" i="8"/>
  <c r="W31" i="8"/>
  <c r="X31" i="8"/>
  <c r="K31" i="8"/>
  <c r="L31" i="8"/>
  <c r="E31" i="8"/>
  <c r="F31" i="8"/>
  <c r="W30" i="8"/>
  <c r="X30" i="8"/>
  <c r="K30" i="8"/>
  <c r="L30" i="8"/>
  <c r="E30" i="8"/>
  <c r="F30" i="8"/>
  <c r="W29" i="8"/>
  <c r="X29" i="8"/>
  <c r="K29" i="8"/>
  <c r="L29" i="8"/>
  <c r="E29" i="8"/>
  <c r="F29" i="8"/>
  <c r="W28" i="8"/>
  <c r="X28" i="8"/>
  <c r="K28" i="8"/>
  <c r="L28" i="8"/>
  <c r="E28" i="8"/>
  <c r="F28" i="8"/>
  <c r="W27" i="8"/>
  <c r="X27" i="8"/>
  <c r="K27" i="8"/>
  <c r="L27" i="8"/>
  <c r="E27" i="8"/>
  <c r="F27" i="8"/>
  <c r="W26" i="8"/>
  <c r="X26" i="8"/>
  <c r="K26" i="8"/>
  <c r="L26" i="8"/>
  <c r="E26" i="8"/>
  <c r="F26" i="8"/>
  <c r="W25" i="8"/>
  <c r="X25" i="8"/>
  <c r="K25" i="8"/>
  <c r="L25" i="8"/>
  <c r="E25" i="8"/>
  <c r="F25" i="8"/>
  <c r="W24" i="8"/>
  <c r="X24" i="8"/>
  <c r="K24" i="8"/>
  <c r="L24" i="8"/>
  <c r="E24" i="8"/>
  <c r="F24" i="8"/>
  <c r="W23" i="8"/>
  <c r="X23" i="8"/>
  <c r="K23" i="8"/>
  <c r="L23" i="8"/>
  <c r="E23" i="8"/>
  <c r="F23" i="8"/>
  <c r="W22" i="8"/>
  <c r="X22" i="8"/>
  <c r="K22" i="8"/>
  <c r="L22" i="8"/>
  <c r="E22" i="8"/>
  <c r="F22" i="8"/>
  <c r="W21" i="8"/>
  <c r="X21" i="8"/>
  <c r="K21" i="8"/>
  <c r="L21" i="8"/>
  <c r="E21" i="8"/>
  <c r="F21" i="8"/>
  <c r="W20" i="8"/>
  <c r="X20" i="8"/>
  <c r="K20" i="8"/>
  <c r="L20" i="8"/>
  <c r="E20" i="8"/>
  <c r="F20" i="8"/>
  <c r="W19" i="8"/>
  <c r="X19" i="8"/>
  <c r="K19" i="8"/>
  <c r="L19" i="8"/>
  <c r="E19" i="8"/>
  <c r="F19" i="8"/>
  <c r="W18" i="8"/>
  <c r="X18" i="8"/>
  <c r="K18" i="8"/>
  <c r="L18" i="8"/>
  <c r="E18" i="8"/>
  <c r="F18" i="8"/>
  <c r="W17" i="8"/>
  <c r="X17" i="8"/>
  <c r="K17" i="8"/>
  <c r="L17" i="8"/>
  <c r="E17" i="8"/>
  <c r="F17" i="8"/>
  <c r="W16" i="8"/>
  <c r="X16" i="8"/>
  <c r="K16" i="8"/>
  <c r="L16" i="8"/>
  <c r="E16" i="8"/>
  <c r="F16" i="8"/>
  <c r="W15" i="8"/>
  <c r="X15" i="8"/>
  <c r="K15" i="8"/>
  <c r="L15" i="8"/>
  <c r="E15" i="8"/>
  <c r="F15" i="8"/>
  <c r="W14" i="8"/>
  <c r="X14" i="8"/>
  <c r="K14" i="8"/>
  <c r="L14" i="8"/>
  <c r="E14" i="8"/>
  <c r="F14" i="8"/>
  <c r="W13" i="8"/>
  <c r="X13" i="8"/>
  <c r="K13" i="8"/>
  <c r="L13" i="8"/>
  <c r="E13" i="8"/>
  <c r="F13" i="8"/>
  <c r="W12" i="8"/>
  <c r="X12" i="8"/>
  <c r="K12" i="8"/>
  <c r="L12" i="8"/>
  <c r="E12" i="8"/>
  <c r="F12" i="8"/>
  <c r="W11" i="8"/>
  <c r="X11" i="8"/>
  <c r="Q11" i="8"/>
  <c r="R11" i="8"/>
  <c r="K11" i="8"/>
  <c r="L11" i="8"/>
  <c r="E11" i="8"/>
  <c r="F11" i="8"/>
  <c r="W10" i="8"/>
  <c r="X10" i="8"/>
  <c r="Q10" i="8"/>
  <c r="R10" i="8"/>
  <c r="K10" i="8"/>
  <c r="L10" i="8"/>
  <c r="E10" i="8"/>
  <c r="F10" i="8"/>
  <c r="W9" i="8"/>
  <c r="X9" i="8"/>
  <c r="Q9" i="8"/>
  <c r="R9" i="8"/>
  <c r="K9" i="8"/>
  <c r="L9" i="8"/>
  <c r="E9" i="8"/>
  <c r="F9" i="8"/>
  <c r="W8" i="8"/>
  <c r="X8" i="8"/>
  <c r="Q8" i="8"/>
  <c r="R8" i="8"/>
  <c r="K8" i="8"/>
  <c r="L8" i="8"/>
  <c r="E8" i="8"/>
  <c r="F8" i="8"/>
  <c r="W7" i="8"/>
  <c r="X7" i="8"/>
  <c r="Q7" i="8"/>
  <c r="R7" i="8"/>
  <c r="K7" i="8"/>
  <c r="L7" i="8"/>
  <c r="E7" i="8"/>
  <c r="F7" i="8"/>
  <c r="W6" i="8"/>
  <c r="X6" i="8"/>
  <c r="Q6" i="8"/>
  <c r="R6" i="8"/>
  <c r="K6" i="8"/>
  <c r="L6" i="8"/>
  <c r="E6" i="8"/>
  <c r="F6" i="8"/>
  <c r="W5" i="8"/>
  <c r="X5" i="8"/>
  <c r="Q5" i="8"/>
  <c r="R5" i="8"/>
  <c r="K5" i="8"/>
  <c r="L5" i="8"/>
  <c r="E5" i="8"/>
  <c r="F5" i="8"/>
  <c r="W32" i="7"/>
  <c r="X32" i="7"/>
  <c r="W31" i="7"/>
  <c r="X31" i="7"/>
  <c r="W30" i="7"/>
  <c r="X30" i="7"/>
  <c r="W29" i="7"/>
  <c r="X29" i="7"/>
  <c r="W28" i="7"/>
  <c r="X28" i="7"/>
  <c r="W27" i="7"/>
  <c r="X27" i="7"/>
  <c r="W26" i="7"/>
  <c r="X26" i="7"/>
  <c r="W25" i="7"/>
  <c r="X25" i="7"/>
  <c r="W24" i="7"/>
  <c r="X24" i="7"/>
  <c r="W23" i="7"/>
  <c r="X23" i="7"/>
  <c r="W22" i="7"/>
  <c r="X22" i="7"/>
  <c r="W21" i="7"/>
  <c r="X21" i="7"/>
  <c r="W20" i="7"/>
  <c r="X20" i="7"/>
  <c r="W19" i="7"/>
  <c r="X19" i="7"/>
  <c r="W18" i="7"/>
  <c r="X18" i="7"/>
  <c r="W17" i="7"/>
  <c r="X17" i="7"/>
  <c r="W16" i="7"/>
  <c r="X16" i="7"/>
  <c r="W15" i="7"/>
  <c r="X15" i="7"/>
  <c r="W14" i="7"/>
  <c r="X14" i="7"/>
  <c r="W13" i="7"/>
  <c r="X13" i="7"/>
  <c r="W12" i="7"/>
  <c r="X12" i="7"/>
  <c r="W11" i="7"/>
  <c r="X11" i="7"/>
  <c r="W10" i="7"/>
  <c r="X10" i="7"/>
  <c r="W9" i="7"/>
  <c r="X9" i="7"/>
  <c r="W8" i="7"/>
  <c r="X8" i="7"/>
  <c r="W7" i="7"/>
  <c r="X7" i="7"/>
  <c r="W6" i="7"/>
  <c r="X6" i="7"/>
  <c r="W5" i="7"/>
  <c r="X5" i="7"/>
  <c r="Q11" i="7"/>
  <c r="R11" i="7"/>
  <c r="Q10" i="7"/>
  <c r="R10" i="7"/>
  <c r="Q9" i="7"/>
  <c r="R9" i="7"/>
  <c r="Q8" i="7"/>
  <c r="R8" i="7"/>
  <c r="Q7" i="7"/>
  <c r="R7" i="7"/>
  <c r="Q6" i="7"/>
  <c r="R6" i="7"/>
  <c r="Q5" i="7"/>
  <c r="R5" i="7"/>
  <c r="K32" i="7"/>
  <c r="L32" i="7"/>
  <c r="K31" i="7"/>
  <c r="L31" i="7"/>
  <c r="K30" i="7"/>
  <c r="L30" i="7"/>
  <c r="K29" i="7"/>
  <c r="L29" i="7"/>
  <c r="K28" i="7"/>
  <c r="L28" i="7"/>
  <c r="K27" i="7"/>
  <c r="L27" i="7"/>
  <c r="K26" i="7"/>
  <c r="L26" i="7"/>
  <c r="K25" i="7"/>
  <c r="L25" i="7"/>
  <c r="K24" i="7"/>
  <c r="L24" i="7"/>
  <c r="K23" i="7"/>
  <c r="L23" i="7"/>
  <c r="K22" i="7"/>
  <c r="L22" i="7"/>
  <c r="K21" i="7"/>
  <c r="L21" i="7"/>
  <c r="K20" i="7"/>
  <c r="L20" i="7"/>
  <c r="K19" i="7"/>
  <c r="L19" i="7"/>
  <c r="K18" i="7"/>
  <c r="L18" i="7"/>
  <c r="K17" i="7"/>
  <c r="L17" i="7"/>
  <c r="K16" i="7"/>
  <c r="L16" i="7"/>
  <c r="K15" i="7"/>
  <c r="L15" i="7"/>
  <c r="K14" i="7"/>
  <c r="L14" i="7"/>
  <c r="K13" i="7"/>
  <c r="L13" i="7"/>
  <c r="K12" i="7"/>
  <c r="L12" i="7"/>
  <c r="K11" i="7"/>
  <c r="L11" i="7"/>
  <c r="K10" i="7"/>
  <c r="L10" i="7"/>
  <c r="K9" i="7"/>
  <c r="L9" i="7"/>
  <c r="K8" i="7"/>
  <c r="L8" i="7"/>
  <c r="K7" i="7"/>
  <c r="L7" i="7"/>
  <c r="K6" i="7"/>
  <c r="L6" i="7"/>
  <c r="K5" i="7"/>
  <c r="L5" i="7"/>
  <c r="E32" i="7"/>
  <c r="F32" i="7"/>
  <c r="E31" i="7"/>
  <c r="F31" i="7"/>
  <c r="E30" i="7"/>
  <c r="F30" i="7"/>
  <c r="E29" i="7"/>
  <c r="F29" i="7"/>
  <c r="E28" i="7"/>
  <c r="F28" i="7"/>
  <c r="E27" i="7"/>
  <c r="F27" i="7"/>
  <c r="E26" i="7"/>
  <c r="F26" i="7"/>
  <c r="E25" i="7"/>
  <c r="F25" i="7"/>
  <c r="E24" i="7"/>
  <c r="F24" i="7"/>
  <c r="E23" i="7"/>
  <c r="F23" i="7"/>
  <c r="E22" i="7"/>
  <c r="F22" i="7"/>
  <c r="E21" i="7"/>
  <c r="F21" i="7"/>
  <c r="E20" i="7"/>
  <c r="F20" i="7"/>
  <c r="E19" i="7"/>
  <c r="F19" i="7"/>
  <c r="E18" i="7"/>
  <c r="F18" i="7"/>
  <c r="E17" i="7"/>
  <c r="F17" i="7"/>
  <c r="E16" i="7"/>
  <c r="F16" i="7"/>
  <c r="E15" i="7"/>
  <c r="F15" i="7"/>
  <c r="E14" i="7"/>
  <c r="F14" i="7"/>
  <c r="E13" i="7"/>
  <c r="F13" i="7"/>
  <c r="E12" i="7"/>
  <c r="F12" i="7"/>
  <c r="E11" i="7"/>
  <c r="F11" i="7"/>
  <c r="E10" i="7"/>
  <c r="F10" i="7"/>
  <c r="E9" i="7"/>
  <c r="F9" i="7"/>
  <c r="E8" i="7"/>
  <c r="F8" i="7"/>
  <c r="E7" i="7"/>
  <c r="F7" i="7"/>
  <c r="E6" i="7"/>
  <c r="F6" i="7"/>
  <c r="E5" i="7"/>
  <c r="F5" i="7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18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C198" i="6"/>
  <c r="C200" i="6"/>
  <c r="C202" i="6"/>
  <c r="C204" i="6"/>
  <c r="C205" i="6"/>
  <c r="C206" i="6"/>
  <c r="C208" i="6"/>
  <c r="C209" i="6"/>
  <c r="C210" i="6"/>
  <c r="C212" i="6"/>
  <c r="C214" i="6"/>
  <c r="C216" i="6"/>
  <c r="C217" i="6"/>
  <c r="C218" i="6"/>
  <c r="C220" i="6"/>
  <c r="C222" i="6"/>
  <c r="C224" i="6"/>
  <c r="C225" i="6"/>
  <c r="C226" i="6"/>
  <c r="C228" i="6"/>
  <c r="C230" i="6"/>
  <c r="C232" i="6"/>
  <c r="C233" i="6"/>
  <c r="C234" i="6"/>
  <c r="C236" i="6"/>
  <c r="C238" i="6"/>
  <c r="C240" i="6"/>
  <c r="C241" i="6"/>
  <c r="C242" i="6"/>
  <c r="C244" i="6"/>
  <c r="C246" i="6"/>
  <c r="C248" i="6"/>
  <c r="C249" i="6"/>
  <c r="C250" i="6"/>
  <c r="C251" i="6"/>
  <c r="C252" i="6"/>
  <c r="C254" i="6"/>
  <c r="C255" i="6"/>
  <c r="C256" i="6"/>
  <c r="C257" i="6"/>
  <c r="C258" i="6"/>
  <c r="C260" i="6"/>
  <c r="C262" i="6"/>
  <c r="C264" i="6"/>
  <c r="C265" i="6"/>
  <c r="C266" i="6"/>
  <c r="C268" i="6"/>
  <c r="C270" i="6"/>
  <c r="C272" i="6"/>
  <c r="C273" i="6"/>
  <c r="C274" i="6"/>
  <c r="C276" i="6"/>
  <c r="C278" i="6"/>
  <c r="C280" i="6"/>
  <c r="C281" i="6"/>
  <c r="C282" i="6"/>
  <c r="C283" i="6"/>
  <c r="C284" i="6"/>
  <c r="C286" i="6"/>
  <c r="C288" i="6"/>
  <c r="C289" i="6"/>
  <c r="C290" i="6"/>
  <c r="C292" i="6"/>
  <c r="C294" i="6"/>
  <c r="C296" i="6"/>
  <c r="C297" i="6"/>
  <c r="C298" i="6"/>
  <c r="C300" i="6"/>
  <c r="C302" i="6"/>
  <c r="C304" i="6"/>
  <c r="C305" i="6"/>
  <c r="C306" i="6"/>
  <c r="C308" i="6"/>
  <c r="C310" i="6"/>
  <c r="C312" i="6"/>
  <c r="C313" i="6"/>
  <c r="C314" i="6"/>
  <c r="C316" i="6"/>
  <c r="C318" i="6"/>
  <c r="C319" i="6"/>
  <c r="C320" i="6"/>
  <c r="C321" i="6"/>
  <c r="C322" i="6"/>
  <c r="C324" i="6"/>
  <c r="C326" i="6"/>
  <c r="C328" i="6"/>
  <c r="C329" i="6"/>
  <c r="C330" i="6"/>
  <c r="C332" i="6"/>
  <c r="C334" i="6"/>
  <c r="C336" i="6"/>
  <c r="C338" i="6"/>
  <c r="C340" i="6"/>
  <c r="C342" i="6"/>
  <c r="C344" i="6"/>
  <c r="C346" i="6"/>
  <c r="C347" i="6"/>
  <c r="C348" i="6"/>
  <c r="C350" i="6"/>
  <c r="C352" i="6"/>
  <c r="C354" i="6"/>
  <c r="C356" i="6"/>
  <c r="C358" i="6"/>
  <c r="C360" i="6"/>
  <c r="C379" i="6"/>
  <c r="C383" i="6"/>
  <c r="C411" i="6"/>
  <c r="C433" i="6"/>
  <c r="C441" i="6"/>
  <c r="C443" i="6"/>
  <c r="C447" i="6"/>
  <c r="C449" i="6"/>
  <c r="C457" i="6"/>
  <c r="C465" i="6"/>
  <c r="C473" i="6"/>
  <c r="C475" i="6"/>
  <c r="C481" i="6"/>
  <c r="C484" i="6"/>
  <c r="C485" i="6"/>
  <c r="C488" i="6"/>
  <c r="C492" i="6"/>
  <c r="C493" i="6"/>
  <c r="C496" i="6"/>
  <c r="C497" i="6"/>
  <c r="C500" i="6"/>
  <c r="D199" i="6"/>
  <c r="D200" i="6"/>
  <c r="D201" i="6"/>
  <c r="D203" i="6"/>
  <c r="D204" i="6"/>
  <c r="D207" i="6"/>
  <c r="D208" i="6"/>
  <c r="D209" i="6"/>
  <c r="D211" i="6"/>
  <c r="D212" i="6"/>
  <c r="D215" i="6"/>
  <c r="D216" i="6"/>
  <c r="D219" i="6"/>
  <c r="D220" i="6"/>
  <c r="D223" i="6"/>
  <c r="D224" i="6"/>
  <c r="D225" i="6"/>
  <c r="D227" i="6"/>
  <c r="D228" i="6"/>
  <c r="D231" i="6"/>
  <c r="D232" i="6"/>
  <c r="D235" i="6"/>
  <c r="D236" i="6"/>
  <c r="D239" i="6"/>
  <c r="D240" i="6"/>
  <c r="D241" i="6"/>
  <c r="D243" i="6"/>
  <c r="D244" i="6"/>
  <c r="D247" i="6"/>
  <c r="D248" i="6"/>
  <c r="D251" i="6"/>
  <c r="D252" i="6"/>
  <c r="D255" i="6"/>
  <c r="D256" i="6"/>
  <c r="D260" i="6"/>
  <c r="D263" i="6"/>
  <c r="D264" i="6"/>
  <c r="D267" i="6"/>
  <c r="D268" i="6"/>
  <c r="D271" i="6"/>
  <c r="D272" i="6"/>
  <c r="D276" i="6"/>
  <c r="D279" i="6"/>
  <c r="D280" i="6"/>
  <c r="D284" i="6"/>
  <c r="D287" i="6"/>
  <c r="D288" i="6"/>
  <c r="D292" i="6"/>
  <c r="D295" i="6"/>
  <c r="D296" i="6"/>
  <c r="D300" i="6"/>
  <c r="D303" i="6"/>
  <c r="D304" i="6"/>
  <c r="D308" i="6"/>
  <c r="D311" i="6"/>
  <c r="D312" i="6"/>
  <c r="D316" i="6"/>
  <c r="D320" i="6"/>
  <c r="D324" i="6"/>
  <c r="D328" i="6"/>
  <c r="D332" i="6"/>
  <c r="D339" i="6"/>
  <c r="D347" i="6"/>
  <c r="D355" i="6"/>
  <c r="D363" i="6"/>
  <c r="D371" i="6"/>
  <c r="D379" i="6"/>
  <c r="D387" i="6"/>
  <c r="D395" i="6"/>
  <c r="D403" i="6"/>
  <c r="D411" i="6"/>
  <c r="D419" i="6"/>
  <c r="D427" i="6"/>
  <c r="D439" i="6"/>
  <c r="D443" i="6"/>
  <c r="D455" i="6"/>
  <c r="D459" i="6"/>
  <c r="D471" i="6"/>
  <c r="D475" i="6"/>
  <c r="D481" i="6"/>
  <c r="D484" i="6"/>
  <c r="D487" i="6"/>
  <c r="D493" i="6"/>
  <c r="F22" i="6"/>
  <c r="F23" i="6"/>
  <c r="F24" i="6"/>
  <c r="F25" i="6"/>
  <c r="F26" i="6"/>
  <c r="F27" i="6"/>
  <c r="F28" i="6"/>
  <c r="F29" i="6"/>
  <c r="F30" i="6"/>
  <c r="F31" i="6"/>
  <c r="F32" i="6"/>
  <c r="F33" i="6"/>
  <c r="F40" i="6"/>
  <c r="F41" i="6"/>
  <c r="F42" i="6"/>
  <c r="F43" i="6"/>
  <c r="F54" i="6"/>
  <c r="F55" i="6"/>
  <c r="F56" i="6"/>
  <c r="F57" i="6"/>
  <c r="F58" i="6"/>
  <c r="F64" i="6"/>
  <c r="F65" i="6"/>
  <c r="F66" i="6"/>
  <c r="F67" i="6"/>
  <c r="F78" i="6"/>
  <c r="F79" i="6"/>
  <c r="F80" i="6"/>
  <c r="F81" i="6"/>
  <c r="F82" i="6"/>
  <c r="F88" i="6"/>
  <c r="F89" i="6"/>
  <c r="F90" i="6"/>
  <c r="F91" i="6"/>
  <c r="F100" i="6"/>
  <c r="F101" i="6"/>
  <c r="F102" i="6"/>
  <c r="F103" i="6"/>
  <c r="F114" i="6"/>
  <c r="F115" i="6"/>
  <c r="F116" i="6"/>
  <c r="F117" i="6"/>
  <c r="F126" i="6"/>
  <c r="F127" i="6"/>
  <c r="F128" i="6"/>
  <c r="F129" i="6"/>
  <c r="F130" i="6"/>
  <c r="F131" i="6"/>
  <c r="F138" i="6"/>
  <c r="F139" i="6"/>
  <c r="F140" i="6"/>
  <c r="F141" i="6"/>
  <c r="F142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5" i="6"/>
  <c r="F166" i="6"/>
  <c r="F167" i="6"/>
  <c r="F168" i="6"/>
  <c r="F169" i="6"/>
  <c r="F170" i="6"/>
  <c r="F175" i="6"/>
  <c r="F176" i="6"/>
  <c r="F177" i="6"/>
  <c r="F178" i="6"/>
  <c r="F179" i="6"/>
  <c r="F190" i="6"/>
  <c r="F191" i="6"/>
  <c r="F192" i="6"/>
  <c r="F193" i="6"/>
  <c r="F194" i="6"/>
  <c r="F195" i="6"/>
  <c r="F19" i="6"/>
  <c r="F20" i="6"/>
  <c r="F21" i="6"/>
  <c r="F34" i="6"/>
  <c r="F35" i="6"/>
  <c r="F36" i="6"/>
  <c r="F37" i="6"/>
  <c r="F38" i="6"/>
  <c r="F39" i="6"/>
  <c r="F44" i="6"/>
  <c r="F45" i="6"/>
  <c r="F46" i="6"/>
  <c r="F47" i="6"/>
  <c r="F48" i="6"/>
  <c r="F49" i="6"/>
  <c r="F50" i="6"/>
  <c r="F51" i="6"/>
  <c r="F52" i="6"/>
  <c r="F53" i="6"/>
  <c r="F59" i="6"/>
  <c r="F60" i="6"/>
  <c r="F61" i="6"/>
  <c r="F62" i="6"/>
  <c r="F63" i="6"/>
  <c r="F68" i="6"/>
  <c r="F69" i="6"/>
  <c r="F70" i="6"/>
  <c r="F71" i="6"/>
  <c r="F72" i="6"/>
  <c r="F73" i="6"/>
  <c r="F74" i="6"/>
  <c r="F75" i="6"/>
  <c r="F76" i="6"/>
  <c r="F77" i="6"/>
  <c r="F83" i="6"/>
  <c r="F84" i="6"/>
  <c r="F85" i="6"/>
  <c r="F86" i="6"/>
  <c r="F87" i="6"/>
  <c r="F92" i="6"/>
  <c r="F93" i="6"/>
  <c r="F94" i="6"/>
  <c r="F95" i="6"/>
  <c r="F96" i="6"/>
  <c r="F97" i="6"/>
  <c r="F98" i="6"/>
  <c r="F99" i="6"/>
  <c r="F104" i="6"/>
  <c r="F105" i="6"/>
  <c r="F106" i="6"/>
  <c r="F107" i="6"/>
  <c r="F108" i="6"/>
  <c r="F109" i="6"/>
  <c r="F110" i="6"/>
  <c r="F111" i="6"/>
  <c r="F112" i="6"/>
  <c r="F113" i="6"/>
  <c r="F118" i="6"/>
  <c r="F119" i="6"/>
  <c r="F120" i="6"/>
  <c r="F121" i="6"/>
  <c r="F122" i="6"/>
  <c r="F123" i="6"/>
  <c r="F124" i="6"/>
  <c r="F125" i="6"/>
  <c r="F132" i="6"/>
  <c r="F133" i="6"/>
  <c r="F134" i="6"/>
  <c r="F135" i="6"/>
  <c r="F136" i="6"/>
  <c r="F137" i="6"/>
  <c r="F143" i="6"/>
  <c r="F144" i="6"/>
  <c r="F145" i="6"/>
  <c r="F146" i="6"/>
  <c r="F147" i="6"/>
  <c r="F160" i="6"/>
  <c r="F161" i="6"/>
  <c r="F162" i="6"/>
  <c r="F163" i="6"/>
  <c r="F164" i="6"/>
  <c r="F171" i="6"/>
  <c r="F172" i="6"/>
  <c r="F173" i="6"/>
  <c r="F174" i="6"/>
  <c r="F180" i="6"/>
  <c r="F181" i="6"/>
  <c r="F182" i="6"/>
  <c r="F183" i="6"/>
  <c r="F184" i="6"/>
  <c r="F185" i="6"/>
  <c r="F186" i="6"/>
  <c r="F187" i="6"/>
  <c r="F188" i="6"/>
  <c r="F189" i="6"/>
  <c r="F18" i="6"/>
  <c r="P18" i="6"/>
  <c r="O195" i="6"/>
  <c r="N195" i="6"/>
  <c r="O500" i="6"/>
  <c r="N500" i="6"/>
  <c r="O499" i="6"/>
  <c r="N499" i="6"/>
  <c r="O498" i="6"/>
  <c r="N498" i="6"/>
  <c r="O497" i="6"/>
  <c r="N497" i="6"/>
  <c r="O496" i="6"/>
  <c r="N496" i="6"/>
  <c r="O495" i="6"/>
  <c r="N495" i="6"/>
  <c r="O494" i="6"/>
  <c r="N494" i="6"/>
  <c r="O493" i="6"/>
  <c r="N493" i="6"/>
  <c r="O492" i="6"/>
  <c r="N492" i="6"/>
  <c r="O491" i="6"/>
  <c r="N491" i="6"/>
  <c r="O490" i="6"/>
  <c r="N490" i="6"/>
  <c r="O489" i="6"/>
  <c r="N489" i="6"/>
  <c r="O488" i="6"/>
  <c r="N488" i="6"/>
  <c r="O487" i="6"/>
  <c r="N487" i="6"/>
  <c r="O486" i="6"/>
  <c r="N486" i="6"/>
  <c r="O485" i="6"/>
  <c r="N485" i="6"/>
  <c r="O484" i="6"/>
  <c r="N484" i="6"/>
  <c r="O483" i="6"/>
  <c r="N483" i="6"/>
  <c r="O482" i="6"/>
  <c r="N482" i="6"/>
  <c r="O481" i="6"/>
  <c r="N481" i="6"/>
  <c r="O480" i="6"/>
  <c r="N480" i="6"/>
  <c r="O479" i="6"/>
  <c r="N479" i="6"/>
  <c r="O478" i="6"/>
  <c r="N478" i="6"/>
  <c r="O477" i="6"/>
  <c r="N477" i="6"/>
  <c r="O476" i="6"/>
  <c r="N476" i="6"/>
  <c r="O475" i="6"/>
  <c r="N475" i="6"/>
  <c r="O474" i="6"/>
  <c r="N474" i="6"/>
  <c r="O473" i="6"/>
  <c r="N473" i="6"/>
  <c r="O472" i="6"/>
  <c r="N472" i="6"/>
  <c r="O471" i="6"/>
  <c r="N471" i="6"/>
  <c r="O470" i="6"/>
  <c r="N470" i="6"/>
  <c r="O469" i="6"/>
  <c r="N469" i="6"/>
  <c r="O468" i="6"/>
  <c r="N468" i="6"/>
  <c r="O467" i="6"/>
  <c r="N467" i="6"/>
  <c r="O466" i="6"/>
  <c r="N466" i="6"/>
  <c r="O465" i="6"/>
  <c r="N465" i="6"/>
  <c r="O464" i="6"/>
  <c r="N464" i="6"/>
  <c r="O463" i="6"/>
  <c r="N463" i="6"/>
  <c r="O462" i="6"/>
  <c r="N462" i="6"/>
  <c r="O461" i="6"/>
  <c r="N461" i="6"/>
  <c r="O460" i="6"/>
  <c r="N460" i="6"/>
  <c r="O459" i="6"/>
  <c r="N459" i="6"/>
  <c r="O458" i="6"/>
  <c r="N458" i="6"/>
  <c r="O457" i="6"/>
  <c r="N457" i="6"/>
  <c r="O456" i="6"/>
  <c r="N456" i="6"/>
  <c r="O455" i="6"/>
  <c r="N455" i="6"/>
  <c r="O454" i="6"/>
  <c r="N454" i="6"/>
  <c r="O453" i="6"/>
  <c r="N453" i="6"/>
  <c r="O452" i="6"/>
  <c r="N452" i="6"/>
  <c r="O451" i="6"/>
  <c r="N451" i="6"/>
  <c r="O450" i="6"/>
  <c r="N450" i="6"/>
  <c r="O449" i="6"/>
  <c r="N449" i="6"/>
  <c r="O448" i="6"/>
  <c r="N448" i="6"/>
  <c r="O447" i="6"/>
  <c r="N447" i="6"/>
  <c r="O446" i="6"/>
  <c r="N446" i="6"/>
  <c r="O445" i="6"/>
  <c r="N445" i="6"/>
  <c r="O444" i="6"/>
  <c r="N444" i="6"/>
  <c r="O443" i="6"/>
  <c r="N443" i="6"/>
  <c r="O442" i="6"/>
  <c r="N442" i="6"/>
  <c r="O441" i="6"/>
  <c r="N441" i="6"/>
  <c r="O440" i="6"/>
  <c r="N440" i="6"/>
  <c r="O439" i="6"/>
  <c r="N439" i="6"/>
  <c r="O438" i="6"/>
  <c r="N438" i="6"/>
  <c r="O437" i="6"/>
  <c r="N437" i="6"/>
  <c r="O436" i="6"/>
  <c r="N436" i="6"/>
  <c r="O435" i="6"/>
  <c r="N435" i="6"/>
  <c r="O434" i="6"/>
  <c r="N434" i="6"/>
  <c r="O433" i="6"/>
  <c r="N433" i="6"/>
  <c r="O432" i="6"/>
  <c r="N432" i="6"/>
  <c r="O431" i="6"/>
  <c r="N431" i="6"/>
  <c r="O430" i="6"/>
  <c r="N430" i="6"/>
  <c r="O429" i="6"/>
  <c r="N429" i="6"/>
  <c r="O428" i="6"/>
  <c r="N428" i="6"/>
  <c r="O427" i="6"/>
  <c r="N427" i="6"/>
  <c r="O426" i="6"/>
  <c r="N426" i="6"/>
  <c r="O425" i="6"/>
  <c r="N425" i="6"/>
  <c r="O424" i="6"/>
  <c r="N424" i="6"/>
  <c r="O423" i="6"/>
  <c r="N423" i="6"/>
  <c r="O422" i="6"/>
  <c r="N422" i="6"/>
  <c r="O421" i="6"/>
  <c r="N421" i="6"/>
  <c r="O420" i="6"/>
  <c r="N420" i="6"/>
  <c r="O419" i="6"/>
  <c r="N419" i="6"/>
  <c r="O418" i="6"/>
  <c r="N418" i="6"/>
  <c r="O417" i="6"/>
  <c r="N417" i="6"/>
  <c r="O416" i="6"/>
  <c r="N416" i="6"/>
  <c r="O415" i="6"/>
  <c r="N415" i="6"/>
  <c r="O414" i="6"/>
  <c r="N414" i="6"/>
  <c r="O413" i="6"/>
  <c r="N413" i="6"/>
  <c r="O412" i="6"/>
  <c r="N412" i="6"/>
  <c r="O411" i="6"/>
  <c r="N411" i="6"/>
  <c r="O410" i="6"/>
  <c r="N410" i="6"/>
  <c r="O409" i="6"/>
  <c r="N409" i="6"/>
  <c r="O408" i="6"/>
  <c r="N408" i="6"/>
  <c r="O407" i="6"/>
  <c r="N407" i="6"/>
  <c r="O406" i="6"/>
  <c r="N406" i="6"/>
  <c r="O405" i="6"/>
  <c r="N405" i="6"/>
  <c r="O404" i="6"/>
  <c r="N404" i="6"/>
  <c r="O403" i="6"/>
  <c r="N403" i="6"/>
  <c r="O402" i="6"/>
  <c r="N402" i="6"/>
  <c r="O401" i="6"/>
  <c r="N401" i="6"/>
  <c r="O400" i="6"/>
  <c r="N400" i="6"/>
  <c r="O399" i="6"/>
  <c r="N399" i="6"/>
  <c r="O398" i="6"/>
  <c r="N398" i="6"/>
  <c r="O397" i="6"/>
  <c r="N397" i="6"/>
  <c r="O396" i="6"/>
  <c r="N396" i="6"/>
  <c r="O395" i="6"/>
  <c r="N395" i="6"/>
  <c r="O394" i="6"/>
  <c r="N394" i="6"/>
  <c r="O393" i="6"/>
  <c r="N393" i="6"/>
  <c r="O392" i="6"/>
  <c r="N392" i="6"/>
  <c r="O391" i="6"/>
  <c r="N391" i="6"/>
  <c r="O390" i="6"/>
  <c r="N390" i="6"/>
  <c r="O389" i="6"/>
  <c r="N389" i="6"/>
  <c r="O388" i="6"/>
  <c r="N388" i="6"/>
  <c r="O387" i="6"/>
  <c r="N387" i="6"/>
  <c r="O386" i="6"/>
  <c r="N386" i="6"/>
  <c r="O385" i="6"/>
  <c r="N385" i="6"/>
  <c r="O384" i="6"/>
  <c r="N384" i="6"/>
  <c r="O383" i="6"/>
  <c r="N383" i="6"/>
  <c r="O382" i="6"/>
  <c r="N382" i="6"/>
  <c r="O381" i="6"/>
  <c r="N381" i="6"/>
  <c r="O380" i="6"/>
  <c r="N380" i="6"/>
  <c r="O379" i="6"/>
  <c r="N379" i="6"/>
  <c r="O378" i="6"/>
  <c r="N378" i="6"/>
  <c r="O377" i="6"/>
  <c r="N377" i="6"/>
  <c r="O376" i="6"/>
  <c r="N376" i="6"/>
  <c r="O375" i="6"/>
  <c r="N375" i="6"/>
  <c r="O374" i="6"/>
  <c r="N374" i="6"/>
  <c r="O373" i="6"/>
  <c r="N373" i="6"/>
  <c r="O372" i="6"/>
  <c r="N372" i="6"/>
  <c r="O371" i="6"/>
  <c r="N371" i="6"/>
  <c r="O370" i="6"/>
  <c r="N370" i="6"/>
  <c r="O369" i="6"/>
  <c r="N369" i="6"/>
  <c r="O368" i="6"/>
  <c r="N368" i="6"/>
  <c r="O367" i="6"/>
  <c r="N367" i="6"/>
  <c r="O366" i="6"/>
  <c r="N366" i="6"/>
  <c r="O365" i="6"/>
  <c r="N365" i="6"/>
  <c r="O364" i="6"/>
  <c r="N364" i="6"/>
  <c r="O363" i="6"/>
  <c r="N363" i="6"/>
  <c r="O362" i="6"/>
  <c r="N362" i="6"/>
  <c r="O361" i="6"/>
  <c r="N361" i="6"/>
  <c r="O360" i="6"/>
  <c r="N360" i="6"/>
  <c r="O359" i="6"/>
  <c r="N359" i="6"/>
  <c r="O358" i="6"/>
  <c r="N358" i="6"/>
  <c r="O357" i="6"/>
  <c r="N357" i="6"/>
  <c r="O356" i="6"/>
  <c r="N356" i="6"/>
  <c r="O355" i="6"/>
  <c r="N355" i="6"/>
  <c r="O354" i="6"/>
  <c r="N354" i="6"/>
  <c r="O353" i="6"/>
  <c r="N353" i="6"/>
  <c r="O352" i="6"/>
  <c r="N352" i="6"/>
  <c r="O351" i="6"/>
  <c r="N351" i="6"/>
  <c r="O350" i="6"/>
  <c r="N350" i="6"/>
  <c r="O349" i="6"/>
  <c r="N349" i="6"/>
  <c r="O348" i="6"/>
  <c r="N348" i="6"/>
  <c r="O347" i="6"/>
  <c r="N347" i="6"/>
  <c r="O346" i="6"/>
  <c r="N346" i="6"/>
  <c r="O345" i="6"/>
  <c r="N345" i="6"/>
  <c r="O344" i="6"/>
  <c r="N344" i="6"/>
  <c r="O343" i="6"/>
  <c r="N343" i="6"/>
  <c r="O342" i="6"/>
  <c r="N342" i="6"/>
  <c r="O341" i="6"/>
  <c r="N341" i="6"/>
  <c r="O340" i="6"/>
  <c r="N340" i="6"/>
  <c r="O339" i="6"/>
  <c r="N339" i="6"/>
  <c r="O338" i="6"/>
  <c r="N338" i="6"/>
  <c r="O337" i="6"/>
  <c r="N337" i="6"/>
  <c r="O336" i="6"/>
  <c r="N336" i="6"/>
  <c r="O335" i="6"/>
  <c r="N335" i="6"/>
  <c r="O334" i="6"/>
  <c r="N334" i="6"/>
  <c r="O333" i="6"/>
  <c r="N333" i="6"/>
  <c r="O332" i="6"/>
  <c r="N332" i="6"/>
  <c r="O331" i="6"/>
  <c r="N331" i="6"/>
  <c r="O330" i="6"/>
  <c r="N330" i="6"/>
  <c r="O329" i="6"/>
  <c r="N329" i="6"/>
  <c r="O328" i="6"/>
  <c r="N328" i="6"/>
  <c r="O327" i="6"/>
  <c r="N327" i="6"/>
  <c r="O326" i="6"/>
  <c r="N326" i="6"/>
  <c r="O325" i="6"/>
  <c r="N325" i="6"/>
  <c r="O324" i="6"/>
  <c r="N324" i="6"/>
  <c r="O323" i="6"/>
  <c r="N323" i="6"/>
  <c r="O322" i="6"/>
  <c r="N322" i="6"/>
  <c r="O321" i="6"/>
  <c r="N321" i="6"/>
  <c r="O320" i="6"/>
  <c r="N320" i="6"/>
  <c r="O319" i="6"/>
  <c r="N319" i="6"/>
  <c r="O318" i="6"/>
  <c r="N318" i="6"/>
  <c r="O317" i="6"/>
  <c r="N317" i="6"/>
  <c r="O316" i="6"/>
  <c r="N316" i="6"/>
  <c r="O315" i="6"/>
  <c r="N315" i="6"/>
  <c r="O314" i="6"/>
  <c r="N314" i="6"/>
  <c r="O313" i="6"/>
  <c r="N313" i="6"/>
  <c r="O312" i="6"/>
  <c r="N312" i="6"/>
  <c r="O311" i="6"/>
  <c r="N311" i="6"/>
  <c r="O310" i="6"/>
  <c r="N310" i="6"/>
  <c r="O309" i="6"/>
  <c r="N309" i="6"/>
  <c r="O308" i="6"/>
  <c r="N308" i="6"/>
  <c r="O307" i="6"/>
  <c r="N307" i="6"/>
  <c r="O306" i="6"/>
  <c r="N306" i="6"/>
  <c r="O305" i="6"/>
  <c r="N305" i="6"/>
  <c r="O304" i="6"/>
  <c r="N304" i="6"/>
  <c r="O303" i="6"/>
  <c r="N303" i="6"/>
  <c r="O302" i="6"/>
  <c r="N302" i="6"/>
  <c r="O301" i="6"/>
  <c r="N301" i="6"/>
  <c r="O300" i="6"/>
  <c r="N300" i="6"/>
  <c r="O299" i="6"/>
  <c r="N299" i="6"/>
  <c r="O298" i="6"/>
  <c r="N298" i="6"/>
  <c r="O297" i="6"/>
  <c r="N297" i="6"/>
  <c r="O296" i="6"/>
  <c r="N296" i="6"/>
  <c r="O295" i="6"/>
  <c r="N295" i="6"/>
  <c r="O294" i="6"/>
  <c r="N294" i="6"/>
  <c r="O293" i="6"/>
  <c r="N293" i="6"/>
  <c r="O292" i="6"/>
  <c r="N292" i="6"/>
  <c r="O291" i="6"/>
  <c r="N291" i="6"/>
  <c r="O290" i="6"/>
  <c r="N290" i="6"/>
  <c r="O289" i="6"/>
  <c r="N289" i="6"/>
  <c r="O288" i="6"/>
  <c r="N288" i="6"/>
  <c r="O287" i="6"/>
  <c r="N287" i="6"/>
  <c r="O286" i="6"/>
  <c r="N286" i="6"/>
  <c r="O285" i="6"/>
  <c r="N285" i="6"/>
  <c r="O284" i="6"/>
  <c r="N284" i="6"/>
  <c r="O283" i="6"/>
  <c r="N283" i="6"/>
  <c r="O282" i="6"/>
  <c r="N282" i="6"/>
  <c r="O281" i="6"/>
  <c r="N281" i="6"/>
  <c r="O280" i="6"/>
  <c r="N280" i="6"/>
  <c r="O279" i="6"/>
  <c r="N279" i="6"/>
  <c r="O278" i="6"/>
  <c r="N278" i="6"/>
  <c r="O277" i="6"/>
  <c r="N277" i="6"/>
  <c r="O276" i="6"/>
  <c r="N276" i="6"/>
  <c r="O275" i="6"/>
  <c r="N275" i="6"/>
  <c r="O274" i="6"/>
  <c r="N274" i="6"/>
  <c r="O273" i="6"/>
  <c r="N273" i="6"/>
  <c r="O272" i="6"/>
  <c r="N272" i="6"/>
  <c r="O271" i="6"/>
  <c r="N271" i="6"/>
  <c r="O270" i="6"/>
  <c r="N270" i="6"/>
  <c r="O269" i="6"/>
  <c r="N269" i="6"/>
  <c r="O268" i="6"/>
  <c r="N268" i="6"/>
  <c r="O267" i="6"/>
  <c r="N267" i="6"/>
  <c r="O266" i="6"/>
  <c r="N266" i="6"/>
  <c r="O265" i="6"/>
  <c r="N265" i="6"/>
  <c r="O264" i="6"/>
  <c r="N264" i="6"/>
  <c r="O263" i="6"/>
  <c r="N263" i="6"/>
  <c r="O262" i="6"/>
  <c r="N262" i="6"/>
  <c r="O261" i="6"/>
  <c r="N261" i="6"/>
  <c r="O260" i="6"/>
  <c r="N260" i="6"/>
  <c r="O259" i="6"/>
  <c r="N259" i="6"/>
  <c r="O258" i="6"/>
  <c r="N258" i="6"/>
  <c r="O257" i="6"/>
  <c r="N257" i="6"/>
  <c r="O256" i="6"/>
  <c r="N256" i="6"/>
  <c r="O255" i="6"/>
  <c r="N255" i="6"/>
  <c r="O254" i="6"/>
  <c r="N254" i="6"/>
  <c r="O253" i="6"/>
  <c r="N253" i="6"/>
  <c r="O252" i="6"/>
  <c r="N252" i="6"/>
  <c r="O251" i="6"/>
  <c r="N251" i="6"/>
  <c r="O250" i="6"/>
  <c r="N250" i="6"/>
  <c r="O249" i="6"/>
  <c r="N249" i="6"/>
  <c r="O248" i="6"/>
  <c r="N248" i="6"/>
  <c r="O247" i="6"/>
  <c r="N247" i="6"/>
  <c r="O246" i="6"/>
  <c r="N246" i="6"/>
  <c r="O245" i="6"/>
  <c r="N245" i="6"/>
  <c r="O244" i="6"/>
  <c r="N244" i="6"/>
  <c r="O243" i="6"/>
  <c r="N243" i="6"/>
  <c r="O242" i="6"/>
  <c r="N242" i="6"/>
  <c r="O241" i="6"/>
  <c r="N241" i="6"/>
  <c r="O240" i="6"/>
  <c r="N240" i="6"/>
  <c r="O239" i="6"/>
  <c r="N239" i="6"/>
  <c r="O238" i="6"/>
  <c r="N238" i="6"/>
  <c r="O237" i="6"/>
  <c r="N237" i="6"/>
  <c r="O236" i="6"/>
  <c r="N236" i="6"/>
  <c r="O235" i="6"/>
  <c r="N235" i="6"/>
  <c r="O234" i="6"/>
  <c r="N234" i="6"/>
  <c r="O233" i="6"/>
  <c r="N233" i="6"/>
  <c r="O232" i="6"/>
  <c r="N232" i="6"/>
  <c r="O231" i="6"/>
  <c r="N231" i="6"/>
  <c r="O230" i="6"/>
  <c r="N230" i="6"/>
  <c r="O229" i="6"/>
  <c r="N229" i="6"/>
  <c r="O228" i="6"/>
  <c r="N228" i="6"/>
  <c r="O227" i="6"/>
  <c r="N227" i="6"/>
  <c r="O226" i="6"/>
  <c r="N226" i="6"/>
  <c r="O225" i="6"/>
  <c r="N225" i="6"/>
  <c r="O224" i="6"/>
  <c r="N224" i="6"/>
  <c r="O223" i="6"/>
  <c r="N223" i="6"/>
  <c r="O222" i="6"/>
  <c r="N222" i="6"/>
  <c r="O221" i="6"/>
  <c r="N221" i="6"/>
  <c r="O220" i="6"/>
  <c r="N220" i="6"/>
  <c r="O219" i="6"/>
  <c r="N219" i="6"/>
  <c r="O218" i="6"/>
  <c r="N218" i="6"/>
  <c r="O217" i="6"/>
  <c r="N217" i="6"/>
  <c r="O216" i="6"/>
  <c r="N216" i="6"/>
  <c r="O215" i="6"/>
  <c r="N215" i="6"/>
  <c r="O214" i="6"/>
  <c r="N214" i="6"/>
  <c r="O213" i="6"/>
  <c r="N213" i="6"/>
  <c r="O212" i="6"/>
  <c r="N212" i="6"/>
  <c r="O211" i="6"/>
  <c r="N211" i="6"/>
  <c r="O210" i="6"/>
  <c r="N210" i="6"/>
  <c r="O209" i="6"/>
  <c r="N209" i="6"/>
  <c r="O208" i="6"/>
  <c r="N208" i="6"/>
  <c r="O207" i="6"/>
  <c r="N207" i="6"/>
  <c r="O206" i="6"/>
  <c r="N206" i="6"/>
  <c r="O205" i="6"/>
  <c r="N205" i="6"/>
  <c r="O204" i="6"/>
  <c r="N204" i="6"/>
  <c r="O203" i="6"/>
  <c r="N203" i="6"/>
  <c r="O202" i="6"/>
  <c r="N202" i="6"/>
  <c r="O201" i="6"/>
  <c r="N201" i="6"/>
  <c r="O200" i="6"/>
  <c r="N200" i="6"/>
  <c r="O199" i="6"/>
  <c r="N199" i="6"/>
  <c r="O198" i="6"/>
  <c r="N198" i="6"/>
  <c r="O197" i="6"/>
  <c r="N197" i="6"/>
  <c r="O196" i="6"/>
  <c r="N196" i="6"/>
  <c r="O194" i="6"/>
  <c r="N194" i="6"/>
  <c r="O193" i="6"/>
  <c r="N193" i="6"/>
  <c r="O192" i="6"/>
  <c r="N192" i="6"/>
  <c r="O191" i="6"/>
  <c r="N191" i="6"/>
  <c r="O190" i="6"/>
  <c r="N190" i="6"/>
  <c r="O189" i="6"/>
  <c r="N189" i="6"/>
  <c r="O188" i="6"/>
  <c r="N188" i="6"/>
  <c r="O187" i="6"/>
  <c r="N187" i="6"/>
  <c r="O186" i="6"/>
  <c r="N186" i="6"/>
  <c r="O185" i="6"/>
  <c r="N185" i="6"/>
  <c r="O184" i="6"/>
  <c r="N184" i="6"/>
  <c r="O183" i="6"/>
  <c r="N183" i="6"/>
  <c r="O182" i="6"/>
  <c r="N182" i="6"/>
  <c r="O181" i="6"/>
  <c r="N181" i="6"/>
  <c r="O180" i="6"/>
  <c r="N180" i="6"/>
  <c r="O179" i="6"/>
  <c r="N179" i="6"/>
  <c r="O178" i="6"/>
  <c r="N178" i="6"/>
  <c r="O177" i="6"/>
  <c r="N177" i="6"/>
  <c r="O176" i="6"/>
  <c r="N176" i="6"/>
  <c r="O175" i="6"/>
  <c r="N175" i="6"/>
  <c r="O174" i="6"/>
  <c r="N174" i="6"/>
  <c r="O173" i="6"/>
  <c r="N173" i="6"/>
  <c r="O172" i="6"/>
  <c r="N172" i="6"/>
  <c r="O171" i="6"/>
  <c r="N171" i="6"/>
  <c r="O170" i="6"/>
  <c r="N170" i="6"/>
  <c r="O169" i="6"/>
  <c r="N169" i="6"/>
  <c r="O168" i="6"/>
  <c r="N168" i="6"/>
  <c r="O167" i="6"/>
  <c r="N167" i="6"/>
  <c r="O166" i="6"/>
  <c r="N166" i="6"/>
  <c r="O165" i="6"/>
  <c r="N165" i="6"/>
  <c r="O164" i="6"/>
  <c r="N164" i="6"/>
  <c r="O163" i="6"/>
  <c r="N163" i="6"/>
  <c r="O162" i="6"/>
  <c r="N162" i="6"/>
  <c r="O161" i="6"/>
  <c r="N161" i="6"/>
  <c r="O160" i="6"/>
  <c r="N160" i="6"/>
  <c r="O159" i="6"/>
  <c r="N15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8" i="6"/>
  <c r="E46" i="6"/>
  <c r="E50" i="6"/>
  <c r="E54" i="6"/>
  <c r="E55" i="6"/>
  <c r="E56" i="6"/>
  <c r="E57" i="6"/>
  <c r="E58" i="6"/>
  <c r="E59" i="6"/>
  <c r="E63" i="6"/>
  <c r="E71" i="6"/>
  <c r="E75" i="6"/>
  <c r="E84" i="6"/>
  <c r="E88" i="6"/>
  <c r="E89" i="6"/>
  <c r="E90" i="6"/>
  <c r="E91" i="6"/>
  <c r="E92" i="6"/>
  <c r="E96" i="6"/>
  <c r="E100" i="6"/>
  <c r="E101" i="6"/>
  <c r="E102" i="6"/>
  <c r="E103" i="6"/>
  <c r="E104" i="6"/>
  <c r="E108" i="6"/>
  <c r="E112" i="6"/>
  <c r="E120" i="6"/>
  <c r="E124" i="6"/>
  <c r="E134" i="6"/>
  <c r="E21" i="6"/>
  <c r="E37" i="6"/>
  <c r="E45" i="6"/>
  <c r="E49" i="6"/>
  <c r="E53" i="6"/>
  <c r="E62" i="6"/>
  <c r="E70" i="6"/>
  <c r="E74" i="6"/>
  <c r="E78" i="6"/>
  <c r="E79" i="6"/>
  <c r="E80" i="6"/>
  <c r="E81" i="6"/>
  <c r="E82" i="6"/>
  <c r="E83" i="6"/>
  <c r="E87" i="6"/>
  <c r="E95" i="6"/>
  <c r="E99" i="6"/>
  <c r="E107" i="6"/>
  <c r="E111" i="6"/>
  <c r="E119" i="6"/>
  <c r="E123" i="6"/>
  <c r="E133" i="6"/>
  <c r="E137" i="6"/>
  <c r="E20" i="6"/>
  <c r="E36" i="6"/>
  <c r="E40" i="6"/>
  <c r="E41" i="6"/>
  <c r="E42" i="6"/>
  <c r="E43" i="6"/>
  <c r="E44" i="6"/>
  <c r="E48" i="6"/>
  <c r="E52" i="6"/>
  <c r="E61" i="6"/>
  <c r="E69" i="6"/>
  <c r="E73" i="6"/>
  <c r="E77" i="6"/>
  <c r="E86" i="6"/>
  <c r="E94" i="6"/>
  <c r="E98" i="6"/>
  <c r="E106" i="6"/>
  <c r="E110" i="6"/>
  <c r="E114" i="6"/>
  <c r="E115" i="6"/>
  <c r="E116" i="6"/>
  <c r="E117" i="6"/>
  <c r="E118" i="6"/>
  <c r="E122" i="6"/>
  <c r="E126" i="6"/>
  <c r="E127" i="6"/>
  <c r="E128" i="6"/>
  <c r="E129" i="6"/>
  <c r="E19" i="6"/>
  <c r="E35" i="6"/>
  <c r="E39" i="6"/>
  <c r="E47" i="6"/>
  <c r="E51" i="6"/>
  <c r="E60" i="6"/>
  <c r="E64" i="6"/>
  <c r="E65" i="6"/>
  <c r="E66" i="6"/>
  <c r="E67" i="6"/>
  <c r="E68" i="6"/>
  <c r="E72" i="6"/>
  <c r="E76" i="6"/>
  <c r="E85" i="6"/>
  <c r="E93" i="6"/>
  <c r="E97" i="6"/>
  <c r="E105" i="6"/>
  <c r="E109" i="6"/>
  <c r="E113" i="6"/>
  <c r="E121" i="6"/>
  <c r="E125" i="6"/>
  <c r="E135" i="6"/>
  <c r="E136" i="6"/>
  <c r="E141" i="6"/>
  <c r="E145" i="6"/>
  <c r="E161" i="6"/>
  <c r="E165" i="6"/>
  <c r="E166" i="6"/>
  <c r="E167" i="6"/>
  <c r="E168" i="6"/>
  <c r="E169" i="6"/>
  <c r="E170" i="6"/>
  <c r="E171" i="6"/>
  <c r="E175" i="6"/>
  <c r="E176" i="6"/>
  <c r="E177" i="6"/>
  <c r="E178" i="6"/>
  <c r="E179" i="6"/>
  <c r="E180" i="6"/>
  <c r="E184" i="6"/>
  <c r="E188" i="6"/>
  <c r="E130" i="6"/>
  <c r="E132" i="6"/>
  <c r="E140" i="6"/>
  <c r="E144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4" i="6"/>
  <c r="E174" i="6"/>
  <c r="E183" i="6"/>
  <c r="E187" i="6"/>
  <c r="E139" i="6"/>
  <c r="E147" i="6"/>
  <c r="E163" i="6"/>
  <c r="E173" i="6"/>
  <c r="E182" i="6"/>
  <c r="E186" i="6"/>
  <c r="E190" i="6"/>
  <c r="E191" i="6"/>
  <c r="E192" i="6"/>
  <c r="E193" i="6"/>
  <c r="E194" i="6"/>
  <c r="E195" i="6"/>
  <c r="E131" i="6"/>
  <c r="E138" i="6"/>
  <c r="E142" i="6"/>
  <c r="E143" i="6"/>
  <c r="E146" i="6"/>
  <c r="E162" i="6"/>
  <c r="E172" i="6"/>
  <c r="E181" i="6"/>
  <c r="E185" i="6"/>
  <c r="E189" i="6"/>
  <c r="E18" i="6"/>
  <c r="E498" i="6"/>
  <c r="E494" i="6"/>
  <c r="E490" i="6"/>
  <c r="E486" i="6"/>
  <c r="E482" i="6"/>
  <c r="E478" i="6"/>
  <c r="E474" i="6"/>
  <c r="E470" i="6"/>
  <c r="E466" i="6"/>
  <c r="E462" i="6"/>
  <c r="E458" i="6"/>
  <c r="E454" i="6"/>
  <c r="E450" i="6"/>
  <c r="E446" i="6"/>
  <c r="E442" i="6"/>
  <c r="E438" i="6"/>
  <c r="E434" i="6"/>
  <c r="E430" i="6"/>
  <c r="E426" i="6"/>
  <c r="E422" i="6"/>
  <c r="E418" i="6"/>
  <c r="E414" i="6"/>
  <c r="E410" i="6"/>
  <c r="E406" i="6"/>
  <c r="E402" i="6"/>
  <c r="E398" i="6"/>
  <c r="E394" i="6"/>
  <c r="E390" i="6"/>
  <c r="E386" i="6"/>
  <c r="E382" i="6"/>
  <c r="E378" i="6"/>
  <c r="E374" i="6"/>
  <c r="E370" i="6"/>
  <c r="E366" i="6"/>
  <c r="E362" i="6"/>
  <c r="E358" i="6"/>
  <c r="E354" i="6"/>
  <c r="E350" i="6"/>
  <c r="E346" i="6"/>
  <c r="E342" i="6"/>
  <c r="E338" i="6"/>
  <c r="E334" i="6"/>
  <c r="E330" i="6"/>
  <c r="E326" i="6"/>
  <c r="E322" i="6"/>
  <c r="E318" i="6"/>
  <c r="E314" i="6"/>
  <c r="E310" i="6"/>
  <c r="E306" i="6"/>
  <c r="E302" i="6"/>
  <c r="E298" i="6"/>
  <c r="E294" i="6"/>
  <c r="E290" i="6"/>
  <c r="E286" i="6"/>
  <c r="E282" i="6"/>
  <c r="E278" i="6"/>
  <c r="E274" i="6"/>
  <c r="E270" i="6"/>
  <c r="E266" i="6"/>
  <c r="E262" i="6"/>
  <c r="E258" i="6"/>
  <c r="E254" i="6"/>
  <c r="E250" i="6"/>
  <c r="E246" i="6"/>
  <c r="E242" i="6"/>
  <c r="E238" i="6"/>
  <c r="E234" i="6"/>
  <c r="E230" i="6"/>
  <c r="E226" i="6"/>
  <c r="E222" i="6"/>
  <c r="E218" i="6"/>
  <c r="E214" i="6"/>
  <c r="E210" i="6"/>
  <c r="E206" i="6"/>
  <c r="E202" i="6"/>
  <c r="E198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401" i="6"/>
  <c r="E397" i="6"/>
  <c r="E393" i="6"/>
  <c r="E389" i="6"/>
  <c r="E385" i="6"/>
  <c r="E381" i="6"/>
  <c r="E377" i="6"/>
  <c r="E373" i="6"/>
  <c r="E369" i="6"/>
  <c r="E365" i="6"/>
  <c r="E361" i="6"/>
  <c r="E357" i="6"/>
  <c r="E353" i="6"/>
  <c r="E349" i="6"/>
  <c r="E345" i="6"/>
  <c r="E341" i="6"/>
  <c r="E337" i="6"/>
  <c r="E333" i="6"/>
  <c r="E329" i="6"/>
  <c r="E325" i="6"/>
  <c r="E321" i="6"/>
  <c r="E317" i="6"/>
  <c r="E313" i="6"/>
  <c r="E309" i="6"/>
  <c r="E305" i="6"/>
  <c r="E301" i="6"/>
  <c r="E297" i="6"/>
  <c r="E293" i="6"/>
  <c r="E289" i="6"/>
  <c r="E285" i="6"/>
  <c r="E281" i="6"/>
  <c r="E277" i="6"/>
  <c r="E273" i="6"/>
  <c r="E269" i="6"/>
  <c r="E265" i="6"/>
  <c r="E261" i="6"/>
  <c r="E257" i="6"/>
  <c r="E253" i="6"/>
  <c r="E249" i="6"/>
  <c r="E245" i="6"/>
  <c r="E241" i="6"/>
  <c r="E237" i="6"/>
  <c r="E233" i="6"/>
  <c r="E229" i="6"/>
  <c r="E225" i="6"/>
  <c r="E221" i="6"/>
  <c r="E217" i="6"/>
  <c r="E213" i="6"/>
  <c r="E209" i="6"/>
  <c r="E205" i="6"/>
  <c r="E201" i="6"/>
  <c r="E197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E224" i="6"/>
  <c r="E220" i="6"/>
  <c r="E216" i="6"/>
  <c r="E212" i="6"/>
  <c r="E208" i="6"/>
  <c r="E204" i="6"/>
  <c r="E200" i="6"/>
  <c r="E196" i="6"/>
  <c r="E499" i="6"/>
  <c r="E495" i="6"/>
  <c r="E491" i="6"/>
  <c r="E487" i="6"/>
  <c r="E483" i="6"/>
  <c r="E479" i="6"/>
  <c r="E475" i="6"/>
  <c r="E471" i="6"/>
  <c r="E467" i="6"/>
  <c r="E463" i="6"/>
  <c r="E459" i="6"/>
  <c r="E455" i="6"/>
  <c r="E451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399" i="6"/>
  <c r="E395" i="6"/>
  <c r="E391" i="6"/>
  <c r="E387" i="6"/>
  <c r="E383" i="6"/>
  <c r="E379" i="6"/>
  <c r="E375" i="6"/>
  <c r="E371" i="6"/>
  <c r="E367" i="6"/>
  <c r="E363" i="6"/>
  <c r="E359" i="6"/>
  <c r="E355" i="6"/>
  <c r="E351" i="6"/>
  <c r="E347" i="6"/>
  <c r="E343" i="6"/>
  <c r="E339" i="6"/>
  <c r="E335" i="6"/>
  <c r="E331" i="6"/>
  <c r="E327" i="6"/>
  <c r="E323" i="6"/>
  <c r="E319" i="6"/>
  <c r="E315" i="6"/>
  <c r="E311" i="6"/>
  <c r="E307" i="6"/>
  <c r="E303" i="6"/>
  <c r="E299" i="6"/>
  <c r="E295" i="6"/>
  <c r="E291" i="6"/>
  <c r="E287" i="6"/>
  <c r="E283" i="6"/>
  <c r="E279" i="6"/>
  <c r="E275" i="6"/>
  <c r="E271" i="6"/>
  <c r="E267" i="6"/>
  <c r="E263" i="6"/>
  <c r="E259" i="6"/>
  <c r="E255" i="6"/>
  <c r="E251" i="6"/>
  <c r="E247" i="6"/>
  <c r="E243" i="6"/>
  <c r="E239" i="6"/>
  <c r="E235" i="6"/>
  <c r="E231" i="6"/>
  <c r="E227" i="6"/>
  <c r="E223" i="6"/>
  <c r="E219" i="6"/>
  <c r="E215" i="6"/>
  <c r="E211" i="6"/>
  <c r="E207" i="6"/>
  <c r="E203" i="6"/>
  <c r="E199" i="6"/>
  <c r="D492" i="6"/>
  <c r="C479" i="6"/>
  <c r="C415" i="6"/>
  <c r="C351" i="6"/>
  <c r="C287" i="6"/>
  <c r="C223" i="6"/>
  <c r="C219" i="6"/>
  <c r="D497" i="6"/>
  <c r="D465" i="6"/>
  <c r="D433" i="6"/>
  <c r="D500" i="6"/>
  <c r="D449" i="6"/>
  <c r="D265" i="6"/>
  <c r="D257" i="6"/>
  <c r="C491" i="6"/>
  <c r="C463" i="6"/>
  <c r="C459" i="6"/>
  <c r="C431" i="6"/>
  <c r="C427" i="6"/>
  <c r="C399" i="6"/>
  <c r="C395" i="6"/>
  <c r="C367" i="6"/>
  <c r="C363" i="6"/>
  <c r="C335" i="6"/>
  <c r="C303" i="6"/>
  <c r="C299" i="6"/>
  <c r="C271" i="6"/>
  <c r="C267" i="6"/>
  <c r="C239" i="6"/>
  <c r="C235" i="6"/>
  <c r="C207" i="6"/>
  <c r="C203" i="6"/>
  <c r="D491" i="6"/>
  <c r="D496" i="6"/>
  <c r="D488" i="6"/>
  <c r="C499" i="6"/>
  <c r="C487" i="6"/>
  <c r="C483" i="6"/>
  <c r="C471" i="6"/>
  <c r="C467" i="6"/>
  <c r="C455" i="6"/>
  <c r="C451" i="6"/>
  <c r="C439" i="6"/>
  <c r="C435" i="6"/>
  <c r="C423" i="6"/>
  <c r="C419" i="6"/>
  <c r="C407" i="6"/>
  <c r="C403" i="6"/>
  <c r="C391" i="6"/>
  <c r="C387" i="6"/>
  <c r="C375" i="6"/>
  <c r="C371" i="6"/>
  <c r="C359" i="6"/>
  <c r="C355" i="6"/>
  <c r="C343" i="6"/>
  <c r="C339" i="6"/>
  <c r="C327" i="6"/>
  <c r="C311" i="6"/>
  <c r="C295" i="6"/>
  <c r="C291" i="6"/>
  <c r="C279" i="6"/>
  <c r="C275" i="6"/>
  <c r="C263" i="6"/>
  <c r="C259" i="6"/>
  <c r="C247" i="6"/>
  <c r="C243" i="6"/>
  <c r="C231" i="6"/>
  <c r="C227" i="6"/>
  <c r="C215" i="6"/>
  <c r="C211" i="6"/>
  <c r="C199" i="6"/>
  <c r="C495" i="6"/>
  <c r="D495" i="6"/>
  <c r="C331" i="6"/>
  <c r="D331" i="6"/>
  <c r="C323" i="6"/>
  <c r="D323" i="6"/>
  <c r="C315" i="6"/>
  <c r="D315" i="6"/>
  <c r="C307" i="6"/>
  <c r="D307" i="6"/>
  <c r="D499" i="6"/>
  <c r="D485" i="6"/>
  <c r="D479" i="6"/>
  <c r="D467" i="6"/>
  <c r="D457" i="6"/>
  <c r="D447" i="6"/>
  <c r="D435" i="6"/>
  <c r="D423" i="6"/>
  <c r="D407" i="6"/>
  <c r="D391" i="6"/>
  <c r="D375" i="6"/>
  <c r="D359" i="6"/>
  <c r="D343" i="6"/>
  <c r="D329" i="6"/>
  <c r="D321" i="6"/>
  <c r="D313" i="6"/>
  <c r="D305" i="6"/>
  <c r="D297" i="6"/>
  <c r="D289" i="6"/>
  <c r="D281" i="6"/>
  <c r="D273" i="6"/>
  <c r="D233" i="6"/>
  <c r="C489" i="6"/>
  <c r="D489" i="6"/>
  <c r="C477" i="6"/>
  <c r="D477" i="6"/>
  <c r="C469" i="6"/>
  <c r="D469" i="6"/>
  <c r="C461" i="6"/>
  <c r="D461" i="6"/>
  <c r="C453" i="6"/>
  <c r="D453" i="6"/>
  <c r="C445" i="6"/>
  <c r="D445" i="6"/>
  <c r="C437" i="6"/>
  <c r="D437" i="6"/>
  <c r="C429" i="6"/>
  <c r="D429" i="6"/>
  <c r="C425" i="6"/>
  <c r="D425" i="6"/>
  <c r="C421" i="6"/>
  <c r="D421" i="6"/>
  <c r="C417" i="6"/>
  <c r="D417" i="6"/>
  <c r="C413" i="6"/>
  <c r="D413" i="6"/>
  <c r="C409" i="6"/>
  <c r="D409" i="6"/>
  <c r="C405" i="6"/>
  <c r="D405" i="6"/>
  <c r="C401" i="6"/>
  <c r="D401" i="6"/>
  <c r="C397" i="6"/>
  <c r="D397" i="6"/>
  <c r="C393" i="6"/>
  <c r="D393" i="6"/>
  <c r="C389" i="6"/>
  <c r="D389" i="6"/>
  <c r="C385" i="6"/>
  <c r="D385" i="6"/>
  <c r="C381" i="6"/>
  <c r="D381" i="6"/>
  <c r="C377" i="6"/>
  <c r="D377" i="6"/>
  <c r="C373" i="6"/>
  <c r="D373" i="6"/>
  <c r="C369" i="6"/>
  <c r="D369" i="6"/>
  <c r="C365" i="6"/>
  <c r="D365" i="6"/>
  <c r="C361" i="6"/>
  <c r="D361" i="6"/>
  <c r="C357" i="6"/>
  <c r="D357" i="6"/>
  <c r="C353" i="6"/>
  <c r="D353" i="6"/>
  <c r="C349" i="6"/>
  <c r="D349" i="6"/>
  <c r="C345" i="6"/>
  <c r="D345" i="6"/>
  <c r="C341" i="6"/>
  <c r="D341" i="6"/>
  <c r="C337" i="6"/>
  <c r="D337" i="6"/>
  <c r="C333" i="6"/>
  <c r="D333" i="6"/>
  <c r="C325" i="6"/>
  <c r="D325" i="6"/>
  <c r="C317" i="6"/>
  <c r="D317" i="6"/>
  <c r="C309" i="6"/>
  <c r="D309" i="6"/>
  <c r="C301" i="6"/>
  <c r="D301" i="6"/>
  <c r="C293" i="6"/>
  <c r="D293" i="6"/>
  <c r="C285" i="6"/>
  <c r="D285" i="6"/>
  <c r="C277" i="6"/>
  <c r="D277" i="6"/>
  <c r="C269" i="6"/>
  <c r="D269" i="6"/>
  <c r="C261" i="6"/>
  <c r="D261" i="6"/>
  <c r="C253" i="6"/>
  <c r="D253" i="6"/>
  <c r="C245" i="6"/>
  <c r="D245" i="6"/>
  <c r="C237" i="6"/>
  <c r="D237" i="6"/>
  <c r="C229" i="6"/>
  <c r="D229" i="6"/>
  <c r="C221" i="6"/>
  <c r="D221" i="6"/>
  <c r="C213" i="6"/>
  <c r="D213" i="6"/>
  <c r="D483" i="6"/>
  <c r="D473" i="6"/>
  <c r="D463" i="6"/>
  <c r="D451" i="6"/>
  <c r="D441" i="6"/>
  <c r="D431" i="6"/>
  <c r="D415" i="6"/>
  <c r="D399" i="6"/>
  <c r="D383" i="6"/>
  <c r="D367" i="6"/>
  <c r="D351" i="6"/>
  <c r="D335" i="6"/>
  <c r="D327" i="6"/>
  <c r="D319" i="6"/>
  <c r="D249" i="6"/>
  <c r="D217" i="6"/>
  <c r="C201" i="6"/>
  <c r="C197" i="6"/>
  <c r="D299" i="6"/>
  <c r="D283" i="6"/>
  <c r="D197" i="6"/>
  <c r="D291" i="6"/>
  <c r="D275" i="6"/>
  <c r="D259" i="6"/>
  <c r="D205" i="6"/>
  <c r="C498" i="6"/>
  <c r="D498" i="6"/>
  <c r="C494" i="6"/>
  <c r="D494" i="6"/>
  <c r="C490" i="6"/>
  <c r="D490" i="6"/>
  <c r="C486" i="6"/>
  <c r="D486" i="6"/>
  <c r="C482" i="6"/>
  <c r="D482" i="6"/>
  <c r="C478" i="6"/>
  <c r="D478" i="6"/>
  <c r="C474" i="6"/>
  <c r="D474" i="6"/>
  <c r="C470" i="6"/>
  <c r="D470" i="6"/>
  <c r="C466" i="6"/>
  <c r="D466" i="6"/>
  <c r="C462" i="6"/>
  <c r="D462" i="6"/>
  <c r="C458" i="6"/>
  <c r="D458" i="6"/>
  <c r="C454" i="6"/>
  <c r="D454" i="6"/>
  <c r="C450" i="6"/>
  <c r="D450" i="6"/>
  <c r="C446" i="6"/>
  <c r="D446" i="6"/>
  <c r="C442" i="6"/>
  <c r="D442" i="6"/>
  <c r="C438" i="6"/>
  <c r="D438" i="6"/>
  <c r="C434" i="6"/>
  <c r="D434" i="6"/>
  <c r="C430" i="6"/>
  <c r="D430" i="6"/>
  <c r="C426" i="6"/>
  <c r="D426" i="6"/>
  <c r="C422" i="6"/>
  <c r="D422" i="6"/>
  <c r="C418" i="6"/>
  <c r="D418" i="6"/>
  <c r="C414" i="6"/>
  <c r="D414" i="6"/>
  <c r="C410" i="6"/>
  <c r="D410" i="6"/>
  <c r="C406" i="6"/>
  <c r="D406" i="6"/>
  <c r="C402" i="6"/>
  <c r="D402" i="6"/>
  <c r="C398" i="6"/>
  <c r="D398" i="6"/>
  <c r="C394" i="6"/>
  <c r="D394" i="6"/>
  <c r="C390" i="6"/>
  <c r="D390" i="6"/>
  <c r="C386" i="6"/>
  <c r="D386" i="6"/>
  <c r="C382" i="6"/>
  <c r="D382" i="6"/>
  <c r="C378" i="6"/>
  <c r="D378" i="6"/>
  <c r="C374" i="6"/>
  <c r="D374" i="6"/>
  <c r="C370" i="6"/>
  <c r="D370" i="6"/>
  <c r="C366" i="6"/>
  <c r="D366" i="6"/>
  <c r="C362" i="6"/>
  <c r="D362" i="6"/>
  <c r="C480" i="6"/>
  <c r="D480" i="6"/>
  <c r="C476" i="6"/>
  <c r="D476" i="6"/>
  <c r="C472" i="6"/>
  <c r="D472" i="6"/>
  <c r="C468" i="6"/>
  <c r="D468" i="6"/>
  <c r="C464" i="6"/>
  <c r="D464" i="6"/>
  <c r="C460" i="6"/>
  <c r="D460" i="6"/>
  <c r="C456" i="6"/>
  <c r="D456" i="6"/>
  <c r="C452" i="6"/>
  <c r="D452" i="6"/>
  <c r="C448" i="6"/>
  <c r="D448" i="6"/>
  <c r="C444" i="6"/>
  <c r="D444" i="6"/>
  <c r="C440" i="6"/>
  <c r="D440" i="6"/>
  <c r="C436" i="6"/>
  <c r="D436" i="6"/>
  <c r="C432" i="6"/>
  <c r="D432" i="6"/>
  <c r="C428" i="6"/>
  <c r="D428" i="6"/>
  <c r="C424" i="6"/>
  <c r="D424" i="6"/>
  <c r="C420" i="6"/>
  <c r="D420" i="6"/>
  <c r="C416" i="6"/>
  <c r="D416" i="6"/>
  <c r="C412" i="6"/>
  <c r="D412" i="6"/>
  <c r="C408" i="6"/>
  <c r="D408" i="6"/>
  <c r="C404" i="6"/>
  <c r="D404" i="6"/>
  <c r="C400" i="6"/>
  <c r="D400" i="6"/>
  <c r="C396" i="6"/>
  <c r="D396" i="6"/>
  <c r="C392" i="6"/>
  <c r="D392" i="6"/>
  <c r="C388" i="6"/>
  <c r="D388" i="6"/>
  <c r="C384" i="6"/>
  <c r="D384" i="6"/>
  <c r="C380" i="6"/>
  <c r="D380" i="6"/>
  <c r="C376" i="6"/>
  <c r="D376" i="6"/>
  <c r="C372" i="6"/>
  <c r="D372" i="6"/>
  <c r="C368" i="6"/>
  <c r="D368" i="6"/>
  <c r="C364" i="6"/>
  <c r="D364" i="6"/>
  <c r="D358" i="6"/>
  <c r="D354" i="6"/>
  <c r="D350" i="6"/>
  <c r="D346" i="6"/>
  <c r="D342" i="6"/>
  <c r="D338" i="6"/>
  <c r="D334" i="6"/>
  <c r="D330" i="6"/>
  <c r="D326" i="6"/>
  <c r="D322" i="6"/>
  <c r="D318" i="6"/>
  <c r="D314" i="6"/>
  <c r="D310" i="6"/>
  <c r="D306" i="6"/>
  <c r="D302" i="6"/>
  <c r="D298" i="6"/>
  <c r="D294" i="6"/>
  <c r="D290" i="6"/>
  <c r="D286" i="6"/>
  <c r="D282" i="6"/>
  <c r="D278" i="6"/>
  <c r="D274" i="6"/>
  <c r="D270" i="6"/>
  <c r="D266" i="6"/>
  <c r="D262" i="6"/>
  <c r="D258" i="6"/>
  <c r="D254" i="6"/>
  <c r="D250" i="6"/>
  <c r="D246" i="6"/>
  <c r="D242" i="6"/>
  <c r="D238" i="6"/>
  <c r="D234" i="6"/>
  <c r="D230" i="6"/>
  <c r="D226" i="6"/>
  <c r="D222" i="6"/>
  <c r="D218" i="6"/>
  <c r="D214" i="6"/>
  <c r="D210" i="6"/>
  <c r="D206" i="6"/>
  <c r="D202" i="6"/>
  <c r="D198" i="6"/>
  <c r="D360" i="6"/>
  <c r="D356" i="6"/>
  <c r="D352" i="6"/>
  <c r="D348" i="6"/>
  <c r="D344" i="6"/>
  <c r="D340" i="6"/>
  <c r="D336" i="6"/>
  <c r="H199" i="6"/>
  <c r="J199" i="6"/>
  <c r="G199" i="6"/>
  <c r="I199" i="6"/>
  <c r="H203" i="6"/>
  <c r="J203" i="6"/>
  <c r="G203" i="6"/>
  <c r="I203" i="6"/>
  <c r="H207" i="6"/>
  <c r="J207" i="6"/>
  <c r="G207" i="6"/>
  <c r="I207" i="6"/>
  <c r="H211" i="6"/>
  <c r="J211" i="6"/>
  <c r="G211" i="6"/>
  <c r="I211" i="6"/>
  <c r="H215" i="6"/>
  <c r="J215" i="6"/>
  <c r="G215" i="6"/>
  <c r="I215" i="6"/>
  <c r="H219" i="6"/>
  <c r="J219" i="6"/>
  <c r="G219" i="6"/>
  <c r="I219" i="6"/>
  <c r="H223" i="6"/>
  <c r="J223" i="6"/>
  <c r="G223" i="6"/>
  <c r="I223" i="6"/>
  <c r="H227" i="6"/>
  <c r="J227" i="6"/>
  <c r="G227" i="6"/>
  <c r="I227" i="6"/>
  <c r="H231" i="6"/>
  <c r="J231" i="6"/>
  <c r="G231" i="6"/>
  <c r="I231" i="6"/>
  <c r="H235" i="6"/>
  <c r="J235" i="6"/>
  <c r="G235" i="6"/>
  <c r="I235" i="6"/>
  <c r="H239" i="6"/>
  <c r="J239" i="6"/>
  <c r="G239" i="6"/>
  <c r="I239" i="6"/>
  <c r="H243" i="6"/>
  <c r="J243" i="6"/>
  <c r="G243" i="6"/>
  <c r="I243" i="6"/>
  <c r="H247" i="6"/>
  <c r="J247" i="6"/>
  <c r="G247" i="6"/>
  <c r="I247" i="6"/>
  <c r="H251" i="6"/>
  <c r="J251" i="6"/>
  <c r="G251" i="6"/>
  <c r="I251" i="6"/>
  <c r="H255" i="6"/>
  <c r="J255" i="6"/>
  <c r="G255" i="6"/>
  <c r="I255" i="6"/>
  <c r="H259" i="6"/>
  <c r="J259" i="6"/>
  <c r="G259" i="6"/>
  <c r="I259" i="6"/>
  <c r="H263" i="6"/>
  <c r="J263" i="6"/>
  <c r="G263" i="6"/>
  <c r="I263" i="6"/>
  <c r="H267" i="6"/>
  <c r="J267" i="6"/>
  <c r="G267" i="6"/>
  <c r="I267" i="6"/>
  <c r="H271" i="6"/>
  <c r="J271" i="6"/>
  <c r="G271" i="6"/>
  <c r="I271" i="6"/>
  <c r="H275" i="6"/>
  <c r="J275" i="6"/>
  <c r="G275" i="6"/>
  <c r="I275" i="6"/>
  <c r="H279" i="6"/>
  <c r="J279" i="6"/>
  <c r="G279" i="6"/>
  <c r="I279" i="6"/>
  <c r="H283" i="6"/>
  <c r="J283" i="6"/>
  <c r="G283" i="6"/>
  <c r="I283" i="6"/>
  <c r="H287" i="6"/>
  <c r="J287" i="6"/>
  <c r="G287" i="6"/>
  <c r="I287" i="6"/>
  <c r="H291" i="6"/>
  <c r="J291" i="6"/>
  <c r="G291" i="6"/>
  <c r="I291" i="6"/>
  <c r="H295" i="6"/>
  <c r="J295" i="6"/>
  <c r="G295" i="6"/>
  <c r="I295" i="6"/>
  <c r="H299" i="6"/>
  <c r="J299" i="6"/>
  <c r="G299" i="6"/>
  <c r="I299" i="6"/>
  <c r="H303" i="6"/>
  <c r="J303" i="6"/>
  <c r="G303" i="6"/>
  <c r="I303" i="6"/>
  <c r="H307" i="6"/>
  <c r="J307" i="6"/>
  <c r="G307" i="6"/>
  <c r="I307" i="6"/>
  <c r="H311" i="6"/>
  <c r="J311" i="6"/>
  <c r="G311" i="6"/>
  <c r="I311" i="6"/>
  <c r="H315" i="6"/>
  <c r="J315" i="6"/>
  <c r="G315" i="6"/>
  <c r="I315" i="6"/>
  <c r="H319" i="6"/>
  <c r="J319" i="6"/>
  <c r="G319" i="6"/>
  <c r="I319" i="6"/>
  <c r="H323" i="6"/>
  <c r="J323" i="6"/>
  <c r="G323" i="6"/>
  <c r="I323" i="6"/>
  <c r="H327" i="6"/>
  <c r="J327" i="6"/>
  <c r="G327" i="6"/>
  <c r="I327" i="6"/>
  <c r="H331" i="6"/>
  <c r="J331" i="6"/>
  <c r="G331" i="6"/>
  <c r="I331" i="6"/>
  <c r="H335" i="6"/>
  <c r="J335" i="6"/>
  <c r="G335" i="6"/>
  <c r="I335" i="6"/>
  <c r="H339" i="6"/>
  <c r="J339" i="6"/>
  <c r="G339" i="6"/>
  <c r="I339" i="6"/>
  <c r="H343" i="6"/>
  <c r="J343" i="6"/>
  <c r="G343" i="6"/>
  <c r="I343" i="6"/>
  <c r="H347" i="6"/>
  <c r="J347" i="6"/>
  <c r="G347" i="6"/>
  <c r="I347" i="6"/>
  <c r="H351" i="6"/>
  <c r="J351" i="6"/>
  <c r="G351" i="6"/>
  <c r="I351" i="6"/>
  <c r="H355" i="6"/>
  <c r="J355" i="6"/>
  <c r="G355" i="6"/>
  <c r="I355" i="6"/>
  <c r="H359" i="6"/>
  <c r="J359" i="6"/>
  <c r="G359" i="6"/>
  <c r="I359" i="6"/>
  <c r="H363" i="6"/>
  <c r="J363" i="6"/>
  <c r="G363" i="6"/>
  <c r="I363" i="6"/>
  <c r="H367" i="6"/>
  <c r="J367" i="6"/>
  <c r="G367" i="6"/>
  <c r="I367" i="6"/>
  <c r="H371" i="6"/>
  <c r="J371" i="6"/>
  <c r="G371" i="6"/>
  <c r="I371" i="6"/>
  <c r="H375" i="6"/>
  <c r="J375" i="6"/>
  <c r="G375" i="6"/>
  <c r="I375" i="6"/>
  <c r="H379" i="6"/>
  <c r="J379" i="6"/>
  <c r="G379" i="6"/>
  <c r="I379" i="6"/>
  <c r="H383" i="6"/>
  <c r="J383" i="6"/>
  <c r="G383" i="6"/>
  <c r="I383" i="6"/>
  <c r="H387" i="6"/>
  <c r="J387" i="6"/>
  <c r="G387" i="6"/>
  <c r="I387" i="6"/>
  <c r="H391" i="6"/>
  <c r="J391" i="6"/>
  <c r="G391" i="6"/>
  <c r="I391" i="6"/>
  <c r="H395" i="6"/>
  <c r="J395" i="6"/>
  <c r="G395" i="6"/>
  <c r="I395" i="6"/>
  <c r="H399" i="6"/>
  <c r="J399" i="6"/>
  <c r="G399" i="6"/>
  <c r="I399" i="6"/>
  <c r="H403" i="6"/>
  <c r="J403" i="6"/>
  <c r="G403" i="6"/>
  <c r="I403" i="6"/>
  <c r="H407" i="6"/>
  <c r="J407" i="6"/>
  <c r="G407" i="6"/>
  <c r="I407" i="6"/>
  <c r="H411" i="6"/>
  <c r="J411" i="6"/>
  <c r="G411" i="6"/>
  <c r="I411" i="6"/>
  <c r="H415" i="6"/>
  <c r="J415" i="6"/>
  <c r="G415" i="6"/>
  <c r="I415" i="6"/>
  <c r="H419" i="6"/>
  <c r="J419" i="6"/>
  <c r="G419" i="6"/>
  <c r="I419" i="6"/>
  <c r="H423" i="6"/>
  <c r="J423" i="6"/>
  <c r="G423" i="6"/>
  <c r="I423" i="6"/>
  <c r="H427" i="6"/>
  <c r="J427" i="6"/>
  <c r="G427" i="6"/>
  <c r="I427" i="6"/>
  <c r="H431" i="6"/>
  <c r="J431" i="6"/>
  <c r="G431" i="6"/>
  <c r="I431" i="6"/>
  <c r="H435" i="6"/>
  <c r="J435" i="6"/>
  <c r="G435" i="6"/>
  <c r="I435" i="6"/>
  <c r="H439" i="6"/>
  <c r="J439" i="6"/>
  <c r="G439" i="6"/>
  <c r="I439" i="6"/>
  <c r="H443" i="6"/>
  <c r="J443" i="6"/>
  <c r="G443" i="6"/>
  <c r="I443" i="6"/>
  <c r="H447" i="6"/>
  <c r="J447" i="6"/>
  <c r="G447" i="6"/>
  <c r="I447" i="6"/>
  <c r="H451" i="6"/>
  <c r="J451" i="6"/>
  <c r="G451" i="6"/>
  <c r="I451" i="6"/>
  <c r="H455" i="6"/>
  <c r="J455" i="6"/>
  <c r="G455" i="6"/>
  <c r="I455" i="6"/>
  <c r="H459" i="6"/>
  <c r="J459" i="6"/>
  <c r="G459" i="6"/>
  <c r="I459" i="6"/>
  <c r="H463" i="6"/>
  <c r="J463" i="6"/>
  <c r="G463" i="6"/>
  <c r="I463" i="6"/>
  <c r="H467" i="6"/>
  <c r="J467" i="6"/>
  <c r="G467" i="6"/>
  <c r="I467" i="6"/>
  <c r="H471" i="6"/>
  <c r="J471" i="6"/>
  <c r="G471" i="6"/>
  <c r="I471" i="6"/>
  <c r="H475" i="6"/>
  <c r="J475" i="6"/>
  <c r="G475" i="6"/>
  <c r="I475" i="6"/>
  <c r="H479" i="6"/>
  <c r="J479" i="6"/>
  <c r="G479" i="6"/>
  <c r="I479" i="6"/>
  <c r="H483" i="6"/>
  <c r="J483" i="6"/>
  <c r="G483" i="6"/>
  <c r="I483" i="6"/>
  <c r="H487" i="6"/>
  <c r="J487" i="6"/>
  <c r="G487" i="6"/>
  <c r="I487" i="6"/>
  <c r="H491" i="6"/>
  <c r="J491" i="6"/>
  <c r="G491" i="6"/>
  <c r="I491" i="6"/>
  <c r="H495" i="6"/>
  <c r="J495" i="6"/>
  <c r="G495" i="6"/>
  <c r="I495" i="6"/>
  <c r="H499" i="6"/>
  <c r="J499" i="6"/>
  <c r="G499" i="6"/>
  <c r="I499" i="6"/>
  <c r="H196" i="6"/>
  <c r="J196" i="6"/>
  <c r="G196" i="6"/>
  <c r="I196" i="6"/>
  <c r="H200" i="6"/>
  <c r="J200" i="6"/>
  <c r="G200" i="6"/>
  <c r="I200" i="6"/>
  <c r="H204" i="6"/>
  <c r="J204" i="6"/>
  <c r="G204" i="6"/>
  <c r="I204" i="6"/>
  <c r="H208" i="6"/>
  <c r="J208" i="6"/>
  <c r="G208" i="6"/>
  <c r="I208" i="6"/>
  <c r="H212" i="6"/>
  <c r="J212" i="6"/>
  <c r="G212" i="6"/>
  <c r="I212" i="6"/>
  <c r="H216" i="6"/>
  <c r="J216" i="6"/>
  <c r="G216" i="6"/>
  <c r="I216" i="6"/>
  <c r="H220" i="6"/>
  <c r="J220" i="6"/>
  <c r="G220" i="6"/>
  <c r="I220" i="6"/>
  <c r="H224" i="6"/>
  <c r="J224" i="6"/>
  <c r="G224" i="6"/>
  <c r="I224" i="6"/>
  <c r="H228" i="6"/>
  <c r="J228" i="6"/>
  <c r="G228" i="6"/>
  <c r="I228" i="6"/>
  <c r="H232" i="6"/>
  <c r="J232" i="6"/>
  <c r="G232" i="6"/>
  <c r="I232" i="6"/>
  <c r="H236" i="6"/>
  <c r="J236" i="6"/>
  <c r="G236" i="6"/>
  <c r="I236" i="6"/>
  <c r="H240" i="6"/>
  <c r="J240" i="6"/>
  <c r="G240" i="6"/>
  <c r="I240" i="6"/>
  <c r="H244" i="6"/>
  <c r="J244" i="6"/>
  <c r="G244" i="6"/>
  <c r="I244" i="6"/>
  <c r="H248" i="6"/>
  <c r="J248" i="6"/>
  <c r="G248" i="6"/>
  <c r="I248" i="6"/>
  <c r="H252" i="6"/>
  <c r="J252" i="6"/>
  <c r="G252" i="6"/>
  <c r="I252" i="6"/>
  <c r="H256" i="6"/>
  <c r="J256" i="6"/>
  <c r="G256" i="6"/>
  <c r="I256" i="6"/>
  <c r="H260" i="6"/>
  <c r="J260" i="6"/>
  <c r="G260" i="6"/>
  <c r="I260" i="6"/>
  <c r="H264" i="6"/>
  <c r="J264" i="6"/>
  <c r="G264" i="6"/>
  <c r="I264" i="6"/>
  <c r="H268" i="6"/>
  <c r="J268" i="6"/>
  <c r="G268" i="6"/>
  <c r="I268" i="6"/>
  <c r="H272" i="6"/>
  <c r="J272" i="6"/>
  <c r="G272" i="6"/>
  <c r="I272" i="6"/>
  <c r="H276" i="6"/>
  <c r="J276" i="6"/>
  <c r="G276" i="6"/>
  <c r="I276" i="6"/>
  <c r="H280" i="6"/>
  <c r="J280" i="6"/>
  <c r="G280" i="6"/>
  <c r="I280" i="6"/>
  <c r="H284" i="6"/>
  <c r="J284" i="6"/>
  <c r="G284" i="6"/>
  <c r="I284" i="6"/>
  <c r="H288" i="6"/>
  <c r="J288" i="6"/>
  <c r="G288" i="6"/>
  <c r="I288" i="6"/>
  <c r="H292" i="6"/>
  <c r="J292" i="6"/>
  <c r="G292" i="6"/>
  <c r="I292" i="6"/>
  <c r="H296" i="6"/>
  <c r="J296" i="6"/>
  <c r="G296" i="6"/>
  <c r="I296" i="6"/>
  <c r="H300" i="6"/>
  <c r="J300" i="6"/>
  <c r="G300" i="6"/>
  <c r="I300" i="6"/>
  <c r="H304" i="6"/>
  <c r="J304" i="6"/>
  <c r="G304" i="6"/>
  <c r="I304" i="6"/>
  <c r="H308" i="6"/>
  <c r="J308" i="6"/>
  <c r="G308" i="6"/>
  <c r="I308" i="6"/>
  <c r="H312" i="6"/>
  <c r="J312" i="6"/>
  <c r="G312" i="6"/>
  <c r="I312" i="6"/>
  <c r="H316" i="6"/>
  <c r="J316" i="6"/>
  <c r="G316" i="6"/>
  <c r="I316" i="6"/>
  <c r="H320" i="6"/>
  <c r="J320" i="6"/>
  <c r="G320" i="6"/>
  <c r="I320" i="6"/>
  <c r="H324" i="6"/>
  <c r="J324" i="6"/>
  <c r="G324" i="6"/>
  <c r="I324" i="6"/>
  <c r="H328" i="6"/>
  <c r="J328" i="6"/>
  <c r="G328" i="6"/>
  <c r="I328" i="6"/>
  <c r="H332" i="6"/>
  <c r="J332" i="6"/>
  <c r="G332" i="6"/>
  <c r="I332" i="6"/>
  <c r="H336" i="6"/>
  <c r="J336" i="6"/>
  <c r="G336" i="6"/>
  <c r="I336" i="6"/>
  <c r="H340" i="6"/>
  <c r="J340" i="6"/>
  <c r="G340" i="6"/>
  <c r="I340" i="6"/>
  <c r="H344" i="6"/>
  <c r="J344" i="6"/>
  <c r="G344" i="6"/>
  <c r="I344" i="6"/>
  <c r="H348" i="6"/>
  <c r="J348" i="6"/>
  <c r="G348" i="6"/>
  <c r="I348" i="6"/>
  <c r="H352" i="6"/>
  <c r="J352" i="6"/>
  <c r="G352" i="6"/>
  <c r="I352" i="6"/>
  <c r="H356" i="6"/>
  <c r="J356" i="6"/>
  <c r="G356" i="6"/>
  <c r="I356" i="6"/>
  <c r="H360" i="6"/>
  <c r="J360" i="6"/>
  <c r="G360" i="6"/>
  <c r="I360" i="6"/>
  <c r="H364" i="6"/>
  <c r="J364" i="6"/>
  <c r="G364" i="6"/>
  <c r="I364" i="6"/>
  <c r="H368" i="6"/>
  <c r="J368" i="6"/>
  <c r="G368" i="6"/>
  <c r="I368" i="6"/>
  <c r="H372" i="6"/>
  <c r="J372" i="6"/>
  <c r="G372" i="6"/>
  <c r="I372" i="6"/>
  <c r="H376" i="6"/>
  <c r="J376" i="6"/>
  <c r="G376" i="6"/>
  <c r="I376" i="6"/>
  <c r="H380" i="6"/>
  <c r="J380" i="6"/>
  <c r="G380" i="6"/>
  <c r="I380" i="6"/>
  <c r="H384" i="6"/>
  <c r="J384" i="6"/>
  <c r="G384" i="6"/>
  <c r="I384" i="6"/>
  <c r="H388" i="6"/>
  <c r="J388" i="6"/>
  <c r="G388" i="6"/>
  <c r="I388" i="6"/>
  <c r="H392" i="6"/>
  <c r="J392" i="6"/>
  <c r="G392" i="6"/>
  <c r="I392" i="6"/>
  <c r="H396" i="6"/>
  <c r="J396" i="6"/>
  <c r="G396" i="6"/>
  <c r="I396" i="6"/>
  <c r="H400" i="6"/>
  <c r="J400" i="6"/>
  <c r="G400" i="6"/>
  <c r="I400" i="6"/>
  <c r="H404" i="6"/>
  <c r="J404" i="6"/>
  <c r="G404" i="6"/>
  <c r="I404" i="6"/>
  <c r="H408" i="6"/>
  <c r="J408" i="6"/>
  <c r="G408" i="6"/>
  <c r="I408" i="6"/>
  <c r="H412" i="6"/>
  <c r="J412" i="6"/>
  <c r="G412" i="6"/>
  <c r="I412" i="6"/>
  <c r="H416" i="6"/>
  <c r="J416" i="6"/>
  <c r="G416" i="6"/>
  <c r="I416" i="6"/>
  <c r="H420" i="6"/>
  <c r="J420" i="6"/>
  <c r="G420" i="6"/>
  <c r="I420" i="6"/>
  <c r="H424" i="6"/>
  <c r="J424" i="6"/>
  <c r="G424" i="6"/>
  <c r="I424" i="6"/>
  <c r="H428" i="6"/>
  <c r="J428" i="6"/>
  <c r="G428" i="6"/>
  <c r="I428" i="6"/>
  <c r="H432" i="6"/>
  <c r="J432" i="6"/>
  <c r="G432" i="6"/>
  <c r="I432" i="6"/>
  <c r="H436" i="6"/>
  <c r="J436" i="6"/>
  <c r="G436" i="6"/>
  <c r="I436" i="6"/>
  <c r="H440" i="6"/>
  <c r="J440" i="6"/>
  <c r="G440" i="6"/>
  <c r="I440" i="6"/>
  <c r="H444" i="6"/>
  <c r="J444" i="6"/>
  <c r="G444" i="6"/>
  <c r="I444" i="6"/>
  <c r="H448" i="6"/>
  <c r="J448" i="6"/>
  <c r="G448" i="6"/>
  <c r="I448" i="6"/>
  <c r="H452" i="6"/>
  <c r="J452" i="6"/>
  <c r="G452" i="6"/>
  <c r="I452" i="6"/>
  <c r="H456" i="6"/>
  <c r="J456" i="6"/>
  <c r="G456" i="6"/>
  <c r="I456" i="6"/>
  <c r="H460" i="6"/>
  <c r="J460" i="6"/>
  <c r="G460" i="6"/>
  <c r="I460" i="6"/>
  <c r="H464" i="6"/>
  <c r="J464" i="6"/>
  <c r="G464" i="6"/>
  <c r="I464" i="6"/>
  <c r="H468" i="6"/>
  <c r="J468" i="6"/>
  <c r="G468" i="6"/>
  <c r="I468" i="6"/>
  <c r="H472" i="6"/>
  <c r="J472" i="6"/>
  <c r="G472" i="6"/>
  <c r="I472" i="6"/>
  <c r="H476" i="6"/>
  <c r="J476" i="6"/>
  <c r="G476" i="6"/>
  <c r="I476" i="6"/>
  <c r="H480" i="6"/>
  <c r="J480" i="6"/>
  <c r="G480" i="6"/>
  <c r="I480" i="6"/>
  <c r="H484" i="6"/>
  <c r="J484" i="6"/>
  <c r="G484" i="6"/>
  <c r="I484" i="6"/>
  <c r="H488" i="6"/>
  <c r="J488" i="6"/>
  <c r="G488" i="6"/>
  <c r="I488" i="6"/>
  <c r="H492" i="6"/>
  <c r="J492" i="6"/>
  <c r="G492" i="6"/>
  <c r="I492" i="6"/>
  <c r="H496" i="6"/>
  <c r="J496" i="6"/>
  <c r="G496" i="6"/>
  <c r="I496" i="6"/>
  <c r="H500" i="6"/>
  <c r="J500" i="6"/>
  <c r="G500" i="6"/>
  <c r="I500" i="6"/>
  <c r="H197" i="6"/>
  <c r="J197" i="6"/>
  <c r="G197" i="6"/>
  <c r="I197" i="6"/>
  <c r="H201" i="6"/>
  <c r="J201" i="6"/>
  <c r="G201" i="6"/>
  <c r="I201" i="6"/>
  <c r="H205" i="6"/>
  <c r="J205" i="6"/>
  <c r="G205" i="6"/>
  <c r="I205" i="6"/>
  <c r="H209" i="6"/>
  <c r="J209" i="6"/>
  <c r="G209" i="6"/>
  <c r="I209" i="6"/>
  <c r="H213" i="6"/>
  <c r="J213" i="6"/>
  <c r="G213" i="6"/>
  <c r="I213" i="6"/>
  <c r="H217" i="6"/>
  <c r="J217" i="6"/>
  <c r="G217" i="6"/>
  <c r="I217" i="6"/>
  <c r="H221" i="6"/>
  <c r="J221" i="6"/>
  <c r="G221" i="6"/>
  <c r="I221" i="6"/>
  <c r="H225" i="6"/>
  <c r="J225" i="6"/>
  <c r="G225" i="6"/>
  <c r="I225" i="6"/>
  <c r="H229" i="6"/>
  <c r="J229" i="6"/>
  <c r="G229" i="6"/>
  <c r="I229" i="6"/>
  <c r="H233" i="6"/>
  <c r="J233" i="6"/>
  <c r="G233" i="6"/>
  <c r="I233" i="6"/>
  <c r="H237" i="6"/>
  <c r="J237" i="6"/>
  <c r="G237" i="6"/>
  <c r="I237" i="6"/>
  <c r="H241" i="6"/>
  <c r="J241" i="6"/>
  <c r="G241" i="6"/>
  <c r="I241" i="6"/>
  <c r="H245" i="6"/>
  <c r="J245" i="6"/>
  <c r="G245" i="6"/>
  <c r="I245" i="6"/>
  <c r="H249" i="6"/>
  <c r="J249" i="6"/>
  <c r="G249" i="6"/>
  <c r="I249" i="6"/>
  <c r="H253" i="6"/>
  <c r="J253" i="6"/>
  <c r="G253" i="6"/>
  <c r="I253" i="6"/>
  <c r="H257" i="6"/>
  <c r="J257" i="6"/>
  <c r="G257" i="6"/>
  <c r="I257" i="6"/>
  <c r="H261" i="6"/>
  <c r="J261" i="6"/>
  <c r="G261" i="6"/>
  <c r="I261" i="6"/>
  <c r="H265" i="6"/>
  <c r="J265" i="6"/>
  <c r="G265" i="6"/>
  <c r="I265" i="6"/>
  <c r="H269" i="6"/>
  <c r="J269" i="6"/>
  <c r="G269" i="6"/>
  <c r="I269" i="6"/>
  <c r="H273" i="6"/>
  <c r="J273" i="6"/>
  <c r="G273" i="6"/>
  <c r="I273" i="6"/>
  <c r="H277" i="6"/>
  <c r="J277" i="6"/>
  <c r="G277" i="6"/>
  <c r="I277" i="6"/>
  <c r="H281" i="6"/>
  <c r="J281" i="6"/>
  <c r="G281" i="6"/>
  <c r="I281" i="6"/>
  <c r="H285" i="6"/>
  <c r="J285" i="6"/>
  <c r="G285" i="6"/>
  <c r="I285" i="6"/>
  <c r="H289" i="6"/>
  <c r="J289" i="6"/>
  <c r="G289" i="6"/>
  <c r="I289" i="6"/>
  <c r="H293" i="6"/>
  <c r="J293" i="6"/>
  <c r="G293" i="6"/>
  <c r="I293" i="6"/>
  <c r="H297" i="6"/>
  <c r="J297" i="6"/>
  <c r="G297" i="6"/>
  <c r="I297" i="6"/>
  <c r="H301" i="6"/>
  <c r="J301" i="6"/>
  <c r="G301" i="6"/>
  <c r="I301" i="6"/>
  <c r="H305" i="6"/>
  <c r="J305" i="6"/>
  <c r="G305" i="6"/>
  <c r="I305" i="6"/>
  <c r="H309" i="6"/>
  <c r="J309" i="6"/>
  <c r="G309" i="6"/>
  <c r="I309" i="6"/>
  <c r="H313" i="6"/>
  <c r="J313" i="6"/>
  <c r="G313" i="6"/>
  <c r="I313" i="6"/>
  <c r="H317" i="6"/>
  <c r="J317" i="6"/>
  <c r="G317" i="6"/>
  <c r="I317" i="6"/>
  <c r="H321" i="6"/>
  <c r="J321" i="6"/>
  <c r="G321" i="6"/>
  <c r="I321" i="6"/>
  <c r="H325" i="6"/>
  <c r="J325" i="6"/>
  <c r="G325" i="6"/>
  <c r="I325" i="6"/>
  <c r="H329" i="6"/>
  <c r="J329" i="6"/>
  <c r="G329" i="6"/>
  <c r="I329" i="6"/>
  <c r="H333" i="6"/>
  <c r="J333" i="6"/>
  <c r="G333" i="6"/>
  <c r="I333" i="6"/>
  <c r="H337" i="6"/>
  <c r="J337" i="6"/>
  <c r="G337" i="6"/>
  <c r="I337" i="6"/>
  <c r="H341" i="6"/>
  <c r="J341" i="6"/>
  <c r="G341" i="6"/>
  <c r="I341" i="6"/>
  <c r="H345" i="6"/>
  <c r="J345" i="6"/>
  <c r="G345" i="6"/>
  <c r="I345" i="6"/>
  <c r="H349" i="6"/>
  <c r="J349" i="6"/>
  <c r="G349" i="6"/>
  <c r="I349" i="6"/>
  <c r="H353" i="6"/>
  <c r="J353" i="6"/>
  <c r="G353" i="6"/>
  <c r="I353" i="6"/>
  <c r="H357" i="6"/>
  <c r="J357" i="6"/>
  <c r="G357" i="6"/>
  <c r="I357" i="6"/>
  <c r="H361" i="6"/>
  <c r="J361" i="6"/>
  <c r="G361" i="6"/>
  <c r="I361" i="6"/>
  <c r="H365" i="6"/>
  <c r="J365" i="6"/>
  <c r="G365" i="6"/>
  <c r="I365" i="6"/>
  <c r="H369" i="6"/>
  <c r="J369" i="6"/>
  <c r="G369" i="6"/>
  <c r="I369" i="6"/>
  <c r="H373" i="6"/>
  <c r="J373" i="6"/>
  <c r="G373" i="6"/>
  <c r="I373" i="6"/>
  <c r="H377" i="6"/>
  <c r="J377" i="6"/>
  <c r="G377" i="6"/>
  <c r="I377" i="6"/>
  <c r="H381" i="6"/>
  <c r="J381" i="6"/>
  <c r="G381" i="6"/>
  <c r="I381" i="6"/>
  <c r="H385" i="6"/>
  <c r="J385" i="6"/>
  <c r="G385" i="6"/>
  <c r="I385" i="6"/>
  <c r="H389" i="6"/>
  <c r="J389" i="6"/>
  <c r="G389" i="6"/>
  <c r="I389" i="6"/>
  <c r="H393" i="6"/>
  <c r="J393" i="6"/>
  <c r="G393" i="6"/>
  <c r="I393" i="6"/>
  <c r="H397" i="6"/>
  <c r="J397" i="6"/>
  <c r="G397" i="6"/>
  <c r="I397" i="6"/>
  <c r="H401" i="6"/>
  <c r="J401" i="6"/>
  <c r="G401" i="6"/>
  <c r="I401" i="6"/>
  <c r="H405" i="6"/>
  <c r="J405" i="6"/>
  <c r="G405" i="6"/>
  <c r="I405" i="6"/>
  <c r="H409" i="6"/>
  <c r="J409" i="6"/>
  <c r="G409" i="6"/>
  <c r="I409" i="6"/>
  <c r="H413" i="6"/>
  <c r="J413" i="6"/>
  <c r="G413" i="6"/>
  <c r="I413" i="6"/>
  <c r="H417" i="6"/>
  <c r="J417" i="6"/>
  <c r="G417" i="6"/>
  <c r="I417" i="6"/>
  <c r="H421" i="6"/>
  <c r="J421" i="6"/>
  <c r="G421" i="6"/>
  <c r="I421" i="6"/>
  <c r="H425" i="6"/>
  <c r="J425" i="6"/>
  <c r="G425" i="6"/>
  <c r="I425" i="6"/>
  <c r="H429" i="6"/>
  <c r="J429" i="6"/>
  <c r="G429" i="6"/>
  <c r="I429" i="6"/>
  <c r="H433" i="6"/>
  <c r="J433" i="6"/>
  <c r="G433" i="6"/>
  <c r="I433" i="6"/>
  <c r="H437" i="6"/>
  <c r="J437" i="6"/>
  <c r="G437" i="6"/>
  <c r="I437" i="6"/>
  <c r="H441" i="6"/>
  <c r="J441" i="6"/>
  <c r="G441" i="6"/>
  <c r="I441" i="6"/>
  <c r="H445" i="6"/>
  <c r="J445" i="6"/>
  <c r="G445" i="6"/>
  <c r="I445" i="6"/>
  <c r="H449" i="6"/>
  <c r="J449" i="6"/>
  <c r="G449" i="6"/>
  <c r="I449" i="6"/>
  <c r="H453" i="6"/>
  <c r="J453" i="6"/>
  <c r="G453" i="6"/>
  <c r="I453" i="6"/>
  <c r="H457" i="6"/>
  <c r="J457" i="6"/>
  <c r="G457" i="6"/>
  <c r="I457" i="6"/>
  <c r="H461" i="6"/>
  <c r="J461" i="6"/>
  <c r="G461" i="6"/>
  <c r="I461" i="6"/>
  <c r="H465" i="6"/>
  <c r="J465" i="6"/>
  <c r="G465" i="6"/>
  <c r="I465" i="6"/>
  <c r="H469" i="6"/>
  <c r="J469" i="6"/>
  <c r="G469" i="6"/>
  <c r="I469" i="6"/>
  <c r="H473" i="6"/>
  <c r="J473" i="6"/>
  <c r="G473" i="6"/>
  <c r="I473" i="6"/>
  <c r="H477" i="6"/>
  <c r="J477" i="6"/>
  <c r="G477" i="6"/>
  <c r="I477" i="6"/>
  <c r="H481" i="6"/>
  <c r="J481" i="6"/>
  <c r="G481" i="6"/>
  <c r="I481" i="6"/>
  <c r="H485" i="6"/>
  <c r="J485" i="6"/>
  <c r="G485" i="6"/>
  <c r="I485" i="6"/>
  <c r="H489" i="6"/>
  <c r="J489" i="6"/>
  <c r="G489" i="6"/>
  <c r="I489" i="6"/>
  <c r="H493" i="6"/>
  <c r="J493" i="6"/>
  <c r="G493" i="6"/>
  <c r="I493" i="6"/>
  <c r="H497" i="6"/>
  <c r="J497" i="6"/>
  <c r="G497" i="6"/>
  <c r="I497" i="6"/>
  <c r="H198" i="6"/>
  <c r="J198" i="6"/>
  <c r="G198" i="6"/>
  <c r="I198" i="6"/>
  <c r="H202" i="6"/>
  <c r="J202" i="6"/>
  <c r="G202" i="6"/>
  <c r="I202" i="6"/>
  <c r="H206" i="6"/>
  <c r="J206" i="6"/>
  <c r="G206" i="6"/>
  <c r="I206" i="6"/>
  <c r="H210" i="6"/>
  <c r="J210" i="6"/>
  <c r="G210" i="6"/>
  <c r="I210" i="6"/>
  <c r="H214" i="6"/>
  <c r="J214" i="6"/>
  <c r="G214" i="6"/>
  <c r="I214" i="6"/>
  <c r="H218" i="6"/>
  <c r="J218" i="6"/>
  <c r="G218" i="6"/>
  <c r="I218" i="6"/>
  <c r="H222" i="6"/>
  <c r="J222" i="6"/>
  <c r="G222" i="6"/>
  <c r="I222" i="6"/>
  <c r="H226" i="6"/>
  <c r="J226" i="6"/>
  <c r="G226" i="6"/>
  <c r="I226" i="6"/>
  <c r="H230" i="6"/>
  <c r="J230" i="6"/>
  <c r="G230" i="6"/>
  <c r="I230" i="6"/>
  <c r="H234" i="6"/>
  <c r="J234" i="6"/>
  <c r="G234" i="6"/>
  <c r="I234" i="6"/>
  <c r="H238" i="6"/>
  <c r="J238" i="6"/>
  <c r="G238" i="6"/>
  <c r="I238" i="6"/>
  <c r="H242" i="6"/>
  <c r="J242" i="6"/>
  <c r="G242" i="6"/>
  <c r="I242" i="6"/>
  <c r="H246" i="6"/>
  <c r="J246" i="6"/>
  <c r="G246" i="6"/>
  <c r="I246" i="6"/>
  <c r="H250" i="6"/>
  <c r="J250" i="6"/>
  <c r="G250" i="6"/>
  <c r="I250" i="6"/>
  <c r="H254" i="6"/>
  <c r="J254" i="6"/>
  <c r="G254" i="6"/>
  <c r="I254" i="6"/>
  <c r="H258" i="6"/>
  <c r="J258" i="6"/>
  <c r="G258" i="6"/>
  <c r="I258" i="6"/>
  <c r="H262" i="6"/>
  <c r="J262" i="6"/>
  <c r="G262" i="6"/>
  <c r="I262" i="6"/>
  <c r="H266" i="6"/>
  <c r="J266" i="6"/>
  <c r="G266" i="6"/>
  <c r="I266" i="6"/>
  <c r="H270" i="6"/>
  <c r="J270" i="6"/>
  <c r="G270" i="6"/>
  <c r="I270" i="6"/>
  <c r="H274" i="6"/>
  <c r="J274" i="6"/>
  <c r="G274" i="6"/>
  <c r="I274" i="6"/>
  <c r="H278" i="6"/>
  <c r="J278" i="6"/>
  <c r="G278" i="6"/>
  <c r="I278" i="6"/>
  <c r="H282" i="6"/>
  <c r="J282" i="6"/>
  <c r="G282" i="6"/>
  <c r="I282" i="6"/>
  <c r="H286" i="6"/>
  <c r="J286" i="6"/>
  <c r="G286" i="6"/>
  <c r="I286" i="6"/>
  <c r="H290" i="6"/>
  <c r="J290" i="6"/>
  <c r="G290" i="6"/>
  <c r="I290" i="6"/>
  <c r="H294" i="6"/>
  <c r="J294" i="6"/>
  <c r="G294" i="6"/>
  <c r="I294" i="6"/>
  <c r="H298" i="6"/>
  <c r="J298" i="6"/>
  <c r="G298" i="6"/>
  <c r="I298" i="6"/>
  <c r="H302" i="6"/>
  <c r="J302" i="6"/>
  <c r="G302" i="6"/>
  <c r="I302" i="6"/>
  <c r="H306" i="6"/>
  <c r="J306" i="6"/>
  <c r="G306" i="6"/>
  <c r="I306" i="6"/>
  <c r="H310" i="6"/>
  <c r="J310" i="6"/>
  <c r="G310" i="6"/>
  <c r="I310" i="6"/>
  <c r="H314" i="6"/>
  <c r="J314" i="6"/>
  <c r="G314" i="6"/>
  <c r="I314" i="6"/>
  <c r="H318" i="6"/>
  <c r="J318" i="6"/>
  <c r="G318" i="6"/>
  <c r="I318" i="6"/>
  <c r="H322" i="6"/>
  <c r="J322" i="6"/>
  <c r="G322" i="6"/>
  <c r="I322" i="6"/>
  <c r="H326" i="6"/>
  <c r="J326" i="6"/>
  <c r="G326" i="6"/>
  <c r="I326" i="6"/>
  <c r="H330" i="6"/>
  <c r="J330" i="6"/>
  <c r="G330" i="6"/>
  <c r="I330" i="6"/>
  <c r="H334" i="6"/>
  <c r="J334" i="6"/>
  <c r="G334" i="6"/>
  <c r="I334" i="6"/>
  <c r="H338" i="6"/>
  <c r="J338" i="6"/>
  <c r="G338" i="6"/>
  <c r="I338" i="6"/>
  <c r="H342" i="6"/>
  <c r="J342" i="6"/>
  <c r="G342" i="6"/>
  <c r="I342" i="6"/>
  <c r="H346" i="6"/>
  <c r="J346" i="6"/>
  <c r="G346" i="6"/>
  <c r="I346" i="6"/>
  <c r="H350" i="6"/>
  <c r="J350" i="6"/>
  <c r="G350" i="6"/>
  <c r="I350" i="6"/>
  <c r="H354" i="6"/>
  <c r="J354" i="6"/>
  <c r="G354" i="6"/>
  <c r="I354" i="6"/>
  <c r="H358" i="6"/>
  <c r="J358" i="6"/>
  <c r="G358" i="6"/>
  <c r="I358" i="6"/>
  <c r="H362" i="6"/>
  <c r="J362" i="6"/>
  <c r="G362" i="6"/>
  <c r="I362" i="6"/>
  <c r="H366" i="6"/>
  <c r="J366" i="6"/>
  <c r="G366" i="6"/>
  <c r="I366" i="6"/>
  <c r="H370" i="6"/>
  <c r="J370" i="6"/>
  <c r="G370" i="6"/>
  <c r="I370" i="6"/>
  <c r="H374" i="6"/>
  <c r="J374" i="6"/>
  <c r="G374" i="6"/>
  <c r="I374" i="6"/>
  <c r="H378" i="6"/>
  <c r="J378" i="6"/>
  <c r="G378" i="6"/>
  <c r="I378" i="6"/>
  <c r="H382" i="6"/>
  <c r="J382" i="6"/>
  <c r="G382" i="6"/>
  <c r="I382" i="6"/>
  <c r="H386" i="6"/>
  <c r="J386" i="6"/>
  <c r="G386" i="6"/>
  <c r="I386" i="6"/>
  <c r="H390" i="6"/>
  <c r="J390" i="6"/>
  <c r="G390" i="6"/>
  <c r="I390" i="6"/>
  <c r="H394" i="6"/>
  <c r="J394" i="6"/>
  <c r="G394" i="6"/>
  <c r="I394" i="6"/>
  <c r="H398" i="6"/>
  <c r="J398" i="6"/>
  <c r="G398" i="6"/>
  <c r="I398" i="6"/>
  <c r="H402" i="6"/>
  <c r="J402" i="6"/>
  <c r="G402" i="6"/>
  <c r="I402" i="6"/>
  <c r="H406" i="6"/>
  <c r="J406" i="6"/>
  <c r="G406" i="6"/>
  <c r="I406" i="6"/>
  <c r="H410" i="6"/>
  <c r="J410" i="6"/>
  <c r="G410" i="6"/>
  <c r="I410" i="6"/>
  <c r="H414" i="6"/>
  <c r="J414" i="6"/>
  <c r="G414" i="6"/>
  <c r="I414" i="6"/>
  <c r="H418" i="6"/>
  <c r="J418" i="6"/>
  <c r="G418" i="6"/>
  <c r="I418" i="6"/>
  <c r="H422" i="6"/>
  <c r="J422" i="6"/>
  <c r="G422" i="6"/>
  <c r="I422" i="6"/>
  <c r="H426" i="6"/>
  <c r="J426" i="6"/>
  <c r="G426" i="6"/>
  <c r="I426" i="6"/>
  <c r="H430" i="6"/>
  <c r="J430" i="6"/>
  <c r="G430" i="6"/>
  <c r="I430" i="6"/>
  <c r="H434" i="6"/>
  <c r="J434" i="6"/>
  <c r="G434" i="6"/>
  <c r="I434" i="6"/>
  <c r="H438" i="6"/>
  <c r="J438" i="6"/>
  <c r="G438" i="6"/>
  <c r="I438" i="6"/>
  <c r="H442" i="6"/>
  <c r="J442" i="6"/>
  <c r="G442" i="6"/>
  <c r="I442" i="6"/>
  <c r="H446" i="6"/>
  <c r="J446" i="6"/>
  <c r="G446" i="6"/>
  <c r="I446" i="6"/>
  <c r="H450" i="6"/>
  <c r="J450" i="6"/>
  <c r="G450" i="6"/>
  <c r="I450" i="6"/>
  <c r="H454" i="6"/>
  <c r="J454" i="6"/>
  <c r="G454" i="6"/>
  <c r="I454" i="6"/>
  <c r="H458" i="6"/>
  <c r="J458" i="6"/>
  <c r="G458" i="6"/>
  <c r="I458" i="6"/>
  <c r="H462" i="6"/>
  <c r="J462" i="6"/>
  <c r="G462" i="6"/>
  <c r="I462" i="6"/>
  <c r="H466" i="6"/>
  <c r="J466" i="6"/>
  <c r="G466" i="6"/>
  <c r="I466" i="6"/>
  <c r="H470" i="6"/>
  <c r="J470" i="6"/>
  <c r="G470" i="6"/>
  <c r="I470" i="6"/>
  <c r="H474" i="6"/>
  <c r="J474" i="6"/>
  <c r="G474" i="6"/>
  <c r="I474" i="6"/>
  <c r="H478" i="6"/>
  <c r="J478" i="6"/>
  <c r="G478" i="6"/>
  <c r="I478" i="6"/>
  <c r="H482" i="6"/>
  <c r="J482" i="6"/>
  <c r="G482" i="6"/>
  <c r="I482" i="6"/>
  <c r="H486" i="6"/>
  <c r="J486" i="6"/>
  <c r="G486" i="6"/>
  <c r="I486" i="6"/>
  <c r="H490" i="6"/>
  <c r="J490" i="6"/>
  <c r="G490" i="6"/>
  <c r="I490" i="6"/>
  <c r="H494" i="6"/>
  <c r="J494" i="6"/>
  <c r="G494" i="6"/>
  <c r="I494" i="6"/>
  <c r="H498" i="6"/>
  <c r="J498" i="6"/>
  <c r="G498" i="6"/>
  <c r="I498" i="6"/>
  <c r="H18" i="6"/>
  <c r="G18" i="6"/>
  <c r="H189" i="6"/>
  <c r="J189" i="6"/>
  <c r="G189" i="6"/>
  <c r="I189" i="6"/>
  <c r="H185" i="6"/>
  <c r="J185" i="6"/>
  <c r="G185" i="6"/>
  <c r="I185" i="6"/>
  <c r="H181" i="6"/>
  <c r="J181" i="6"/>
  <c r="G181" i="6"/>
  <c r="I181" i="6"/>
  <c r="H172" i="6"/>
  <c r="J172" i="6"/>
  <c r="G172" i="6"/>
  <c r="I172" i="6"/>
  <c r="H162" i="6"/>
  <c r="J162" i="6"/>
  <c r="G162" i="6"/>
  <c r="I162" i="6"/>
  <c r="H195" i="6"/>
  <c r="J195" i="6"/>
  <c r="G195" i="6"/>
  <c r="I195" i="6"/>
  <c r="H194" i="6"/>
  <c r="J194" i="6"/>
  <c r="G194" i="6"/>
  <c r="I194" i="6"/>
  <c r="H192" i="6"/>
  <c r="J192" i="6"/>
  <c r="G192" i="6"/>
  <c r="I192" i="6"/>
  <c r="H190" i="6"/>
  <c r="J190" i="6"/>
  <c r="G190" i="6"/>
  <c r="I190" i="6"/>
  <c r="H186" i="6"/>
  <c r="J186" i="6"/>
  <c r="G186" i="6"/>
  <c r="I186" i="6"/>
  <c r="H182" i="6"/>
  <c r="J182" i="6"/>
  <c r="G182" i="6"/>
  <c r="I182" i="6"/>
  <c r="H187" i="6"/>
  <c r="J187" i="6"/>
  <c r="G187" i="6"/>
  <c r="I187" i="6"/>
  <c r="H183" i="6"/>
  <c r="J183" i="6"/>
  <c r="G183" i="6"/>
  <c r="I183" i="6"/>
  <c r="H174" i="6"/>
  <c r="J174" i="6"/>
  <c r="G174" i="6"/>
  <c r="I174" i="6"/>
  <c r="H164" i="6"/>
  <c r="J164" i="6"/>
  <c r="G164" i="6"/>
  <c r="I164" i="6"/>
  <c r="H156" i="6"/>
  <c r="J156" i="6"/>
  <c r="G156" i="6"/>
  <c r="I156" i="6"/>
  <c r="H155" i="6"/>
  <c r="J155" i="6"/>
  <c r="G155" i="6"/>
  <c r="I155" i="6"/>
  <c r="H184" i="6"/>
  <c r="J184" i="6"/>
  <c r="G184" i="6"/>
  <c r="I184" i="6"/>
  <c r="H179" i="6"/>
  <c r="J179" i="6"/>
  <c r="G179" i="6"/>
  <c r="I179" i="6"/>
  <c r="H178" i="6"/>
  <c r="J178" i="6"/>
  <c r="G178" i="6"/>
  <c r="I178" i="6"/>
  <c r="H176" i="6"/>
  <c r="J176" i="6"/>
  <c r="G176" i="6"/>
  <c r="I176" i="6"/>
  <c r="H175" i="6"/>
  <c r="J175" i="6"/>
  <c r="G175" i="6"/>
  <c r="I175" i="6"/>
  <c r="H171" i="6"/>
  <c r="J171" i="6"/>
  <c r="G171" i="6"/>
  <c r="I171" i="6"/>
  <c r="H170" i="6"/>
  <c r="J170" i="6"/>
  <c r="G170" i="6"/>
  <c r="I170" i="6"/>
  <c r="H169" i="6"/>
  <c r="J169" i="6"/>
  <c r="G169" i="6"/>
  <c r="I169" i="6"/>
  <c r="H168" i="6"/>
  <c r="J168" i="6"/>
  <c r="G168" i="6"/>
  <c r="I168" i="6"/>
  <c r="H167" i="6"/>
  <c r="J167" i="6"/>
  <c r="G167" i="6"/>
  <c r="I167" i="6"/>
  <c r="H165" i="6"/>
  <c r="J165" i="6"/>
  <c r="G165" i="6"/>
  <c r="I165" i="6"/>
  <c r="H161" i="6"/>
  <c r="J161" i="6"/>
  <c r="G161" i="6"/>
  <c r="I161" i="6"/>
  <c r="A169" i="6"/>
  <c r="C169" i="6"/>
  <c r="B169" i="6"/>
  <c r="D169" i="6"/>
  <c r="A185" i="6"/>
  <c r="C185" i="6"/>
  <c r="B185" i="6"/>
  <c r="D185" i="6"/>
  <c r="A196" i="6"/>
  <c r="C196" i="6"/>
  <c r="B196" i="6"/>
  <c r="D196" i="6"/>
  <c r="A168" i="6"/>
  <c r="C168" i="6"/>
  <c r="B168" i="6"/>
  <c r="D168" i="6"/>
  <c r="A176" i="6"/>
  <c r="C176" i="6"/>
  <c r="B176" i="6"/>
  <c r="D176" i="6"/>
  <c r="A195" i="6"/>
  <c r="B195" i="6"/>
  <c r="A187" i="6"/>
  <c r="C187" i="6"/>
  <c r="B187" i="6"/>
  <c r="D187" i="6"/>
  <c r="A178" i="6"/>
  <c r="C178" i="6"/>
  <c r="B178" i="6"/>
  <c r="D178" i="6"/>
  <c r="A161" i="6"/>
  <c r="C161" i="6"/>
  <c r="B161" i="6"/>
  <c r="D161" i="6"/>
  <c r="A159" i="6"/>
  <c r="C159" i="6"/>
  <c r="B159" i="6"/>
  <c r="D159" i="6"/>
  <c r="A155" i="6"/>
  <c r="C155" i="6"/>
  <c r="B155" i="6"/>
  <c r="D155" i="6"/>
  <c r="A156" i="6"/>
  <c r="C156" i="6"/>
  <c r="B156" i="6"/>
  <c r="D156" i="6"/>
  <c r="A174" i="6"/>
  <c r="C174" i="6"/>
  <c r="B174" i="6"/>
  <c r="A179" i="6"/>
  <c r="C179" i="6"/>
  <c r="B179" i="6"/>
  <c r="D179" i="6"/>
  <c r="A183" i="6"/>
  <c r="C183" i="6"/>
  <c r="B183" i="6"/>
  <c r="D183" i="6"/>
  <c r="A186" i="6"/>
  <c r="B186" i="6"/>
  <c r="A189" i="6"/>
  <c r="C189" i="6"/>
  <c r="B189" i="6"/>
  <c r="C195" i="6"/>
  <c r="D195" i="6"/>
  <c r="A171" i="6"/>
  <c r="C171" i="6"/>
  <c r="B171" i="6"/>
  <c r="D171" i="6"/>
  <c r="A165" i="6"/>
  <c r="C165" i="6"/>
  <c r="B165" i="6"/>
  <c r="D165" i="6"/>
  <c r="A175" i="6"/>
  <c r="C175" i="6"/>
  <c r="B175" i="6"/>
  <c r="D175" i="6"/>
  <c r="A182" i="6"/>
  <c r="C182" i="6"/>
  <c r="B182" i="6"/>
  <c r="D182" i="6"/>
  <c r="D174" i="6"/>
  <c r="C186" i="6"/>
  <c r="D186" i="6"/>
  <c r="A162" i="6"/>
  <c r="C162" i="6"/>
  <c r="B162" i="6"/>
  <c r="D162" i="6"/>
  <c r="A167" i="6"/>
  <c r="C167" i="6"/>
  <c r="B167" i="6"/>
  <c r="D167" i="6"/>
  <c r="A170" i="6"/>
  <c r="C170" i="6"/>
  <c r="B170" i="6"/>
  <c r="D170" i="6"/>
  <c r="A181" i="6"/>
  <c r="C181" i="6"/>
  <c r="B181" i="6"/>
  <c r="D181" i="6"/>
  <c r="A194" i="6"/>
  <c r="C194" i="6"/>
  <c r="B194" i="6"/>
  <c r="D194" i="6"/>
  <c r="A184" i="6"/>
  <c r="C184" i="6"/>
  <c r="B184" i="6"/>
  <c r="D184" i="6"/>
  <c r="A190" i="6"/>
  <c r="C190" i="6"/>
  <c r="B190" i="6"/>
  <c r="D190" i="6"/>
  <c r="A164" i="6"/>
  <c r="C164" i="6"/>
  <c r="B164" i="6"/>
  <c r="D164" i="6"/>
  <c r="D189" i="6"/>
  <c r="A172" i="6"/>
  <c r="C172" i="6"/>
  <c r="B172" i="6"/>
  <c r="D172" i="6"/>
  <c r="I18" i="6"/>
  <c r="A18" i="6"/>
  <c r="B18" i="6"/>
  <c r="A192" i="6"/>
  <c r="C192" i="6"/>
  <c r="B192" i="6"/>
  <c r="D192" i="6"/>
  <c r="J18" i="6"/>
  <c r="B163" i="6"/>
  <c r="D163" i="6"/>
  <c r="A163" i="6"/>
  <c r="C163" i="6"/>
  <c r="H163" i="6"/>
  <c r="J163" i="6"/>
  <c r="G163" i="6"/>
  <c r="I163" i="6"/>
  <c r="H159" i="6"/>
  <c r="J159" i="6"/>
  <c r="G159" i="6"/>
  <c r="I159" i="6"/>
  <c r="K18" i="6"/>
  <c r="L18" i="6"/>
  <c r="A177" i="6"/>
  <c r="C177" i="6"/>
  <c r="B177" i="6"/>
  <c r="D177" i="6"/>
  <c r="H177" i="6"/>
  <c r="J177" i="6"/>
  <c r="G177" i="6"/>
  <c r="I177" i="6"/>
  <c r="A153" i="6"/>
  <c r="C153" i="6"/>
  <c r="B153" i="6"/>
  <c r="D153" i="6"/>
  <c r="H153" i="6"/>
  <c r="J153" i="6"/>
  <c r="G153" i="6"/>
  <c r="I153" i="6"/>
  <c r="A173" i="6"/>
  <c r="C173" i="6"/>
  <c r="B173" i="6"/>
  <c r="D173" i="6"/>
  <c r="H173" i="6"/>
  <c r="J173" i="6"/>
  <c r="G173" i="6"/>
  <c r="I173" i="6"/>
  <c r="A160" i="6"/>
  <c r="C160" i="6"/>
  <c r="B160" i="6"/>
  <c r="D160" i="6"/>
  <c r="H160" i="6"/>
  <c r="J160" i="6"/>
  <c r="G160" i="6"/>
  <c r="I160" i="6"/>
  <c r="A154" i="6"/>
  <c r="C154" i="6"/>
  <c r="B154" i="6"/>
  <c r="D154" i="6"/>
  <c r="H154" i="6"/>
  <c r="J154" i="6"/>
  <c r="G154" i="6"/>
  <c r="I154" i="6"/>
  <c r="A151" i="6"/>
  <c r="C151" i="6"/>
  <c r="B151" i="6"/>
  <c r="D151" i="6"/>
  <c r="H151" i="6"/>
  <c r="J151" i="6"/>
  <c r="G151" i="6"/>
  <c r="I151" i="6"/>
  <c r="A193" i="6"/>
  <c r="C193" i="6"/>
  <c r="B193" i="6"/>
  <c r="D193" i="6"/>
  <c r="H193" i="6"/>
  <c r="J193" i="6"/>
  <c r="G193" i="6"/>
  <c r="I193" i="6"/>
  <c r="A191" i="6"/>
  <c r="C191" i="6"/>
  <c r="B191" i="6"/>
  <c r="D191" i="6"/>
  <c r="H191" i="6"/>
  <c r="J191" i="6"/>
  <c r="G191" i="6"/>
  <c r="I191" i="6"/>
  <c r="A188" i="6"/>
  <c r="C188" i="6"/>
  <c r="B188" i="6"/>
  <c r="D188" i="6"/>
  <c r="H188" i="6"/>
  <c r="J188" i="6"/>
  <c r="G188" i="6"/>
  <c r="I188" i="6"/>
  <c r="A180" i="6"/>
  <c r="C180" i="6"/>
  <c r="B180" i="6"/>
  <c r="D180" i="6"/>
  <c r="H180" i="6"/>
  <c r="J180" i="6"/>
  <c r="G180" i="6"/>
  <c r="I180" i="6"/>
  <c r="A158" i="6"/>
  <c r="C158" i="6"/>
  <c r="B158" i="6"/>
  <c r="D158" i="6"/>
  <c r="H158" i="6"/>
  <c r="J158" i="6"/>
  <c r="G158" i="6"/>
  <c r="I158" i="6"/>
  <c r="A152" i="6"/>
  <c r="C152" i="6"/>
  <c r="B152" i="6"/>
  <c r="D152" i="6"/>
  <c r="H152" i="6"/>
  <c r="J152" i="6"/>
  <c r="G152" i="6"/>
  <c r="I152" i="6"/>
  <c r="A166" i="6"/>
  <c r="C166" i="6"/>
  <c r="B166" i="6"/>
  <c r="D166" i="6"/>
  <c r="H166" i="6"/>
  <c r="J166" i="6"/>
  <c r="G166" i="6"/>
  <c r="I166" i="6"/>
  <c r="A157" i="6"/>
  <c r="C157" i="6"/>
  <c r="B157" i="6"/>
  <c r="D157" i="6"/>
  <c r="H157" i="6"/>
  <c r="J157" i="6"/>
  <c r="G157" i="6"/>
  <c r="I157" i="6"/>
  <c r="C18" i="6"/>
  <c r="D18" i="6"/>
  <c r="P19" i="6"/>
  <c r="A19" i="6"/>
  <c r="B19" i="6"/>
  <c r="H19" i="6"/>
  <c r="G19" i="6"/>
  <c r="I19" i="6"/>
  <c r="J19" i="6"/>
  <c r="L19" i="6"/>
  <c r="K19" i="6"/>
  <c r="C19" i="6"/>
  <c r="D19" i="6"/>
  <c r="P20" i="6"/>
  <c r="A20" i="6"/>
  <c r="B20" i="6"/>
  <c r="H20" i="6"/>
  <c r="G20" i="6"/>
  <c r="J20" i="6"/>
  <c r="I20" i="6"/>
  <c r="K20" i="6"/>
  <c r="L20" i="6"/>
  <c r="C20" i="6"/>
  <c r="D20" i="6"/>
  <c r="P21" i="6"/>
  <c r="A21" i="6"/>
  <c r="B21" i="6"/>
  <c r="G21" i="6"/>
  <c r="H21" i="6"/>
  <c r="I21" i="6"/>
  <c r="J21" i="6"/>
  <c r="K21" i="6"/>
  <c r="L21" i="6"/>
  <c r="C21" i="6"/>
  <c r="D21" i="6"/>
  <c r="P22" i="6"/>
  <c r="A22" i="6"/>
  <c r="B22" i="6"/>
  <c r="G22" i="6"/>
  <c r="H22" i="6"/>
  <c r="I22" i="6"/>
  <c r="J22" i="6"/>
  <c r="L22" i="6"/>
  <c r="K22" i="6"/>
  <c r="C22" i="6"/>
  <c r="D22" i="6"/>
  <c r="P23" i="6"/>
  <c r="A23" i="6"/>
  <c r="B23" i="6"/>
  <c r="H23" i="6"/>
  <c r="G23" i="6"/>
  <c r="I23" i="6"/>
  <c r="J23" i="6"/>
  <c r="L23" i="6"/>
  <c r="K23" i="6"/>
  <c r="C23" i="6"/>
  <c r="D23" i="6"/>
  <c r="P24" i="6"/>
  <c r="A24" i="6"/>
  <c r="B24" i="6"/>
  <c r="H24" i="6"/>
  <c r="G24" i="6"/>
  <c r="I24" i="6"/>
  <c r="J24" i="6"/>
  <c r="L24" i="6"/>
  <c r="K24" i="6"/>
  <c r="C24" i="6"/>
  <c r="D24" i="6"/>
  <c r="P25" i="6"/>
  <c r="A25" i="6"/>
  <c r="B25" i="6"/>
  <c r="H25" i="6"/>
  <c r="G25" i="6"/>
  <c r="L25" i="6"/>
  <c r="K25" i="6"/>
  <c r="J25" i="6"/>
  <c r="I25" i="6"/>
  <c r="C25" i="6"/>
  <c r="D25" i="6"/>
  <c r="P26" i="6"/>
  <c r="A26" i="6"/>
  <c r="B26" i="6"/>
  <c r="H26" i="6"/>
  <c r="G26" i="6"/>
  <c r="I26" i="6"/>
  <c r="L26" i="6"/>
  <c r="K26" i="6"/>
  <c r="J26" i="6"/>
  <c r="C26" i="6"/>
  <c r="D26" i="6"/>
  <c r="P27" i="6"/>
  <c r="A27" i="6"/>
  <c r="B27" i="6"/>
  <c r="H27" i="6"/>
  <c r="G27" i="6"/>
  <c r="I27" i="6"/>
  <c r="J27" i="6"/>
  <c r="L27" i="6"/>
  <c r="K27" i="6"/>
  <c r="C27" i="6"/>
  <c r="D27" i="6"/>
  <c r="P28" i="6"/>
  <c r="A28" i="6"/>
  <c r="B28" i="6"/>
  <c r="G28" i="6"/>
  <c r="H28" i="6"/>
  <c r="J28" i="6"/>
  <c r="L28" i="6"/>
  <c r="K28" i="6"/>
  <c r="I28" i="6"/>
  <c r="C28" i="6"/>
  <c r="D28" i="6"/>
  <c r="P29" i="6"/>
  <c r="A29" i="6"/>
  <c r="B29" i="6"/>
  <c r="H29" i="6"/>
  <c r="G29" i="6"/>
  <c r="L29" i="6"/>
  <c r="K29" i="6"/>
  <c r="I29" i="6"/>
  <c r="J29" i="6"/>
  <c r="C29" i="6"/>
  <c r="D29" i="6"/>
  <c r="P30" i="6"/>
  <c r="A30" i="6"/>
  <c r="B30" i="6"/>
  <c r="G30" i="6"/>
  <c r="H30" i="6"/>
  <c r="J30" i="6"/>
  <c r="L30" i="6"/>
  <c r="K30" i="6"/>
  <c r="I30" i="6"/>
  <c r="C30" i="6"/>
  <c r="D30" i="6"/>
  <c r="P31" i="6"/>
  <c r="A31" i="6"/>
  <c r="B31" i="6"/>
  <c r="H31" i="6"/>
  <c r="G31" i="6"/>
  <c r="I31" i="6"/>
  <c r="J31" i="6"/>
  <c r="L31" i="6"/>
  <c r="K31" i="6"/>
  <c r="C31" i="6"/>
  <c r="D31" i="6"/>
  <c r="P32" i="6"/>
  <c r="A32" i="6"/>
  <c r="B32" i="6"/>
  <c r="H32" i="6"/>
  <c r="G32" i="6"/>
  <c r="I32" i="6"/>
  <c r="L32" i="6"/>
  <c r="K32" i="6"/>
  <c r="J32" i="6"/>
  <c r="C32" i="6"/>
  <c r="D32" i="6"/>
  <c r="P33" i="6"/>
  <c r="A33" i="6"/>
  <c r="B33" i="6"/>
  <c r="H33" i="6"/>
  <c r="G33" i="6"/>
  <c r="I33" i="6"/>
  <c r="L33" i="6"/>
  <c r="K33" i="6"/>
  <c r="J33" i="6"/>
  <c r="C33" i="6"/>
  <c r="D33" i="6"/>
  <c r="P34" i="6"/>
  <c r="A34" i="6"/>
  <c r="B34" i="6"/>
  <c r="G34" i="6"/>
  <c r="H34" i="6"/>
  <c r="J34" i="6"/>
  <c r="L34" i="6"/>
  <c r="K34" i="6"/>
  <c r="I34" i="6"/>
  <c r="C34" i="6"/>
  <c r="D34" i="6"/>
  <c r="P35" i="6"/>
  <c r="A35" i="6"/>
  <c r="B35" i="6"/>
  <c r="H35" i="6"/>
  <c r="G35" i="6"/>
  <c r="L35" i="6"/>
  <c r="K35" i="6"/>
  <c r="I35" i="6"/>
  <c r="J35" i="6"/>
  <c r="C35" i="6"/>
  <c r="D35" i="6"/>
  <c r="P36" i="6"/>
  <c r="A36" i="6"/>
  <c r="B36" i="6"/>
  <c r="H36" i="6"/>
  <c r="G36" i="6"/>
  <c r="I36" i="6"/>
  <c r="L36" i="6"/>
  <c r="K36" i="6"/>
  <c r="J36" i="6"/>
  <c r="C36" i="6"/>
  <c r="D36" i="6"/>
  <c r="P37" i="6"/>
  <c r="A37" i="6"/>
  <c r="B37" i="6"/>
  <c r="H37" i="6"/>
  <c r="G37" i="6"/>
  <c r="L37" i="6"/>
  <c r="K37" i="6"/>
  <c r="I37" i="6"/>
  <c r="J37" i="6"/>
  <c r="C37" i="6"/>
  <c r="D37" i="6"/>
  <c r="P38" i="6"/>
  <c r="A38" i="6"/>
  <c r="B38" i="6"/>
  <c r="H38" i="6"/>
  <c r="G38" i="6"/>
  <c r="I38" i="6"/>
  <c r="J38" i="6"/>
  <c r="L38" i="6"/>
  <c r="K38" i="6"/>
  <c r="C38" i="6"/>
  <c r="D38" i="6"/>
  <c r="P39" i="6"/>
  <c r="A39" i="6"/>
  <c r="B39" i="6"/>
  <c r="H39" i="6"/>
  <c r="G39" i="6"/>
  <c r="I39" i="6"/>
  <c r="L39" i="6"/>
  <c r="K39" i="6"/>
  <c r="J39" i="6"/>
  <c r="C39" i="6"/>
  <c r="D39" i="6"/>
  <c r="P40" i="6"/>
  <c r="A40" i="6"/>
  <c r="B40" i="6"/>
  <c r="H40" i="6"/>
  <c r="G40" i="6"/>
  <c r="I40" i="6"/>
  <c r="J40" i="6"/>
  <c r="L40" i="6"/>
  <c r="K40" i="6"/>
  <c r="C40" i="6"/>
  <c r="D40" i="6"/>
  <c r="P41" i="6"/>
  <c r="A41" i="6"/>
  <c r="B41" i="6"/>
  <c r="H41" i="6"/>
  <c r="G41" i="6"/>
  <c r="I41" i="6"/>
  <c r="J41" i="6"/>
  <c r="L41" i="6"/>
  <c r="K41" i="6"/>
  <c r="C41" i="6"/>
  <c r="D41" i="6"/>
  <c r="P42" i="6"/>
  <c r="A42" i="6"/>
  <c r="B42" i="6"/>
  <c r="H42" i="6"/>
  <c r="G42" i="6"/>
  <c r="I42" i="6"/>
  <c r="L42" i="6"/>
  <c r="K42" i="6"/>
  <c r="J42" i="6"/>
  <c r="C42" i="6"/>
  <c r="D42" i="6"/>
  <c r="P43" i="6"/>
  <c r="A43" i="6"/>
  <c r="B43" i="6"/>
  <c r="H43" i="6"/>
  <c r="G43" i="6"/>
  <c r="I43" i="6"/>
  <c r="J43" i="6"/>
  <c r="L43" i="6"/>
  <c r="K43" i="6"/>
  <c r="C43" i="6"/>
  <c r="D43" i="6"/>
  <c r="P44" i="6"/>
  <c r="A44" i="6"/>
  <c r="B44" i="6"/>
  <c r="H44" i="6"/>
  <c r="G44" i="6"/>
  <c r="L44" i="6"/>
  <c r="K44" i="6"/>
  <c r="I44" i="6"/>
  <c r="J44" i="6"/>
  <c r="C44" i="6"/>
  <c r="D44" i="6"/>
  <c r="P45" i="6"/>
  <c r="A45" i="6"/>
  <c r="B45" i="6"/>
  <c r="H45" i="6"/>
  <c r="G45" i="6"/>
  <c r="I45" i="6"/>
  <c r="J45" i="6"/>
  <c r="L45" i="6"/>
  <c r="K45" i="6"/>
  <c r="C45" i="6"/>
  <c r="D45" i="6"/>
  <c r="P46" i="6"/>
  <c r="A46" i="6"/>
  <c r="B46" i="6"/>
  <c r="G46" i="6"/>
  <c r="H46" i="6"/>
  <c r="L46" i="6"/>
  <c r="K46" i="6"/>
  <c r="J46" i="6"/>
  <c r="I46" i="6"/>
  <c r="C46" i="6"/>
  <c r="D46" i="6"/>
  <c r="P47" i="6"/>
  <c r="A47" i="6"/>
  <c r="B47" i="6"/>
  <c r="H47" i="6"/>
  <c r="G47" i="6"/>
  <c r="I47" i="6"/>
  <c r="L47" i="6"/>
  <c r="K47" i="6"/>
  <c r="J47" i="6"/>
  <c r="C47" i="6"/>
  <c r="D47" i="6"/>
  <c r="P48" i="6"/>
  <c r="A48" i="6"/>
  <c r="B48" i="6"/>
  <c r="H48" i="6"/>
  <c r="G48" i="6"/>
  <c r="I48" i="6"/>
  <c r="L48" i="6"/>
  <c r="K48" i="6"/>
  <c r="J48" i="6"/>
  <c r="C48" i="6"/>
  <c r="D48" i="6"/>
  <c r="P49" i="6"/>
  <c r="A49" i="6"/>
  <c r="B49" i="6"/>
  <c r="H49" i="6"/>
  <c r="G49" i="6"/>
  <c r="I49" i="6"/>
  <c r="J49" i="6"/>
  <c r="L49" i="6"/>
  <c r="K49" i="6"/>
  <c r="C49" i="6"/>
  <c r="D49" i="6"/>
  <c r="P50" i="6"/>
  <c r="A50" i="6"/>
  <c r="B50" i="6"/>
  <c r="H50" i="6"/>
  <c r="G50" i="6"/>
  <c r="I50" i="6"/>
  <c r="J50" i="6"/>
  <c r="L50" i="6"/>
  <c r="K50" i="6"/>
  <c r="C50" i="6"/>
  <c r="D50" i="6"/>
  <c r="P51" i="6"/>
  <c r="A51" i="6"/>
  <c r="B51" i="6"/>
  <c r="H51" i="6"/>
  <c r="G51" i="6"/>
  <c r="I51" i="6"/>
  <c r="J51" i="6"/>
  <c r="L51" i="6"/>
  <c r="K51" i="6"/>
  <c r="C51" i="6"/>
  <c r="D51" i="6"/>
  <c r="P52" i="6"/>
  <c r="A52" i="6"/>
  <c r="B52" i="6"/>
  <c r="H52" i="6"/>
  <c r="G52" i="6"/>
  <c r="I52" i="6"/>
  <c r="J52" i="6"/>
  <c r="L52" i="6"/>
  <c r="K52" i="6"/>
  <c r="C52" i="6"/>
  <c r="D52" i="6"/>
  <c r="P53" i="6"/>
  <c r="A53" i="6"/>
  <c r="B53" i="6"/>
  <c r="H53" i="6"/>
  <c r="G53" i="6"/>
  <c r="I53" i="6"/>
  <c r="J53" i="6"/>
  <c r="L53" i="6"/>
  <c r="K53" i="6"/>
  <c r="C53" i="6"/>
  <c r="D53" i="6"/>
  <c r="P54" i="6"/>
  <c r="A54" i="6"/>
  <c r="B54" i="6"/>
  <c r="H54" i="6"/>
  <c r="G54" i="6"/>
  <c r="I54" i="6"/>
  <c r="L54" i="6"/>
  <c r="K54" i="6"/>
  <c r="J54" i="6"/>
  <c r="C54" i="6"/>
  <c r="D54" i="6"/>
  <c r="P55" i="6"/>
  <c r="A55" i="6"/>
  <c r="B55" i="6"/>
  <c r="H55" i="6"/>
  <c r="G55" i="6"/>
  <c r="I55" i="6"/>
  <c r="J55" i="6"/>
  <c r="L55" i="6"/>
  <c r="K55" i="6"/>
  <c r="C55" i="6"/>
  <c r="D55" i="6"/>
  <c r="P56" i="6"/>
  <c r="A56" i="6"/>
  <c r="B56" i="6"/>
  <c r="H56" i="6"/>
  <c r="G56" i="6"/>
  <c r="J56" i="6"/>
  <c r="I56" i="6"/>
  <c r="L56" i="6"/>
  <c r="K56" i="6"/>
  <c r="C56" i="6"/>
  <c r="D56" i="6"/>
  <c r="P57" i="6"/>
  <c r="A57" i="6"/>
  <c r="B57" i="6"/>
  <c r="H57" i="6"/>
  <c r="G57" i="6"/>
  <c r="I57" i="6"/>
  <c r="L57" i="6"/>
  <c r="K57" i="6"/>
  <c r="J57" i="6"/>
  <c r="C57" i="6"/>
  <c r="D57" i="6"/>
  <c r="P58" i="6"/>
  <c r="A58" i="6"/>
  <c r="B58" i="6"/>
  <c r="G58" i="6"/>
  <c r="H58" i="6"/>
  <c r="J58" i="6"/>
  <c r="L58" i="6"/>
  <c r="K58" i="6"/>
  <c r="I58" i="6"/>
  <c r="C58" i="6"/>
  <c r="D58" i="6"/>
  <c r="P59" i="6"/>
  <c r="A59" i="6"/>
  <c r="B59" i="6"/>
  <c r="H59" i="6"/>
  <c r="G59" i="6"/>
  <c r="I59" i="6"/>
  <c r="J59" i="6"/>
  <c r="L59" i="6"/>
  <c r="K59" i="6"/>
  <c r="C59" i="6"/>
  <c r="D59" i="6"/>
  <c r="P60" i="6"/>
  <c r="A60" i="6"/>
  <c r="B60" i="6"/>
  <c r="H60" i="6"/>
  <c r="G60" i="6"/>
  <c r="I60" i="6"/>
  <c r="J60" i="6"/>
  <c r="L60" i="6"/>
  <c r="K60" i="6"/>
  <c r="C60" i="6"/>
  <c r="D60" i="6"/>
  <c r="P61" i="6"/>
  <c r="A61" i="6"/>
  <c r="B61" i="6"/>
  <c r="H61" i="6"/>
  <c r="G61" i="6"/>
  <c r="I61" i="6"/>
  <c r="L61" i="6"/>
  <c r="K61" i="6"/>
  <c r="J61" i="6"/>
  <c r="C61" i="6"/>
  <c r="D61" i="6"/>
  <c r="P62" i="6"/>
  <c r="A62" i="6"/>
  <c r="B62" i="6"/>
  <c r="H62" i="6"/>
  <c r="G62" i="6"/>
  <c r="L62" i="6"/>
  <c r="K62" i="6"/>
  <c r="I62" i="6"/>
  <c r="J62" i="6"/>
  <c r="C62" i="6"/>
  <c r="D62" i="6"/>
  <c r="P63" i="6"/>
  <c r="A63" i="6"/>
  <c r="B63" i="6"/>
  <c r="G63" i="6"/>
  <c r="H63" i="6"/>
  <c r="J63" i="6"/>
  <c r="L63" i="6"/>
  <c r="K63" i="6"/>
  <c r="I63" i="6"/>
  <c r="C63" i="6"/>
  <c r="D63" i="6"/>
  <c r="P64" i="6"/>
  <c r="A64" i="6"/>
  <c r="B64" i="6"/>
  <c r="H64" i="6"/>
  <c r="G64" i="6"/>
  <c r="I64" i="6"/>
  <c r="L64" i="6"/>
  <c r="K64" i="6"/>
  <c r="J64" i="6"/>
  <c r="C64" i="6"/>
  <c r="D64" i="6"/>
  <c r="P65" i="6"/>
  <c r="A65" i="6"/>
  <c r="B65" i="6"/>
  <c r="H65" i="6"/>
  <c r="G65" i="6"/>
  <c r="I65" i="6"/>
  <c r="L65" i="6"/>
  <c r="K65" i="6"/>
  <c r="J65" i="6"/>
  <c r="C65" i="6"/>
  <c r="D65" i="6"/>
  <c r="P66" i="6"/>
  <c r="A66" i="6"/>
  <c r="B66" i="6"/>
  <c r="H66" i="6"/>
  <c r="G66" i="6"/>
  <c r="I66" i="6"/>
  <c r="L66" i="6"/>
  <c r="K66" i="6"/>
  <c r="J66" i="6"/>
  <c r="C66" i="6"/>
  <c r="D66" i="6"/>
  <c r="P67" i="6"/>
  <c r="A67" i="6"/>
  <c r="B67" i="6"/>
  <c r="H67" i="6"/>
  <c r="G67" i="6"/>
  <c r="I67" i="6"/>
  <c r="J67" i="6"/>
  <c r="L67" i="6"/>
  <c r="K67" i="6"/>
  <c r="C67" i="6"/>
  <c r="D67" i="6"/>
  <c r="P68" i="6"/>
  <c r="A68" i="6"/>
  <c r="B68" i="6"/>
  <c r="H68" i="6"/>
  <c r="G68" i="6"/>
  <c r="L68" i="6"/>
  <c r="K68" i="6"/>
  <c r="I68" i="6"/>
  <c r="J68" i="6"/>
  <c r="C68" i="6"/>
  <c r="D68" i="6"/>
  <c r="P69" i="6"/>
  <c r="A69" i="6"/>
  <c r="B69" i="6"/>
  <c r="H69" i="6"/>
  <c r="G69" i="6"/>
  <c r="I69" i="6"/>
  <c r="L69" i="6"/>
  <c r="K69" i="6"/>
  <c r="J69" i="6"/>
  <c r="C69" i="6"/>
  <c r="D69" i="6"/>
  <c r="P70" i="6"/>
  <c r="A70" i="6"/>
  <c r="B70" i="6"/>
  <c r="H70" i="6"/>
  <c r="G70" i="6"/>
  <c r="I70" i="6"/>
  <c r="L70" i="6"/>
  <c r="K70" i="6"/>
  <c r="J70" i="6"/>
  <c r="C70" i="6"/>
  <c r="D70" i="6"/>
  <c r="P71" i="6"/>
  <c r="A71" i="6"/>
  <c r="B71" i="6"/>
  <c r="H71" i="6"/>
  <c r="G71" i="6"/>
  <c r="I71" i="6"/>
  <c r="J71" i="6"/>
  <c r="L71" i="6"/>
  <c r="K71" i="6"/>
  <c r="C71" i="6"/>
  <c r="D71" i="6"/>
  <c r="P72" i="6"/>
  <c r="A72" i="6"/>
  <c r="B72" i="6"/>
  <c r="H72" i="6"/>
  <c r="G72" i="6"/>
  <c r="I72" i="6"/>
  <c r="J72" i="6"/>
  <c r="L72" i="6"/>
  <c r="K72" i="6"/>
  <c r="C72" i="6"/>
  <c r="D72" i="6"/>
  <c r="P73" i="6"/>
  <c r="A73" i="6"/>
  <c r="B73" i="6"/>
  <c r="H73" i="6"/>
  <c r="G73" i="6"/>
  <c r="I73" i="6"/>
  <c r="J73" i="6"/>
  <c r="L73" i="6"/>
  <c r="K73" i="6"/>
  <c r="N73" i="6"/>
  <c r="O73" i="6"/>
  <c r="C73" i="6"/>
  <c r="D73" i="6"/>
  <c r="P74" i="6"/>
  <c r="A74" i="6"/>
  <c r="B74" i="6"/>
  <c r="H74" i="6"/>
  <c r="G74" i="6"/>
  <c r="L74" i="6"/>
  <c r="K74" i="6"/>
  <c r="N74" i="6"/>
  <c r="O74" i="6"/>
  <c r="I74" i="6"/>
  <c r="J74" i="6"/>
  <c r="C74" i="6"/>
  <c r="D74" i="6"/>
  <c r="P75" i="6"/>
  <c r="A75" i="6"/>
  <c r="B75" i="6"/>
  <c r="H75" i="6"/>
  <c r="G75" i="6"/>
  <c r="I75" i="6"/>
  <c r="J75" i="6"/>
  <c r="L75" i="6"/>
  <c r="K75" i="6"/>
  <c r="N75" i="6"/>
  <c r="O75" i="6"/>
  <c r="C75" i="6"/>
  <c r="D75" i="6"/>
  <c r="P76" i="6"/>
  <c r="A76" i="6"/>
  <c r="B76" i="6"/>
  <c r="H76" i="6"/>
  <c r="G76" i="6"/>
  <c r="L76" i="6"/>
  <c r="K76" i="6"/>
  <c r="O76" i="6"/>
  <c r="N76" i="6"/>
  <c r="I76" i="6"/>
  <c r="J76" i="6"/>
  <c r="C76" i="6"/>
  <c r="D76" i="6"/>
  <c r="P77" i="6"/>
  <c r="A77" i="6"/>
  <c r="B77" i="6"/>
  <c r="H77" i="6"/>
  <c r="G77" i="6"/>
  <c r="I77" i="6"/>
  <c r="L77" i="6"/>
  <c r="K77" i="6"/>
  <c r="O77" i="6"/>
  <c r="N77" i="6"/>
  <c r="J77" i="6"/>
  <c r="C77" i="6"/>
  <c r="D77" i="6"/>
  <c r="P78" i="6"/>
  <c r="A78" i="6"/>
  <c r="B78" i="6"/>
  <c r="G78" i="6"/>
  <c r="H78" i="6"/>
  <c r="J78" i="6"/>
  <c r="I78" i="6"/>
  <c r="L78" i="6"/>
  <c r="K78" i="6"/>
  <c r="O78" i="6"/>
  <c r="N78" i="6"/>
  <c r="C78" i="6"/>
  <c r="D78" i="6"/>
  <c r="P79" i="6"/>
  <c r="A79" i="6"/>
  <c r="B79" i="6"/>
  <c r="H79" i="6"/>
  <c r="G79" i="6"/>
  <c r="I79" i="6"/>
  <c r="J79" i="6"/>
  <c r="L79" i="6"/>
  <c r="K79" i="6"/>
  <c r="O79" i="6"/>
  <c r="N79" i="6"/>
  <c r="C79" i="6"/>
  <c r="D79" i="6"/>
  <c r="P80" i="6"/>
  <c r="A80" i="6"/>
  <c r="B80" i="6"/>
  <c r="H80" i="6"/>
  <c r="G80" i="6"/>
  <c r="I80" i="6"/>
  <c r="L80" i="6"/>
  <c r="K80" i="6"/>
  <c r="O80" i="6"/>
  <c r="N80" i="6"/>
  <c r="J80" i="6"/>
  <c r="C80" i="6"/>
  <c r="D80" i="6"/>
  <c r="P81" i="6"/>
  <c r="A81" i="6"/>
  <c r="B81" i="6"/>
  <c r="H81" i="6"/>
  <c r="G81" i="6"/>
  <c r="I81" i="6"/>
  <c r="J81" i="6"/>
  <c r="L81" i="6"/>
  <c r="K81" i="6"/>
  <c r="O81" i="6"/>
  <c r="N81" i="6"/>
  <c r="C81" i="6"/>
  <c r="D81" i="6"/>
  <c r="P82" i="6"/>
  <c r="A82" i="6"/>
  <c r="B82" i="6"/>
  <c r="H82" i="6"/>
  <c r="G82" i="6"/>
  <c r="I82" i="6"/>
  <c r="J82" i="6"/>
  <c r="L82" i="6"/>
  <c r="K82" i="6"/>
  <c r="N82" i="6"/>
  <c r="O82" i="6"/>
  <c r="C82" i="6"/>
  <c r="D82" i="6"/>
  <c r="P83" i="6"/>
  <c r="A83" i="6"/>
  <c r="B83" i="6"/>
  <c r="H83" i="6"/>
  <c r="G83" i="6"/>
  <c r="I83" i="6"/>
  <c r="J83" i="6"/>
  <c r="L83" i="6"/>
  <c r="K83" i="6"/>
  <c r="O83" i="6"/>
  <c r="N83" i="6"/>
  <c r="C83" i="6"/>
  <c r="D83" i="6"/>
  <c r="P84" i="6"/>
  <c r="A84" i="6"/>
  <c r="B84" i="6"/>
  <c r="H84" i="6"/>
  <c r="G84" i="6"/>
  <c r="L84" i="6"/>
  <c r="K84" i="6"/>
  <c r="N84" i="6"/>
  <c r="O84" i="6"/>
  <c r="I84" i="6"/>
  <c r="J84" i="6"/>
  <c r="C84" i="6"/>
  <c r="D84" i="6"/>
  <c r="P85" i="6"/>
  <c r="A85" i="6"/>
  <c r="H85" i="6"/>
  <c r="G85" i="6"/>
  <c r="B85" i="6"/>
  <c r="I85" i="6"/>
  <c r="J85" i="6"/>
  <c r="L85" i="6"/>
  <c r="K85" i="6"/>
  <c r="N85" i="6"/>
  <c r="O85" i="6"/>
  <c r="C85" i="6"/>
  <c r="D85" i="6"/>
  <c r="P86" i="6"/>
  <c r="A86" i="6"/>
  <c r="B86" i="6"/>
  <c r="H86" i="6"/>
  <c r="G86" i="6"/>
  <c r="I86" i="6"/>
  <c r="L86" i="6"/>
  <c r="K86" i="6"/>
  <c r="O86" i="6"/>
  <c r="N86" i="6"/>
  <c r="J86" i="6"/>
  <c r="C86" i="6"/>
  <c r="D86" i="6"/>
  <c r="P87" i="6"/>
  <c r="A87" i="6"/>
  <c r="B87" i="6"/>
  <c r="G87" i="6"/>
  <c r="H87" i="6"/>
  <c r="J87" i="6"/>
  <c r="I87" i="6"/>
  <c r="L87" i="6"/>
  <c r="K87" i="6"/>
  <c r="N87" i="6"/>
  <c r="O87" i="6"/>
  <c r="C87" i="6"/>
  <c r="D87" i="6"/>
  <c r="P88" i="6"/>
  <c r="A88" i="6"/>
  <c r="B88" i="6"/>
  <c r="H88" i="6"/>
  <c r="G88" i="6"/>
  <c r="J88" i="6"/>
  <c r="L88" i="6"/>
  <c r="K88" i="6"/>
  <c r="O88" i="6"/>
  <c r="N88" i="6"/>
  <c r="I88" i="6"/>
  <c r="C88" i="6"/>
  <c r="D88" i="6"/>
  <c r="P89" i="6"/>
  <c r="A89" i="6"/>
  <c r="B89" i="6"/>
  <c r="H89" i="6"/>
  <c r="G89" i="6"/>
  <c r="L89" i="6"/>
  <c r="K89" i="6"/>
  <c r="O89" i="6"/>
  <c r="N89" i="6"/>
  <c r="I89" i="6"/>
  <c r="J89" i="6"/>
  <c r="C89" i="6"/>
  <c r="D89" i="6"/>
  <c r="P90" i="6"/>
  <c r="A90" i="6"/>
  <c r="B90" i="6"/>
  <c r="G90" i="6"/>
  <c r="H90" i="6"/>
  <c r="L90" i="6"/>
  <c r="K90" i="6"/>
  <c r="N90" i="6"/>
  <c r="O90" i="6"/>
  <c r="J90" i="6"/>
  <c r="I90" i="6"/>
  <c r="C90" i="6"/>
  <c r="D90" i="6"/>
  <c r="P91" i="6"/>
  <c r="A91" i="6"/>
  <c r="B91" i="6"/>
  <c r="H91" i="6"/>
  <c r="G91" i="6"/>
  <c r="L91" i="6"/>
  <c r="K91" i="6"/>
  <c r="N91" i="6"/>
  <c r="O91" i="6"/>
  <c r="I91" i="6"/>
  <c r="J91" i="6"/>
  <c r="C91" i="6"/>
  <c r="D91" i="6"/>
  <c r="P92" i="6"/>
  <c r="A92" i="6"/>
  <c r="B92" i="6"/>
  <c r="G92" i="6"/>
  <c r="H92" i="6"/>
  <c r="L92" i="6"/>
  <c r="K92" i="6"/>
  <c r="O92" i="6"/>
  <c r="N92" i="6"/>
  <c r="J92" i="6"/>
  <c r="I92" i="6"/>
  <c r="C92" i="6"/>
  <c r="D92" i="6"/>
  <c r="P93" i="6"/>
  <c r="A93" i="6"/>
  <c r="B93" i="6"/>
  <c r="H93" i="6"/>
  <c r="G93" i="6"/>
  <c r="I93" i="6"/>
  <c r="L93" i="6"/>
  <c r="K93" i="6"/>
  <c r="N93" i="6"/>
  <c r="O93" i="6"/>
  <c r="J93" i="6"/>
  <c r="C93" i="6"/>
  <c r="D93" i="6"/>
  <c r="P94" i="6"/>
  <c r="A94" i="6"/>
  <c r="B94" i="6"/>
  <c r="H94" i="6"/>
  <c r="G94" i="6"/>
  <c r="I94" i="6"/>
  <c r="J94" i="6"/>
  <c r="L94" i="6"/>
  <c r="K94" i="6"/>
  <c r="O94" i="6"/>
  <c r="N94" i="6"/>
  <c r="C94" i="6"/>
  <c r="D94" i="6"/>
  <c r="P95" i="6"/>
  <c r="A95" i="6"/>
  <c r="B95" i="6"/>
  <c r="H95" i="6"/>
  <c r="G95" i="6"/>
  <c r="L95" i="6"/>
  <c r="K95" i="6"/>
  <c r="O95" i="6"/>
  <c r="N95" i="6"/>
  <c r="I95" i="6"/>
  <c r="J95" i="6"/>
  <c r="C95" i="6"/>
  <c r="D95" i="6"/>
  <c r="P96" i="6"/>
  <c r="A96" i="6"/>
  <c r="B96" i="6"/>
  <c r="H96" i="6"/>
  <c r="G96" i="6"/>
  <c r="I96" i="6"/>
  <c r="J96" i="6"/>
  <c r="L96" i="6"/>
  <c r="K96" i="6"/>
  <c r="O96" i="6"/>
  <c r="N96" i="6"/>
  <c r="C96" i="6"/>
  <c r="D96" i="6"/>
  <c r="P97" i="6"/>
  <c r="A97" i="6"/>
  <c r="B97" i="6"/>
  <c r="H97" i="6"/>
  <c r="G97" i="6"/>
  <c r="L97" i="6"/>
  <c r="K97" i="6"/>
  <c r="O97" i="6"/>
  <c r="N97" i="6"/>
  <c r="I97" i="6"/>
  <c r="J97" i="6"/>
  <c r="C97" i="6"/>
  <c r="D97" i="6"/>
  <c r="P98" i="6"/>
  <c r="A98" i="6"/>
  <c r="B98" i="6"/>
  <c r="H98" i="6"/>
  <c r="G98" i="6"/>
  <c r="I98" i="6"/>
  <c r="J98" i="6"/>
  <c r="L98" i="6"/>
  <c r="K98" i="6"/>
  <c r="O98" i="6"/>
  <c r="N98" i="6"/>
  <c r="C98" i="6"/>
  <c r="D98" i="6"/>
  <c r="P99" i="6"/>
  <c r="A99" i="6"/>
  <c r="B99" i="6"/>
  <c r="H99" i="6"/>
  <c r="G99" i="6"/>
  <c r="I99" i="6"/>
  <c r="J99" i="6"/>
  <c r="L99" i="6"/>
  <c r="K99" i="6"/>
  <c r="N99" i="6"/>
  <c r="O99" i="6"/>
  <c r="C99" i="6"/>
  <c r="D99" i="6"/>
  <c r="P100" i="6"/>
  <c r="A100" i="6"/>
  <c r="B100" i="6"/>
  <c r="H100" i="6"/>
  <c r="G100" i="6"/>
  <c r="I100" i="6"/>
  <c r="J100" i="6"/>
  <c r="L100" i="6"/>
  <c r="K100" i="6"/>
  <c r="N100" i="6"/>
  <c r="O100" i="6"/>
  <c r="C100" i="6"/>
  <c r="D100" i="6"/>
  <c r="P101" i="6"/>
  <c r="A101" i="6"/>
  <c r="B101" i="6"/>
  <c r="H101" i="6"/>
  <c r="G101" i="6"/>
  <c r="I101" i="6"/>
  <c r="J101" i="6"/>
  <c r="L101" i="6"/>
  <c r="K101" i="6"/>
  <c r="O101" i="6"/>
  <c r="N101" i="6"/>
  <c r="C101" i="6"/>
  <c r="D101" i="6"/>
  <c r="P102" i="6"/>
  <c r="A102" i="6"/>
  <c r="B102" i="6"/>
  <c r="G102" i="6"/>
  <c r="H102" i="6"/>
  <c r="J102" i="6"/>
  <c r="I102" i="6"/>
  <c r="L102" i="6"/>
  <c r="K102" i="6"/>
  <c r="O102" i="6"/>
  <c r="N102" i="6"/>
  <c r="C102" i="6"/>
  <c r="D102" i="6"/>
  <c r="P103" i="6"/>
  <c r="A103" i="6"/>
  <c r="B103" i="6"/>
  <c r="H103" i="6"/>
  <c r="G103" i="6"/>
  <c r="I103" i="6"/>
  <c r="J103" i="6"/>
  <c r="L103" i="6"/>
  <c r="K103" i="6"/>
  <c r="O103" i="6"/>
  <c r="N103" i="6"/>
  <c r="C103" i="6"/>
  <c r="D103" i="6"/>
  <c r="P104" i="6"/>
  <c r="A104" i="6"/>
  <c r="B104" i="6"/>
  <c r="H104" i="6"/>
  <c r="G104" i="6"/>
  <c r="J104" i="6"/>
  <c r="I104" i="6"/>
  <c r="L104" i="6"/>
  <c r="K104" i="6"/>
  <c r="O104" i="6"/>
  <c r="N104" i="6"/>
  <c r="C104" i="6"/>
  <c r="D104" i="6"/>
  <c r="P105" i="6"/>
  <c r="A105" i="6"/>
  <c r="B105" i="6"/>
  <c r="H105" i="6"/>
  <c r="G105" i="6"/>
  <c r="I105" i="6"/>
  <c r="J105" i="6"/>
  <c r="L105" i="6"/>
  <c r="K105" i="6"/>
  <c r="O105" i="6"/>
  <c r="N105" i="6"/>
  <c r="C105" i="6"/>
  <c r="D105" i="6"/>
  <c r="P106" i="6"/>
  <c r="A106" i="6"/>
  <c r="B106" i="6"/>
  <c r="H106" i="6"/>
  <c r="G106" i="6"/>
  <c r="I106" i="6"/>
  <c r="L106" i="6"/>
  <c r="K106" i="6"/>
  <c r="O106" i="6"/>
  <c r="N106" i="6"/>
  <c r="J106" i="6"/>
  <c r="C106" i="6"/>
  <c r="D106" i="6"/>
  <c r="P107" i="6"/>
  <c r="A107" i="6"/>
  <c r="B107" i="6"/>
  <c r="H107" i="6"/>
  <c r="G107" i="6"/>
  <c r="L107" i="6"/>
  <c r="K107" i="6"/>
  <c r="N107" i="6"/>
  <c r="O107" i="6"/>
  <c r="I107" i="6"/>
  <c r="J107" i="6"/>
  <c r="C107" i="6"/>
  <c r="D107" i="6"/>
  <c r="P108" i="6"/>
  <c r="A108" i="6"/>
  <c r="B108" i="6"/>
  <c r="H108" i="6"/>
  <c r="G108" i="6"/>
  <c r="I108" i="6"/>
  <c r="J108" i="6"/>
  <c r="L108" i="6"/>
  <c r="K108" i="6"/>
  <c r="N108" i="6"/>
  <c r="O108" i="6"/>
  <c r="C108" i="6"/>
  <c r="D108" i="6"/>
  <c r="P109" i="6"/>
  <c r="A109" i="6"/>
  <c r="B109" i="6"/>
  <c r="H109" i="6"/>
  <c r="G109" i="6"/>
  <c r="L109" i="6"/>
  <c r="K109" i="6"/>
  <c r="O109" i="6"/>
  <c r="N109" i="6"/>
  <c r="I109" i="6"/>
  <c r="J109" i="6"/>
  <c r="C109" i="6"/>
  <c r="D109" i="6"/>
  <c r="P110" i="6"/>
  <c r="A110" i="6"/>
  <c r="B110" i="6"/>
  <c r="H110" i="6"/>
  <c r="G110" i="6"/>
  <c r="I110" i="6"/>
  <c r="J110" i="6"/>
  <c r="L110" i="6"/>
  <c r="K110" i="6"/>
  <c r="O110" i="6"/>
  <c r="N110" i="6"/>
  <c r="C110" i="6"/>
  <c r="D110" i="6"/>
  <c r="P111" i="6"/>
  <c r="A111" i="6"/>
  <c r="B111" i="6"/>
  <c r="H111" i="6"/>
  <c r="G111" i="6"/>
  <c r="L111" i="6"/>
  <c r="K111" i="6"/>
  <c r="N111" i="6"/>
  <c r="O111" i="6"/>
  <c r="I111" i="6"/>
  <c r="J111" i="6"/>
  <c r="C111" i="6"/>
  <c r="D111" i="6"/>
  <c r="P112" i="6"/>
  <c r="A112" i="6"/>
  <c r="B112" i="6"/>
  <c r="G112" i="6"/>
  <c r="H112" i="6"/>
  <c r="J112" i="6"/>
  <c r="I112" i="6"/>
  <c r="L112" i="6"/>
  <c r="K112" i="6"/>
  <c r="N112" i="6"/>
  <c r="O112" i="6"/>
  <c r="C112" i="6"/>
  <c r="D112" i="6"/>
  <c r="P113" i="6"/>
  <c r="A113" i="6"/>
  <c r="B113" i="6"/>
  <c r="H113" i="6"/>
  <c r="G113" i="6"/>
  <c r="I113" i="6"/>
  <c r="J113" i="6"/>
  <c r="L113" i="6"/>
  <c r="K113" i="6"/>
  <c r="N113" i="6"/>
  <c r="O113" i="6"/>
  <c r="C113" i="6"/>
  <c r="D113" i="6"/>
  <c r="P114" i="6"/>
  <c r="A114" i="6"/>
  <c r="B114" i="6"/>
  <c r="H114" i="6"/>
  <c r="G114" i="6"/>
  <c r="I114" i="6"/>
  <c r="L114" i="6"/>
  <c r="K114" i="6"/>
  <c r="N114" i="6"/>
  <c r="O114" i="6"/>
  <c r="J114" i="6"/>
  <c r="C114" i="6"/>
  <c r="D114" i="6"/>
  <c r="P115" i="6"/>
  <c r="A115" i="6"/>
  <c r="B115" i="6"/>
  <c r="H115" i="6"/>
  <c r="G115" i="6"/>
  <c r="I115" i="6"/>
  <c r="L115" i="6"/>
  <c r="K115" i="6"/>
  <c r="O115" i="6"/>
  <c r="N115" i="6"/>
  <c r="J115" i="6"/>
  <c r="C115" i="6"/>
  <c r="D115" i="6"/>
  <c r="P116" i="6"/>
  <c r="A116" i="6"/>
  <c r="B116" i="6"/>
  <c r="H116" i="6"/>
  <c r="G116" i="6"/>
  <c r="I116" i="6"/>
  <c r="L116" i="6"/>
  <c r="K116" i="6"/>
  <c r="N116" i="6"/>
  <c r="O116" i="6"/>
  <c r="J116" i="6"/>
  <c r="C116" i="6"/>
  <c r="D116" i="6"/>
  <c r="P117" i="6"/>
  <c r="A117" i="6"/>
  <c r="B117" i="6"/>
  <c r="H117" i="6"/>
  <c r="G117" i="6"/>
  <c r="I117" i="6"/>
  <c r="J117" i="6"/>
  <c r="L117" i="6"/>
  <c r="K117" i="6"/>
  <c r="N117" i="6"/>
  <c r="O117" i="6"/>
  <c r="C117" i="6"/>
  <c r="D117" i="6"/>
  <c r="P118" i="6"/>
  <c r="A118" i="6"/>
  <c r="B118" i="6"/>
  <c r="H118" i="6"/>
  <c r="G118" i="6"/>
  <c r="I118" i="6"/>
  <c r="L118" i="6"/>
  <c r="K118" i="6"/>
  <c r="N118" i="6"/>
  <c r="O118" i="6"/>
  <c r="J118" i="6"/>
  <c r="C118" i="6"/>
  <c r="D118" i="6"/>
  <c r="P119" i="6"/>
  <c r="A119" i="6"/>
  <c r="B119" i="6"/>
  <c r="H119" i="6"/>
  <c r="G119" i="6"/>
  <c r="L119" i="6"/>
  <c r="K119" i="6"/>
  <c r="N119" i="6"/>
  <c r="O119" i="6"/>
  <c r="I119" i="6"/>
  <c r="J119" i="6"/>
  <c r="C119" i="6"/>
  <c r="D119" i="6"/>
  <c r="P120" i="6"/>
  <c r="A120" i="6"/>
  <c r="B120" i="6"/>
  <c r="H120" i="6"/>
  <c r="G120" i="6"/>
  <c r="L120" i="6"/>
  <c r="K120" i="6"/>
  <c r="N120" i="6"/>
  <c r="O120" i="6"/>
  <c r="I120" i="6"/>
  <c r="J120" i="6"/>
  <c r="C120" i="6"/>
  <c r="D120" i="6"/>
  <c r="P121" i="6"/>
  <c r="A121" i="6"/>
  <c r="B121" i="6"/>
  <c r="H121" i="6"/>
  <c r="G121" i="6"/>
  <c r="I121" i="6"/>
  <c r="L121" i="6"/>
  <c r="K121" i="6"/>
  <c r="O121" i="6"/>
  <c r="N121" i="6"/>
  <c r="J121" i="6"/>
  <c r="C121" i="6"/>
  <c r="D121" i="6"/>
  <c r="P122" i="6"/>
  <c r="A122" i="6"/>
  <c r="B122" i="6"/>
  <c r="H122" i="6"/>
  <c r="G122" i="6"/>
  <c r="L122" i="6"/>
  <c r="K122" i="6"/>
  <c r="N122" i="6"/>
  <c r="O122" i="6"/>
  <c r="I122" i="6"/>
  <c r="J122" i="6"/>
  <c r="C122" i="6"/>
  <c r="D122" i="6"/>
  <c r="P123" i="6"/>
  <c r="A123" i="6"/>
  <c r="B123" i="6"/>
  <c r="H123" i="6"/>
  <c r="G123" i="6"/>
  <c r="I123" i="6"/>
  <c r="J123" i="6"/>
  <c r="L123" i="6"/>
  <c r="K123" i="6"/>
  <c r="O123" i="6"/>
  <c r="N123" i="6"/>
  <c r="C123" i="6"/>
  <c r="D123" i="6"/>
  <c r="P124" i="6"/>
  <c r="A124" i="6"/>
  <c r="B124" i="6"/>
  <c r="H124" i="6"/>
  <c r="G124" i="6"/>
  <c r="I124" i="6"/>
  <c r="L124" i="6"/>
  <c r="K124" i="6"/>
  <c r="N124" i="6"/>
  <c r="O124" i="6"/>
  <c r="J124" i="6"/>
  <c r="C124" i="6"/>
  <c r="D124" i="6"/>
  <c r="P125" i="6"/>
  <c r="A125" i="6"/>
  <c r="B125" i="6"/>
  <c r="H125" i="6"/>
  <c r="G125" i="6"/>
  <c r="I125" i="6"/>
  <c r="J125" i="6"/>
  <c r="L125" i="6"/>
  <c r="K125" i="6"/>
  <c r="N125" i="6"/>
  <c r="O125" i="6"/>
  <c r="C125" i="6"/>
  <c r="D125" i="6"/>
  <c r="P126" i="6"/>
  <c r="A126" i="6"/>
  <c r="B126" i="6"/>
  <c r="H126" i="6"/>
  <c r="G126" i="6"/>
  <c r="I126" i="6"/>
  <c r="L126" i="6"/>
  <c r="K126" i="6"/>
  <c r="O126" i="6"/>
  <c r="N126" i="6"/>
  <c r="J126" i="6"/>
  <c r="C126" i="6"/>
  <c r="D126" i="6"/>
  <c r="P127" i="6"/>
  <c r="A127" i="6"/>
  <c r="B127" i="6"/>
  <c r="H127" i="6"/>
  <c r="G127" i="6"/>
  <c r="L127" i="6"/>
  <c r="K127" i="6"/>
  <c r="N127" i="6"/>
  <c r="O127" i="6"/>
  <c r="I127" i="6"/>
  <c r="J127" i="6"/>
  <c r="C127" i="6"/>
  <c r="D127" i="6"/>
  <c r="P128" i="6"/>
  <c r="A128" i="6"/>
  <c r="B128" i="6"/>
  <c r="H128" i="6"/>
  <c r="G128" i="6"/>
  <c r="L128" i="6"/>
  <c r="K128" i="6"/>
  <c r="O128" i="6"/>
  <c r="N128" i="6"/>
  <c r="I128" i="6"/>
  <c r="J128" i="6"/>
  <c r="C128" i="6"/>
  <c r="D128" i="6"/>
  <c r="P129" i="6"/>
  <c r="A129" i="6"/>
  <c r="B129" i="6"/>
  <c r="H129" i="6"/>
  <c r="G129" i="6"/>
  <c r="L129" i="6"/>
  <c r="K129" i="6"/>
  <c r="O129" i="6"/>
  <c r="N129" i="6"/>
  <c r="I129" i="6"/>
  <c r="J129" i="6"/>
  <c r="C129" i="6"/>
  <c r="D129" i="6"/>
  <c r="P130" i="6"/>
  <c r="A130" i="6"/>
  <c r="B130" i="6"/>
  <c r="H130" i="6"/>
  <c r="G130" i="6"/>
  <c r="I130" i="6"/>
  <c r="J130" i="6"/>
  <c r="L130" i="6"/>
  <c r="K130" i="6"/>
  <c r="O130" i="6"/>
  <c r="N130" i="6"/>
  <c r="C130" i="6"/>
  <c r="D130" i="6"/>
  <c r="P131" i="6"/>
  <c r="A131" i="6"/>
  <c r="B131" i="6"/>
  <c r="H131" i="6"/>
  <c r="G131" i="6"/>
  <c r="I131" i="6"/>
  <c r="J131" i="6"/>
  <c r="L131" i="6"/>
  <c r="K131" i="6"/>
  <c r="O131" i="6"/>
  <c r="N131" i="6"/>
  <c r="C131" i="6"/>
  <c r="D131" i="6"/>
  <c r="P132" i="6"/>
  <c r="A132" i="6"/>
  <c r="B132" i="6"/>
  <c r="H132" i="6"/>
  <c r="G132" i="6"/>
  <c r="I132" i="6"/>
  <c r="L132" i="6"/>
  <c r="K132" i="6"/>
  <c r="N132" i="6"/>
  <c r="O132" i="6"/>
  <c r="J132" i="6"/>
  <c r="C132" i="6"/>
  <c r="D132" i="6"/>
  <c r="P133" i="6"/>
  <c r="A133" i="6"/>
  <c r="B133" i="6"/>
  <c r="H133" i="6"/>
  <c r="G133" i="6"/>
  <c r="L133" i="6"/>
  <c r="K133" i="6"/>
  <c r="N133" i="6"/>
  <c r="O133" i="6"/>
  <c r="I133" i="6"/>
  <c r="J133" i="6"/>
  <c r="C133" i="6"/>
  <c r="D133" i="6"/>
  <c r="P134" i="6"/>
  <c r="A134" i="6"/>
  <c r="B134" i="6"/>
  <c r="H134" i="6"/>
  <c r="G134" i="6"/>
  <c r="I134" i="6"/>
  <c r="J134" i="6"/>
  <c r="L134" i="6"/>
  <c r="K134" i="6"/>
  <c r="O134" i="6"/>
  <c r="N134" i="6"/>
  <c r="C134" i="6"/>
  <c r="D134" i="6"/>
  <c r="P135" i="6"/>
  <c r="A135" i="6"/>
  <c r="B135" i="6"/>
  <c r="H135" i="6"/>
  <c r="G135" i="6"/>
  <c r="I135" i="6"/>
  <c r="L135" i="6"/>
  <c r="K135" i="6"/>
  <c r="O135" i="6"/>
  <c r="N135" i="6"/>
  <c r="J135" i="6"/>
  <c r="C135" i="6"/>
  <c r="D135" i="6"/>
  <c r="P136" i="6"/>
  <c r="A136" i="6"/>
  <c r="B136" i="6"/>
  <c r="H136" i="6"/>
  <c r="G136" i="6"/>
  <c r="I136" i="6"/>
  <c r="J136" i="6"/>
  <c r="L136" i="6"/>
  <c r="K136" i="6"/>
  <c r="O136" i="6"/>
  <c r="N136" i="6"/>
  <c r="C136" i="6"/>
  <c r="D136" i="6"/>
  <c r="P137" i="6"/>
  <c r="A137" i="6"/>
  <c r="B137" i="6"/>
  <c r="H137" i="6"/>
  <c r="G137" i="6"/>
  <c r="I137" i="6"/>
  <c r="J137" i="6"/>
  <c r="L137" i="6"/>
  <c r="K137" i="6"/>
  <c r="O137" i="6"/>
  <c r="N137" i="6"/>
  <c r="C137" i="6"/>
  <c r="D137" i="6"/>
  <c r="P138" i="6"/>
  <c r="A138" i="6"/>
  <c r="B138" i="6"/>
  <c r="H138" i="6"/>
  <c r="G138" i="6"/>
  <c r="I138" i="6"/>
  <c r="J138" i="6"/>
  <c r="L138" i="6"/>
  <c r="K138" i="6"/>
  <c r="N138" i="6"/>
  <c r="O138" i="6"/>
  <c r="C138" i="6"/>
  <c r="D138" i="6"/>
  <c r="P139" i="6"/>
  <c r="A139" i="6"/>
  <c r="B139" i="6"/>
  <c r="H139" i="6"/>
  <c r="G139" i="6"/>
  <c r="I139" i="6"/>
  <c r="L139" i="6"/>
  <c r="K139" i="6"/>
  <c r="N139" i="6"/>
  <c r="O139" i="6"/>
  <c r="J139" i="6"/>
  <c r="C139" i="6"/>
  <c r="D139" i="6"/>
  <c r="P140" i="6"/>
  <c r="A140" i="6"/>
  <c r="B140" i="6"/>
  <c r="H140" i="6"/>
  <c r="G140" i="6"/>
  <c r="I140" i="6"/>
  <c r="J140" i="6"/>
  <c r="L140" i="6"/>
  <c r="K140" i="6"/>
  <c r="N140" i="6"/>
  <c r="O140" i="6"/>
  <c r="C140" i="6"/>
  <c r="D140" i="6"/>
  <c r="P141" i="6"/>
  <c r="A141" i="6"/>
  <c r="B141" i="6"/>
  <c r="H141" i="6"/>
  <c r="G141" i="6"/>
  <c r="I141" i="6"/>
  <c r="J141" i="6"/>
  <c r="L141" i="6"/>
  <c r="K141" i="6"/>
  <c r="O141" i="6"/>
  <c r="N141" i="6"/>
  <c r="C141" i="6"/>
  <c r="D141" i="6"/>
  <c r="P142" i="6"/>
  <c r="A142" i="6"/>
  <c r="B142" i="6"/>
  <c r="H142" i="6"/>
  <c r="G142" i="6"/>
  <c r="I142" i="6"/>
  <c r="J142" i="6"/>
  <c r="L142" i="6"/>
  <c r="K142" i="6"/>
  <c r="O142" i="6"/>
  <c r="N142" i="6"/>
  <c r="C142" i="6"/>
  <c r="D142" i="6"/>
  <c r="P143" i="6"/>
  <c r="A143" i="6"/>
  <c r="B143" i="6"/>
  <c r="H143" i="6"/>
  <c r="G143" i="6"/>
  <c r="I143" i="6"/>
  <c r="L143" i="6"/>
  <c r="K143" i="6"/>
  <c r="N143" i="6"/>
  <c r="O143" i="6"/>
  <c r="J143" i="6"/>
  <c r="C143" i="6"/>
  <c r="D143" i="6"/>
  <c r="P144" i="6"/>
  <c r="A144" i="6"/>
  <c r="B144" i="6"/>
  <c r="H144" i="6"/>
  <c r="G144" i="6"/>
  <c r="I144" i="6"/>
  <c r="J144" i="6"/>
  <c r="L144" i="6"/>
  <c r="K144" i="6"/>
  <c r="N144" i="6"/>
  <c r="O144" i="6"/>
  <c r="C144" i="6"/>
  <c r="D144" i="6"/>
  <c r="P145" i="6"/>
  <c r="A145" i="6"/>
  <c r="B145" i="6"/>
  <c r="H145" i="6"/>
  <c r="G145" i="6"/>
  <c r="L145" i="6"/>
  <c r="K145" i="6"/>
  <c r="O145" i="6"/>
  <c r="N145" i="6"/>
  <c r="I145" i="6"/>
  <c r="J145" i="6"/>
  <c r="C145" i="6"/>
  <c r="D145" i="6"/>
  <c r="P146" i="6"/>
  <c r="A146" i="6"/>
  <c r="B146" i="6"/>
  <c r="H146" i="6"/>
  <c r="G146" i="6"/>
  <c r="I146" i="6"/>
  <c r="J146" i="6"/>
  <c r="L146" i="6"/>
  <c r="K146" i="6"/>
  <c r="N146" i="6"/>
  <c r="O146" i="6"/>
  <c r="C146" i="6"/>
  <c r="D146" i="6"/>
  <c r="P147" i="6"/>
  <c r="A147" i="6"/>
  <c r="B147" i="6"/>
  <c r="H147" i="6"/>
  <c r="G147" i="6"/>
  <c r="I147" i="6"/>
  <c r="J147" i="6"/>
  <c r="L147" i="6"/>
  <c r="K147" i="6"/>
  <c r="N147" i="6"/>
  <c r="O147" i="6"/>
  <c r="C147" i="6"/>
  <c r="D147" i="6"/>
  <c r="P148" i="6"/>
  <c r="A148" i="6"/>
  <c r="B148" i="6"/>
  <c r="H148" i="6"/>
  <c r="G148" i="6"/>
  <c r="L148" i="6"/>
  <c r="K148" i="6"/>
  <c r="N148" i="6"/>
  <c r="O148" i="6"/>
  <c r="I148" i="6"/>
  <c r="J148" i="6"/>
  <c r="C148" i="6"/>
  <c r="D148" i="6"/>
  <c r="P149" i="6"/>
  <c r="A149" i="6"/>
  <c r="B149" i="6"/>
  <c r="H149" i="6"/>
  <c r="G149" i="6"/>
  <c r="I149" i="6"/>
  <c r="O158" i="6"/>
  <c r="L149" i="6"/>
  <c r="K149" i="6"/>
  <c r="N158" i="6"/>
  <c r="O149" i="6"/>
  <c r="N149" i="6"/>
  <c r="N150" i="6"/>
  <c r="O150" i="6"/>
  <c r="N151" i="6"/>
  <c r="O151" i="6"/>
  <c r="O152" i="6"/>
  <c r="N152" i="6"/>
  <c r="O157" i="6"/>
  <c r="N155" i="6"/>
  <c r="O156" i="6"/>
  <c r="N154" i="6"/>
  <c r="N157" i="6"/>
  <c r="N153" i="6"/>
  <c r="O154" i="6"/>
  <c r="O153" i="6"/>
  <c r="N156" i="6"/>
  <c r="O155" i="6"/>
  <c r="J149" i="6"/>
  <c r="C149" i="6"/>
  <c r="D149" i="6"/>
  <c r="A150" i="6"/>
  <c r="B150" i="6"/>
  <c r="H150" i="6"/>
  <c r="G150" i="6"/>
  <c r="I150" i="6"/>
  <c r="J150" i="6"/>
  <c r="D150" i="6"/>
  <c r="C150" i="6"/>
</calcChain>
</file>

<file path=xl/comments1.xml><?xml version="1.0" encoding="utf-8"?>
<comments xmlns="http://schemas.openxmlformats.org/spreadsheetml/2006/main">
  <authors>
    <author>palyogen</author>
  </authors>
  <commentList>
    <comment ref="N18" authorId="0" shapeId="0">
      <text>
        <r>
          <rPr>
            <sz val="9"/>
            <color indexed="81"/>
            <rFont val="Tahoma"/>
            <charset val="1"/>
          </rPr>
          <t xml:space="preserve">Last Meeting at New Haven. Wimbledon Stats not available between Kvitova and Zahlavova
</t>
        </r>
      </text>
    </comment>
  </commentList>
</comments>
</file>

<file path=xl/sharedStrings.xml><?xml version="1.0" encoding="utf-8"?>
<sst xmlns="http://schemas.openxmlformats.org/spreadsheetml/2006/main" count="1665" uniqueCount="227">
  <si>
    <t>0-0</t>
  </si>
  <si>
    <t>0-15</t>
  </si>
  <si>
    <t>0-30</t>
  </si>
  <si>
    <t>0-40</t>
  </si>
  <si>
    <t>15-0</t>
  </si>
  <si>
    <t>15-30</t>
  </si>
  <si>
    <t>15-40</t>
  </si>
  <si>
    <t>30-0</t>
  </si>
  <si>
    <t>30-15</t>
  </si>
  <si>
    <t>30-30</t>
  </si>
  <si>
    <t>30-40</t>
  </si>
  <si>
    <t>40-0</t>
  </si>
  <si>
    <t>40-15</t>
  </si>
  <si>
    <t>40-30</t>
  </si>
  <si>
    <t>40-40</t>
  </si>
  <si>
    <t>40-AD</t>
  </si>
  <si>
    <t>AD-40</t>
  </si>
  <si>
    <t>15-15</t>
  </si>
  <si>
    <t>GM</t>
  </si>
  <si>
    <t>0-1</t>
  </si>
  <si>
    <t>0-2</t>
  </si>
  <si>
    <t>0-3</t>
  </si>
  <si>
    <t>0-4</t>
  </si>
  <si>
    <t>0-5</t>
  </si>
  <si>
    <t>0-6</t>
  </si>
  <si>
    <t>1-1</t>
  </si>
  <si>
    <t>1-0</t>
  </si>
  <si>
    <t>1-2</t>
  </si>
  <si>
    <t>1-3</t>
  </si>
  <si>
    <t>1-4</t>
  </si>
  <si>
    <t>1-5</t>
  </si>
  <si>
    <t>1-6</t>
  </si>
  <si>
    <t>2-0</t>
  </si>
  <si>
    <t>2-1</t>
  </si>
  <si>
    <t>2-2</t>
  </si>
  <si>
    <t>2-3</t>
  </si>
  <si>
    <t>2-4</t>
  </si>
  <si>
    <t>2-5</t>
  </si>
  <si>
    <t>2-6</t>
  </si>
  <si>
    <t>3-0</t>
  </si>
  <si>
    <t>3-1</t>
  </si>
  <si>
    <t>3-2</t>
  </si>
  <si>
    <t>3-3</t>
  </si>
  <si>
    <t>3-4</t>
  </si>
  <si>
    <t>3-5</t>
  </si>
  <si>
    <t>3-6</t>
  </si>
  <si>
    <t>4-0</t>
  </si>
  <si>
    <t>4-1</t>
  </si>
  <si>
    <t>4-2</t>
  </si>
  <si>
    <t>4-3</t>
  </si>
  <si>
    <t>4-4</t>
  </si>
  <si>
    <t>4-5</t>
  </si>
  <si>
    <t>4-6</t>
  </si>
  <si>
    <t>5-0</t>
  </si>
  <si>
    <t>5-1</t>
  </si>
  <si>
    <t>5-2</t>
  </si>
  <si>
    <t>5-3</t>
  </si>
  <si>
    <t>5-4</t>
  </si>
  <si>
    <t>5-5</t>
  </si>
  <si>
    <t>5-6</t>
  </si>
  <si>
    <t>6-0</t>
  </si>
  <si>
    <t>6-1</t>
  </si>
  <si>
    <t>6-2</t>
  </si>
  <si>
    <t>6-3</t>
  </si>
  <si>
    <t>6-4</t>
  </si>
  <si>
    <t>6-5</t>
  </si>
  <si>
    <t>6-6</t>
  </si>
  <si>
    <t>6-7</t>
  </si>
  <si>
    <t>7-6</t>
  </si>
  <si>
    <t>7-7</t>
  </si>
  <si>
    <t>7-8</t>
  </si>
  <si>
    <t>8-7</t>
  </si>
  <si>
    <t>8-8</t>
  </si>
  <si>
    <t>8-9</t>
  </si>
  <si>
    <t>9-8</t>
  </si>
  <si>
    <t>9-9</t>
  </si>
  <si>
    <t>9-10</t>
  </si>
  <si>
    <t>10-9</t>
  </si>
  <si>
    <t>10-10</t>
  </si>
  <si>
    <t>10-11</t>
  </si>
  <si>
    <t>11-10</t>
  </si>
  <si>
    <t>11-11</t>
  </si>
  <si>
    <t>11-12</t>
  </si>
  <si>
    <t>12-11</t>
  </si>
  <si>
    <t>12-12</t>
  </si>
  <si>
    <t>12-13</t>
  </si>
  <si>
    <t>13-12</t>
  </si>
  <si>
    <t>13-13</t>
  </si>
  <si>
    <t>13-14</t>
  </si>
  <si>
    <t>14-13</t>
  </si>
  <si>
    <t>14-14</t>
  </si>
  <si>
    <t>14-15</t>
  </si>
  <si>
    <t>15-14</t>
  </si>
  <si>
    <t>15-16</t>
  </si>
  <si>
    <t>16-15</t>
  </si>
  <si>
    <t>16-16</t>
  </si>
  <si>
    <t>16-17</t>
  </si>
  <si>
    <t>17-16</t>
  </si>
  <si>
    <t>17-17</t>
  </si>
  <si>
    <t>17-18</t>
  </si>
  <si>
    <t>18-17</t>
  </si>
  <si>
    <t>18-18</t>
  </si>
  <si>
    <t>18-19</t>
  </si>
  <si>
    <t>19-18</t>
  </si>
  <si>
    <t>19-19</t>
  </si>
  <si>
    <t>19-20</t>
  </si>
  <si>
    <t>20-19</t>
  </si>
  <si>
    <t>20-20</t>
  </si>
  <si>
    <t>20-21</t>
  </si>
  <si>
    <t>21-20</t>
  </si>
  <si>
    <t>21-21</t>
  </si>
  <si>
    <t>21-22</t>
  </si>
  <si>
    <t>22-21</t>
  </si>
  <si>
    <t>22-22</t>
  </si>
  <si>
    <t>is bp1</t>
  </si>
  <si>
    <t>is bp2</t>
  </si>
  <si>
    <t>is bpw1</t>
  </si>
  <si>
    <t>is bpw2</t>
  </si>
  <si>
    <t>net pt</t>
  </si>
  <si>
    <t>is s&amp;v</t>
  </si>
  <si>
    <t>is net1</t>
  </si>
  <si>
    <t>is net2</t>
  </si>
  <si>
    <t>is netw1</t>
  </si>
  <si>
    <t>is netw2</t>
  </si>
  <si>
    <t>streak1</t>
  </si>
  <si>
    <t>streak2</t>
  </si>
  <si>
    <t>last 10 1</t>
  </si>
  <si>
    <t>last 10 2</t>
  </si>
  <si>
    <t>Pt num</t>
  </si>
  <si>
    <t>Set 1</t>
  </si>
  <si>
    <t>Set 2</t>
  </si>
  <si>
    <t>Set 3</t>
  </si>
  <si>
    <t>Set 4</t>
  </si>
  <si>
    <t>Set 5</t>
  </si>
  <si>
    <t>set num</t>
  </si>
  <si>
    <t>Match</t>
  </si>
  <si>
    <t>0-7</t>
  </si>
  <si>
    <t>0-8</t>
  </si>
  <si>
    <t>0-9</t>
  </si>
  <si>
    <t>1-7</t>
  </si>
  <si>
    <t>1-8</t>
  </si>
  <si>
    <t>1-9</t>
  </si>
  <si>
    <t>2-7</t>
  </si>
  <si>
    <t>2-8</t>
  </si>
  <si>
    <t>2-9</t>
  </si>
  <si>
    <t>3-7</t>
  </si>
  <si>
    <t>3-8</t>
  </si>
  <si>
    <t>3-9</t>
  </si>
  <si>
    <t>4-7</t>
  </si>
  <si>
    <t>4-8</t>
  </si>
  <si>
    <t>4-9</t>
  </si>
  <si>
    <t>5-7</t>
  </si>
  <si>
    <t>5-8</t>
  </si>
  <si>
    <t>5-9</t>
  </si>
  <si>
    <t>6-8</t>
  </si>
  <si>
    <t>6-9</t>
  </si>
  <si>
    <t>7-1</t>
  </si>
  <si>
    <t>7-0</t>
  </si>
  <si>
    <t>7-2</t>
  </si>
  <si>
    <t>7-3</t>
  </si>
  <si>
    <t>7-4</t>
  </si>
  <si>
    <t>7-5</t>
  </si>
  <si>
    <t>7-9</t>
  </si>
  <si>
    <t>8-0</t>
  </si>
  <si>
    <t>8-1</t>
  </si>
  <si>
    <t>8-2</t>
  </si>
  <si>
    <t>8-3</t>
  </si>
  <si>
    <t>8-4</t>
  </si>
  <si>
    <t>8-5</t>
  </si>
  <si>
    <t>8-6</t>
  </si>
  <si>
    <t>9-0</t>
  </si>
  <si>
    <t>9-1</t>
  </si>
  <si>
    <t>9-2</t>
  </si>
  <si>
    <t>9-3</t>
  </si>
  <si>
    <t>9-4</t>
  </si>
  <si>
    <t>9-5</t>
  </si>
  <si>
    <t>9-6</t>
  </si>
  <si>
    <t>9-7</t>
  </si>
  <si>
    <t>SF</t>
  </si>
  <si>
    <t>QF</t>
  </si>
  <si>
    <t>Winner</t>
  </si>
  <si>
    <t>Other</t>
  </si>
  <si>
    <t>Delta</t>
  </si>
  <si>
    <t>Austrailian Open</t>
  </si>
  <si>
    <t>Wimbledon</t>
  </si>
  <si>
    <t>US Open</t>
  </si>
  <si>
    <t>Roland Garros</t>
  </si>
  <si>
    <t>Hypothesis on First Serve Percentage in Mens Tennis Grand Slams (Finals, SFs and QFs only)</t>
  </si>
  <si>
    <t>Hypothesis on First Serve Percentage in Womens Tennis Grand Slams (Finals, SFs and QFs only)</t>
  </si>
  <si>
    <t>1st serve %</t>
  </si>
  <si>
    <t>Aces</t>
  </si>
  <si>
    <t>Double faults</t>
  </si>
  <si>
    <t>1st serve won %</t>
  </si>
  <si>
    <t>2nd serve won %</t>
  </si>
  <si>
    <t>Break points %</t>
  </si>
  <si>
    <t>Loser</t>
  </si>
  <si>
    <t>Australian Open 2015</t>
  </si>
  <si>
    <t xml:space="preserve"> Roland Garros 2015</t>
  </si>
  <si>
    <t xml:space="preserve"> Wimbledon 2015</t>
  </si>
  <si>
    <t>US Open 2014</t>
  </si>
  <si>
    <t>%</t>
  </si>
  <si>
    <t xml:space="preserve"> Wimbledon           2015</t>
  </si>
  <si>
    <t>US Open                2014</t>
  </si>
  <si>
    <t>Australian Open   2015</t>
  </si>
  <si>
    <t xml:space="preserve"> Roland Garros     2015</t>
  </si>
  <si>
    <t>1st Serve In (%)</t>
  </si>
  <si>
    <t>Aces (#)</t>
  </si>
  <si>
    <t>Double Faults (#)</t>
  </si>
  <si>
    <t>1st Serve Points Won (%)</t>
  </si>
  <si>
    <t>2nd Serve Points Won (%)</t>
  </si>
  <si>
    <t>Break Points Won (%)</t>
  </si>
  <si>
    <t>Return Points Won (%)</t>
  </si>
  <si>
    <t>Mode</t>
  </si>
  <si>
    <t>Median</t>
  </si>
  <si>
    <t>Range</t>
  </si>
  <si>
    <t>Minimum</t>
  </si>
  <si>
    <t>Maximum</t>
  </si>
  <si>
    <t>Sample Mean</t>
  </si>
  <si>
    <t>Summary Statistics</t>
  </si>
  <si>
    <t>Sample SD</t>
  </si>
  <si>
    <t>Sample size</t>
  </si>
  <si>
    <t>Std Error</t>
  </si>
  <si>
    <t>Confidence Coeff</t>
  </si>
  <si>
    <t>Z-Value</t>
  </si>
  <si>
    <t>Lower Limit</t>
  </si>
  <si>
    <t>Upper Limit</t>
  </si>
  <si>
    <t xml:space="preserve">Probability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</si>
</sst>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hair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0" borderId="0"/>
  </cellStyleXfs>
  <cellXfs count="123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0" fillId="3" borderId="0" xfId="0" applyFill="1"/>
    <xf numFmtId="0" fontId="0" fillId="3" borderId="0" xfId="0" applyFill="1" applyBorder="1"/>
    <xf numFmtId="0" fontId="0" fillId="2" borderId="1" xfId="0" applyFill="1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3" borderId="4" xfId="0" applyFill="1" applyBorder="1"/>
    <xf numFmtId="0" fontId="0" fillId="0" borderId="5" xfId="0" applyBorder="1"/>
    <xf numFmtId="0" fontId="0" fillId="0" borderId="0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4" xfId="0" applyFill="1" applyBorder="1"/>
    <xf numFmtId="0" fontId="5" fillId="0" borderId="12" xfId="0" applyFont="1" applyBorder="1"/>
    <xf numFmtId="0" fontId="6" fillId="0" borderId="0" xfId="0" applyFont="1"/>
    <xf numFmtId="0" fontId="5" fillId="0" borderId="12" xfId="0" applyFont="1" applyFill="1" applyBorder="1"/>
    <xf numFmtId="0" fontId="5" fillId="2" borderId="12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right"/>
    </xf>
    <xf numFmtId="0" fontId="5" fillId="0" borderId="12" xfId="0" applyFont="1" applyFill="1" applyBorder="1" applyAlignment="1">
      <alignment horizontal="right" vertical="center"/>
    </xf>
    <xf numFmtId="0" fontId="5" fillId="0" borderId="0" xfId="0" applyFont="1"/>
    <xf numFmtId="0" fontId="6" fillId="0" borderId="0" xfId="0" applyFont="1" applyAlignment="1">
      <alignment horizontal="center" vertical="center"/>
    </xf>
    <xf numFmtId="9" fontId="6" fillId="0" borderId="0" xfId="1" applyFont="1" applyAlignment="1">
      <alignment horizontal="center" vertical="center"/>
    </xf>
    <xf numFmtId="0" fontId="5" fillId="2" borderId="0" xfId="0" applyFont="1" applyFill="1"/>
    <xf numFmtId="0" fontId="6" fillId="2" borderId="0" xfId="0" applyFont="1" applyFill="1" applyAlignment="1">
      <alignment horizontal="center" vertical="center"/>
    </xf>
    <xf numFmtId="0" fontId="6" fillId="2" borderId="0" xfId="0" applyFont="1" applyFill="1"/>
    <xf numFmtId="0" fontId="5" fillId="4" borderId="0" xfId="0" applyFont="1" applyFill="1"/>
    <xf numFmtId="0" fontId="6" fillId="4" borderId="0" xfId="0" applyFont="1" applyFill="1" applyAlignment="1">
      <alignment horizontal="center" vertical="center"/>
    </xf>
    <xf numFmtId="9" fontId="6" fillId="4" borderId="0" xfId="1" applyFont="1" applyFill="1" applyAlignment="1">
      <alignment horizontal="center" vertical="center"/>
    </xf>
    <xf numFmtId="0" fontId="6" fillId="4" borderId="0" xfId="0" applyFont="1" applyFill="1"/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9" fontId="6" fillId="4" borderId="21" xfId="1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4" borderId="13" xfId="0" applyFont="1" applyFill="1" applyBorder="1"/>
    <xf numFmtId="0" fontId="5" fillId="0" borderId="13" xfId="0" applyFont="1" applyFill="1" applyBorder="1"/>
    <xf numFmtId="0" fontId="5" fillId="0" borderId="13" xfId="0" applyFont="1" applyFill="1" applyBorder="1" applyAlignment="1">
      <alignment horizontal="right"/>
    </xf>
    <xf numFmtId="0" fontId="5" fillId="0" borderId="13" xfId="0" applyFont="1" applyFill="1" applyBorder="1" applyAlignment="1">
      <alignment horizontal="right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22" xfId="0" applyFont="1" applyFill="1" applyBorder="1"/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right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6" fillId="0" borderId="32" xfId="0" applyFont="1" applyBorder="1"/>
    <xf numFmtId="0" fontId="5" fillId="2" borderId="32" xfId="0" applyFont="1" applyFill="1" applyBorder="1"/>
    <xf numFmtId="0" fontId="6" fillId="2" borderId="33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32" xfId="0" applyFont="1" applyFill="1" applyBorder="1"/>
    <xf numFmtId="0" fontId="5" fillId="0" borderId="32" xfId="0" applyFont="1" applyBorder="1"/>
    <xf numFmtId="0" fontId="6" fillId="0" borderId="33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5" fillId="0" borderId="1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10" fontId="6" fillId="2" borderId="34" xfId="1" applyNumberFormat="1" applyFont="1" applyFill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/>
    </xf>
    <xf numFmtId="10" fontId="6" fillId="2" borderId="32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37"/>
  <sheetViews>
    <sheetView workbookViewId="0">
      <selection activeCell="Q1" sqref="Q1"/>
    </sheetView>
  </sheetViews>
  <sheetFormatPr defaultRowHeight="15" x14ac:dyDescent="0.25"/>
  <cols>
    <col min="8" max="10" width="9.140625" style="1"/>
    <col min="17" max="19" width="9.140625" style="1"/>
  </cols>
  <sheetData>
    <row r="1" spans="1:19" x14ac:dyDescent="0.25">
      <c r="A1" t="s">
        <v>0</v>
      </c>
      <c r="B1" t="s">
        <v>4</v>
      </c>
      <c r="C1" t="s">
        <v>1</v>
      </c>
      <c r="E1">
        <v>1</v>
      </c>
      <c r="F1">
        <v>1</v>
      </c>
      <c r="H1" s="1" t="s">
        <v>0</v>
      </c>
      <c r="I1" s="1" t="s">
        <v>26</v>
      </c>
      <c r="J1" s="1" t="s">
        <v>19</v>
      </c>
      <c r="L1" s="1" t="s">
        <v>3</v>
      </c>
      <c r="N1" s="1" t="s">
        <v>135</v>
      </c>
      <c r="O1">
        <v>0</v>
      </c>
      <c r="Q1" s="1" t="s">
        <v>0</v>
      </c>
      <c r="R1" s="2" t="s">
        <v>26</v>
      </c>
      <c r="S1" s="1" t="s">
        <v>19</v>
      </c>
    </row>
    <row r="2" spans="1:19" x14ac:dyDescent="0.25">
      <c r="A2" t="s">
        <v>1</v>
      </c>
      <c r="B2" t="s">
        <v>17</v>
      </c>
      <c r="C2" t="s">
        <v>2</v>
      </c>
      <c r="E2">
        <v>2</v>
      </c>
      <c r="F2">
        <v>2</v>
      </c>
      <c r="H2" s="1" t="s">
        <v>19</v>
      </c>
      <c r="I2" s="1" t="s">
        <v>25</v>
      </c>
      <c r="J2" s="1" t="s">
        <v>20</v>
      </c>
      <c r="L2" s="1" t="s">
        <v>6</v>
      </c>
      <c r="N2" s="1" t="s">
        <v>129</v>
      </c>
      <c r="O2">
        <v>1</v>
      </c>
      <c r="Q2" s="1" t="s">
        <v>19</v>
      </c>
      <c r="R2" s="2" t="s">
        <v>25</v>
      </c>
      <c r="S2" s="1" t="s">
        <v>20</v>
      </c>
    </row>
    <row r="3" spans="1:19" x14ac:dyDescent="0.25">
      <c r="A3" t="s">
        <v>2</v>
      </c>
      <c r="B3" t="s">
        <v>5</v>
      </c>
      <c r="C3" t="s">
        <v>3</v>
      </c>
      <c r="E3">
        <v>3</v>
      </c>
      <c r="F3">
        <v>2</v>
      </c>
      <c r="H3" s="1" t="s">
        <v>20</v>
      </c>
      <c r="I3" s="1" t="s">
        <v>27</v>
      </c>
      <c r="J3" s="1" t="s">
        <v>21</v>
      </c>
      <c r="L3" s="1" t="s">
        <v>10</v>
      </c>
      <c r="N3" s="1" t="s">
        <v>130</v>
      </c>
      <c r="O3">
        <v>2</v>
      </c>
      <c r="Q3" s="1" t="s">
        <v>20</v>
      </c>
      <c r="R3" s="1" t="s">
        <v>27</v>
      </c>
      <c r="S3" s="1" t="s">
        <v>21</v>
      </c>
    </row>
    <row r="4" spans="1:19" x14ac:dyDescent="0.25">
      <c r="A4" t="s">
        <v>3</v>
      </c>
      <c r="B4" t="s">
        <v>6</v>
      </c>
      <c r="C4" t="s">
        <v>18</v>
      </c>
      <c r="E4">
        <v>4</v>
      </c>
      <c r="F4">
        <v>1</v>
      </c>
      <c r="H4" s="1" t="s">
        <v>21</v>
      </c>
      <c r="I4" s="1" t="s">
        <v>28</v>
      </c>
      <c r="J4" s="1" t="s">
        <v>22</v>
      </c>
      <c r="L4" s="1" t="s">
        <v>15</v>
      </c>
      <c r="N4" s="1" t="s">
        <v>131</v>
      </c>
      <c r="O4">
        <v>3</v>
      </c>
      <c r="Q4" s="1" t="s">
        <v>21</v>
      </c>
      <c r="R4" s="1" t="s">
        <v>28</v>
      </c>
      <c r="S4" s="1" t="s">
        <v>22</v>
      </c>
    </row>
    <row r="5" spans="1:19" x14ac:dyDescent="0.25">
      <c r="A5" t="s">
        <v>4</v>
      </c>
      <c r="B5" t="s">
        <v>7</v>
      </c>
      <c r="C5" t="s">
        <v>17</v>
      </c>
      <c r="E5">
        <v>5</v>
      </c>
      <c r="F5">
        <v>1</v>
      </c>
      <c r="H5" s="1" t="s">
        <v>22</v>
      </c>
      <c r="I5" s="1" t="s">
        <v>29</v>
      </c>
      <c r="J5" s="1" t="s">
        <v>23</v>
      </c>
      <c r="N5" s="1" t="s">
        <v>132</v>
      </c>
      <c r="O5">
        <v>4</v>
      </c>
      <c r="Q5" s="1" t="s">
        <v>22</v>
      </c>
      <c r="R5" s="1" t="s">
        <v>29</v>
      </c>
      <c r="S5" s="1" t="s">
        <v>23</v>
      </c>
    </row>
    <row r="6" spans="1:19" x14ac:dyDescent="0.25">
      <c r="A6" t="s">
        <v>17</v>
      </c>
      <c r="B6" t="s">
        <v>8</v>
      </c>
      <c r="C6" t="s">
        <v>5</v>
      </c>
      <c r="E6">
        <v>6</v>
      </c>
      <c r="F6">
        <v>2</v>
      </c>
      <c r="H6" s="1" t="s">
        <v>23</v>
      </c>
      <c r="I6" s="1" t="s">
        <v>30</v>
      </c>
      <c r="J6" s="1" t="s">
        <v>24</v>
      </c>
      <c r="N6" s="1" t="s">
        <v>133</v>
      </c>
      <c r="O6">
        <v>5</v>
      </c>
      <c r="Q6" s="1" t="s">
        <v>23</v>
      </c>
      <c r="R6" s="1" t="s">
        <v>30</v>
      </c>
      <c r="S6" s="1" t="s">
        <v>24</v>
      </c>
    </row>
    <row r="7" spans="1:19" x14ac:dyDescent="0.25">
      <c r="A7" t="s">
        <v>5</v>
      </c>
      <c r="B7" t="s">
        <v>9</v>
      </c>
      <c r="C7" t="s">
        <v>6</v>
      </c>
      <c r="E7">
        <v>7</v>
      </c>
      <c r="F7">
        <v>2</v>
      </c>
      <c r="H7" s="1" t="s">
        <v>24</v>
      </c>
      <c r="I7" s="1" t="s">
        <v>31</v>
      </c>
      <c r="J7" s="1" t="s">
        <v>18</v>
      </c>
      <c r="Q7" s="1" t="s">
        <v>24</v>
      </c>
      <c r="R7" s="1" t="s">
        <v>31</v>
      </c>
      <c r="S7" s="1" t="s">
        <v>136</v>
      </c>
    </row>
    <row r="8" spans="1:19" x14ac:dyDescent="0.25">
      <c r="A8" t="s">
        <v>6</v>
      </c>
      <c r="B8" t="s">
        <v>10</v>
      </c>
      <c r="C8" t="s">
        <v>18</v>
      </c>
      <c r="E8">
        <v>8</v>
      </c>
      <c r="F8">
        <v>1</v>
      </c>
      <c r="H8" s="1" t="s">
        <v>26</v>
      </c>
      <c r="I8" s="1" t="s">
        <v>32</v>
      </c>
      <c r="J8" s="1" t="s">
        <v>25</v>
      </c>
      <c r="Q8" s="1" t="s">
        <v>136</v>
      </c>
      <c r="R8" s="1" t="s">
        <v>139</v>
      </c>
      <c r="S8" s="1" t="s">
        <v>137</v>
      </c>
    </row>
    <row r="9" spans="1:19" x14ac:dyDescent="0.25">
      <c r="A9" t="s">
        <v>7</v>
      </c>
      <c r="B9" t="s">
        <v>11</v>
      </c>
      <c r="C9" t="s">
        <v>8</v>
      </c>
      <c r="E9">
        <v>9</v>
      </c>
      <c r="F9">
        <v>1</v>
      </c>
      <c r="H9" s="1" t="s">
        <v>25</v>
      </c>
      <c r="I9" s="1" t="s">
        <v>33</v>
      </c>
      <c r="J9" s="1" t="s">
        <v>27</v>
      </c>
      <c r="Q9" s="1" t="s">
        <v>137</v>
      </c>
      <c r="R9" s="1" t="s">
        <v>140</v>
      </c>
      <c r="S9" s="1" t="s">
        <v>138</v>
      </c>
    </row>
    <row r="10" spans="1:19" x14ac:dyDescent="0.25">
      <c r="A10" t="s">
        <v>8</v>
      </c>
      <c r="B10" t="s">
        <v>12</v>
      </c>
      <c r="C10" t="s">
        <v>9</v>
      </c>
      <c r="E10">
        <v>10</v>
      </c>
      <c r="F10">
        <v>2</v>
      </c>
      <c r="H10" s="1" t="s">
        <v>27</v>
      </c>
      <c r="I10" s="1" t="s">
        <v>34</v>
      </c>
      <c r="J10" s="1" t="s">
        <v>28</v>
      </c>
      <c r="Q10" s="1" t="s">
        <v>138</v>
      </c>
      <c r="R10" s="1" t="s">
        <v>141</v>
      </c>
      <c r="S10" s="1" t="s">
        <v>18</v>
      </c>
    </row>
    <row r="11" spans="1:19" x14ac:dyDescent="0.25">
      <c r="A11" t="s">
        <v>9</v>
      </c>
      <c r="B11" t="s">
        <v>13</v>
      </c>
      <c r="C11" t="s">
        <v>10</v>
      </c>
      <c r="E11">
        <v>11</v>
      </c>
      <c r="F11">
        <v>2</v>
      </c>
      <c r="H11" s="1" t="s">
        <v>28</v>
      </c>
      <c r="I11" s="1" t="s">
        <v>35</v>
      </c>
      <c r="J11" s="1" t="s">
        <v>29</v>
      </c>
      <c r="Q11" s="2" t="s">
        <v>26</v>
      </c>
      <c r="R11" s="1" t="s">
        <v>32</v>
      </c>
      <c r="S11" s="2" t="s">
        <v>25</v>
      </c>
    </row>
    <row r="12" spans="1:19" x14ac:dyDescent="0.25">
      <c r="A12" t="s">
        <v>10</v>
      </c>
      <c r="B12" t="s">
        <v>14</v>
      </c>
      <c r="C12" t="s">
        <v>18</v>
      </c>
      <c r="E12">
        <v>12</v>
      </c>
      <c r="F12">
        <v>1</v>
      </c>
      <c r="H12" s="1" t="s">
        <v>29</v>
      </c>
      <c r="I12" s="1" t="s">
        <v>36</v>
      </c>
      <c r="J12" s="1" t="s">
        <v>30</v>
      </c>
      <c r="Q12" s="2" t="s">
        <v>25</v>
      </c>
      <c r="R12" s="1" t="s">
        <v>33</v>
      </c>
      <c r="S12" s="1" t="s">
        <v>27</v>
      </c>
    </row>
    <row r="13" spans="1:19" x14ac:dyDescent="0.25">
      <c r="A13" t="s">
        <v>11</v>
      </c>
      <c r="B13" t="s">
        <v>18</v>
      </c>
      <c r="C13" t="s">
        <v>12</v>
      </c>
      <c r="E13">
        <v>13</v>
      </c>
      <c r="F13">
        <v>1</v>
      </c>
      <c r="H13" s="1" t="s">
        <v>30</v>
      </c>
      <c r="I13" s="1" t="s">
        <v>37</v>
      </c>
      <c r="J13" s="1" t="s">
        <v>31</v>
      </c>
      <c r="Q13" s="1" t="s">
        <v>27</v>
      </c>
      <c r="R13" s="1" t="s">
        <v>34</v>
      </c>
      <c r="S13" s="1" t="s">
        <v>28</v>
      </c>
    </row>
    <row r="14" spans="1:19" x14ac:dyDescent="0.25">
      <c r="A14" t="s">
        <v>12</v>
      </c>
      <c r="B14" t="s">
        <v>18</v>
      </c>
      <c r="C14" t="s">
        <v>13</v>
      </c>
      <c r="E14">
        <v>14</v>
      </c>
      <c r="F14">
        <v>2</v>
      </c>
      <c r="H14" s="1" t="s">
        <v>31</v>
      </c>
      <c r="I14" s="1" t="s">
        <v>38</v>
      </c>
      <c r="J14" s="1" t="s">
        <v>18</v>
      </c>
      <c r="Q14" s="1" t="s">
        <v>28</v>
      </c>
      <c r="R14" s="1" t="s">
        <v>35</v>
      </c>
      <c r="S14" s="1" t="s">
        <v>29</v>
      </c>
    </row>
    <row r="15" spans="1:19" x14ac:dyDescent="0.25">
      <c r="A15" t="s">
        <v>13</v>
      </c>
      <c r="B15" t="s">
        <v>18</v>
      </c>
      <c r="C15" t="s">
        <v>14</v>
      </c>
      <c r="E15">
        <v>15</v>
      </c>
      <c r="F15">
        <v>2</v>
      </c>
      <c r="H15" s="1" t="s">
        <v>32</v>
      </c>
      <c r="I15" s="1" t="s">
        <v>39</v>
      </c>
      <c r="J15" s="1" t="s">
        <v>33</v>
      </c>
      <c r="Q15" s="1" t="s">
        <v>29</v>
      </c>
      <c r="R15" s="1" t="s">
        <v>36</v>
      </c>
      <c r="S15" s="1" t="s">
        <v>30</v>
      </c>
    </row>
    <row r="16" spans="1:19" x14ac:dyDescent="0.25">
      <c r="A16" t="s">
        <v>14</v>
      </c>
      <c r="B16" t="s">
        <v>16</v>
      </c>
      <c r="C16" t="s">
        <v>15</v>
      </c>
      <c r="E16">
        <v>16</v>
      </c>
      <c r="F16">
        <v>1</v>
      </c>
      <c r="H16" s="1" t="s">
        <v>33</v>
      </c>
      <c r="I16" s="1" t="s">
        <v>40</v>
      </c>
      <c r="J16" s="1" t="s">
        <v>34</v>
      </c>
      <c r="Q16" s="1" t="s">
        <v>30</v>
      </c>
      <c r="R16" s="1" t="s">
        <v>37</v>
      </c>
      <c r="S16" s="1" t="s">
        <v>31</v>
      </c>
    </row>
    <row r="17" spans="1:19" x14ac:dyDescent="0.25">
      <c r="A17" t="s">
        <v>15</v>
      </c>
      <c r="B17" t="s">
        <v>14</v>
      </c>
      <c r="C17" t="s">
        <v>18</v>
      </c>
      <c r="E17">
        <v>17</v>
      </c>
      <c r="F17">
        <v>1</v>
      </c>
      <c r="H17" s="1" t="s">
        <v>34</v>
      </c>
      <c r="I17" s="1" t="s">
        <v>41</v>
      </c>
      <c r="J17" s="1" t="s">
        <v>35</v>
      </c>
      <c r="Q17" s="1" t="s">
        <v>31</v>
      </c>
      <c r="R17" s="1" t="s">
        <v>38</v>
      </c>
      <c r="S17" s="1" t="s">
        <v>139</v>
      </c>
    </row>
    <row r="18" spans="1:19" x14ac:dyDescent="0.25">
      <c r="A18" t="s">
        <v>16</v>
      </c>
      <c r="B18" t="s">
        <v>18</v>
      </c>
      <c r="C18" t="s">
        <v>14</v>
      </c>
      <c r="E18">
        <v>18</v>
      </c>
      <c r="F18">
        <v>2</v>
      </c>
      <c r="H18" s="1" t="s">
        <v>35</v>
      </c>
      <c r="I18" s="1" t="s">
        <v>42</v>
      </c>
      <c r="J18" s="1" t="s">
        <v>36</v>
      </c>
      <c r="Q18" s="1" t="s">
        <v>139</v>
      </c>
      <c r="R18" s="1" t="s">
        <v>142</v>
      </c>
      <c r="S18" s="1" t="s">
        <v>140</v>
      </c>
    </row>
    <row r="19" spans="1:19" x14ac:dyDescent="0.25">
      <c r="E19">
        <v>19</v>
      </c>
      <c r="F19">
        <v>2</v>
      </c>
      <c r="H19" s="1" t="s">
        <v>36</v>
      </c>
      <c r="I19" s="1" t="s">
        <v>43</v>
      </c>
      <c r="J19" s="1" t="s">
        <v>37</v>
      </c>
      <c r="Q19" s="1" t="s">
        <v>140</v>
      </c>
      <c r="R19" s="1" t="s">
        <v>143</v>
      </c>
      <c r="S19" s="1" t="s">
        <v>141</v>
      </c>
    </row>
    <row r="20" spans="1:19" x14ac:dyDescent="0.25">
      <c r="E20">
        <v>20</v>
      </c>
      <c r="F20">
        <v>1</v>
      </c>
      <c r="H20" s="1" t="s">
        <v>37</v>
      </c>
      <c r="I20" s="1" t="s">
        <v>44</v>
      </c>
      <c r="J20" s="1" t="s">
        <v>38</v>
      </c>
      <c r="Q20" s="1" t="s">
        <v>141</v>
      </c>
      <c r="R20" s="1" t="s">
        <v>144</v>
      </c>
      <c r="S20" s="1" t="s">
        <v>18</v>
      </c>
    </row>
    <row r="21" spans="1:19" x14ac:dyDescent="0.25">
      <c r="E21">
        <v>21</v>
      </c>
      <c r="F21">
        <v>1</v>
      </c>
      <c r="H21" s="1" t="s">
        <v>38</v>
      </c>
      <c r="I21" s="1" t="s">
        <v>45</v>
      </c>
      <c r="J21" s="1" t="s">
        <v>18</v>
      </c>
      <c r="Q21" s="1" t="s">
        <v>32</v>
      </c>
      <c r="R21" s="1" t="s">
        <v>39</v>
      </c>
      <c r="S21" s="1" t="s">
        <v>33</v>
      </c>
    </row>
    <row r="22" spans="1:19" x14ac:dyDescent="0.25">
      <c r="E22">
        <v>22</v>
      </c>
      <c r="F22">
        <v>2</v>
      </c>
      <c r="H22" s="1" t="s">
        <v>39</v>
      </c>
      <c r="I22" s="1" t="s">
        <v>46</v>
      </c>
      <c r="J22" s="1" t="s">
        <v>40</v>
      </c>
      <c r="Q22" s="1" t="s">
        <v>33</v>
      </c>
      <c r="R22" s="1" t="s">
        <v>40</v>
      </c>
      <c r="S22" s="1" t="s">
        <v>34</v>
      </c>
    </row>
    <row r="23" spans="1:19" x14ac:dyDescent="0.25">
      <c r="E23">
        <v>23</v>
      </c>
      <c r="F23">
        <v>2</v>
      </c>
      <c r="H23" s="1" t="s">
        <v>40</v>
      </c>
      <c r="I23" s="1" t="s">
        <v>47</v>
      </c>
      <c r="J23" s="1" t="s">
        <v>41</v>
      </c>
      <c r="Q23" s="1" t="s">
        <v>34</v>
      </c>
      <c r="R23" s="1" t="s">
        <v>41</v>
      </c>
      <c r="S23" s="1" t="s">
        <v>35</v>
      </c>
    </row>
    <row r="24" spans="1:19" x14ac:dyDescent="0.25">
      <c r="E24">
        <v>24</v>
      </c>
      <c r="F24">
        <v>1</v>
      </c>
      <c r="H24" s="1" t="s">
        <v>41</v>
      </c>
      <c r="I24" s="1" t="s">
        <v>48</v>
      </c>
      <c r="J24" s="1" t="s">
        <v>42</v>
      </c>
      <c r="Q24" s="1" t="s">
        <v>35</v>
      </c>
      <c r="R24" s="1" t="s">
        <v>42</v>
      </c>
      <c r="S24" s="1" t="s">
        <v>36</v>
      </c>
    </row>
    <row r="25" spans="1:19" x14ac:dyDescent="0.25">
      <c r="E25">
        <v>25</v>
      </c>
      <c r="F25">
        <v>1</v>
      </c>
      <c r="H25" s="1" t="s">
        <v>42</v>
      </c>
      <c r="I25" s="1" t="s">
        <v>49</v>
      </c>
      <c r="J25" s="1" t="s">
        <v>43</v>
      </c>
      <c r="Q25" s="1" t="s">
        <v>36</v>
      </c>
      <c r="R25" s="1" t="s">
        <v>43</v>
      </c>
      <c r="S25" s="1" t="s">
        <v>37</v>
      </c>
    </row>
    <row r="26" spans="1:19" x14ac:dyDescent="0.25">
      <c r="E26">
        <v>26</v>
      </c>
      <c r="F26">
        <v>2</v>
      </c>
      <c r="H26" s="1" t="s">
        <v>43</v>
      </c>
      <c r="I26" s="1" t="s">
        <v>50</v>
      </c>
      <c r="J26" s="1" t="s">
        <v>44</v>
      </c>
      <c r="Q26" s="1" t="s">
        <v>37</v>
      </c>
      <c r="R26" s="1" t="s">
        <v>44</v>
      </c>
      <c r="S26" s="1" t="s">
        <v>38</v>
      </c>
    </row>
    <row r="27" spans="1:19" x14ac:dyDescent="0.25">
      <c r="E27">
        <v>27</v>
      </c>
      <c r="F27">
        <v>2</v>
      </c>
      <c r="H27" s="1" t="s">
        <v>44</v>
      </c>
      <c r="I27" s="1" t="s">
        <v>51</v>
      </c>
      <c r="J27" s="1" t="s">
        <v>45</v>
      </c>
      <c r="Q27" s="1" t="s">
        <v>38</v>
      </c>
      <c r="R27" s="1" t="s">
        <v>45</v>
      </c>
      <c r="S27" s="1" t="s">
        <v>142</v>
      </c>
    </row>
    <row r="28" spans="1:19" x14ac:dyDescent="0.25">
      <c r="E28">
        <v>28</v>
      </c>
      <c r="F28">
        <v>1</v>
      </c>
      <c r="H28" s="1" t="s">
        <v>45</v>
      </c>
      <c r="I28" s="1" t="s">
        <v>52</v>
      </c>
      <c r="J28" s="1" t="s">
        <v>18</v>
      </c>
      <c r="Q28" s="1" t="s">
        <v>142</v>
      </c>
      <c r="R28" s="1" t="s">
        <v>145</v>
      </c>
      <c r="S28" s="1" t="s">
        <v>143</v>
      </c>
    </row>
    <row r="29" spans="1:19" x14ac:dyDescent="0.25">
      <c r="E29">
        <v>29</v>
      </c>
      <c r="F29">
        <v>1</v>
      </c>
      <c r="H29" s="1" t="s">
        <v>46</v>
      </c>
      <c r="I29" s="1" t="s">
        <v>53</v>
      </c>
      <c r="J29" s="1" t="s">
        <v>47</v>
      </c>
      <c r="Q29" s="1" t="s">
        <v>143</v>
      </c>
      <c r="R29" s="1" t="s">
        <v>146</v>
      </c>
      <c r="S29" s="1" t="s">
        <v>144</v>
      </c>
    </row>
    <row r="30" spans="1:19" x14ac:dyDescent="0.25">
      <c r="E30">
        <v>30</v>
      </c>
      <c r="F30">
        <v>2</v>
      </c>
      <c r="H30" s="1" t="s">
        <v>47</v>
      </c>
      <c r="I30" s="1" t="s">
        <v>54</v>
      </c>
      <c r="J30" s="1" t="s">
        <v>48</v>
      </c>
      <c r="Q30" s="1" t="s">
        <v>144</v>
      </c>
      <c r="R30" s="1" t="s">
        <v>147</v>
      </c>
      <c r="S30" s="1" t="s">
        <v>18</v>
      </c>
    </row>
    <row r="31" spans="1:19" x14ac:dyDescent="0.25">
      <c r="E31">
        <v>31</v>
      </c>
      <c r="F31">
        <v>2</v>
      </c>
      <c r="H31" s="1" t="s">
        <v>48</v>
      </c>
      <c r="I31" s="1" t="s">
        <v>55</v>
      </c>
      <c r="J31" s="1" t="s">
        <v>49</v>
      </c>
      <c r="Q31" s="1" t="s">
        <v>39</v>
      </c>
      <c r="R31" s="1" t="s">
        <v>46</v>
      </c>
      <c r="S31" s="1" t="s">
        <v>40</v>
      </c>
    </row>
    <row r="32" spans="1:19" x14ac:dyDescent="0.25">
      <c r="E32">
        <v>32</v>
      </c>
      <c r="F32">
        <v>1</v>
      </c>
      <c r="H32" s="1" t="s">
        <v>49</v>
      </c>
      <c r="I32" s="1" t="s">
        <v>56</v>
      </c>
      <c r="J32" s="1" t="s">
        <v>50</v>
      </c>
      <c r="Q32" s="1" t="s">
        <v>40</v>
      </c>
      <c r="R32" s="1" t="s">
        <v>47</v>
      </c>
      <c r="S32" s="1" t="s">
        <v>41</v>
      </c>
    </row>
    <row r="33" spans="5:19" x14ac:dyDescent="0.25">
      <c r="E33">
        <v>33</v>
      </c>
      <c r="F33">
        <v>1</v>
      </c>
      <c r="H33" s="1" t="s">
        <v>50</v>
      </c>
      <c r="I33" s="1" t="s">
        <v>57</v>
      </c>
      <c r="J33" s="1" t="s">
        <v>51</v>
      </c>
      <c r="Q33" s="1" t="s">
        <v>41</v>
      </c>
      <c r="R33" s="1" t="s">
        <v>48</v>
      </c>
      <c r="S33" s="1" t="s">
        <v>42</v>
      </c>
    </row>
    <row r="34" spans="5:19" x14ac:dyDescent="0.25">
      <c r="E34">
        <v>34</v>
      </c>
      <c r="F34">
        <v>2</v>
      </c>
      <c r="H34" s="1" t="s">
        <v>51</v>
      </c>
      <c r="I34" s="1" t="s">
        <v>58</v>
      </c>
      <c r="J34" s="1" t="s">
        <v>52</v>
      </c>
      <c r="Q34" s="1" t="s">
        <v>42</v>
      </c>
      <c r="R34" s="1" t="s">
        <v>49</v>
      </c>
      <c r="S34" s="1" t="s">
        <v>43</v>
      </c>
    </row>
    <row r="35" spans="5:19" x14ac:dyDescent="0.25">
      <c r="E35">
        <v>35</v>
      </c>
      <c r="F35">
        <v>2</v>
      </c>
      <c r="H35" s="1" t="s">
        <v>52</v>
      </c>
      <c r="I35" s="1" t="s">
        <v>59</v>
      </c>
      <c r="J35" s="1" t="s">
        <v>18</v>
      </c>
      <c r="Q35" s="1" t="s">
        <v>43</v>
      </c>
      <c r="R35" s="1" t="s">
        <v>50</v>
      </c>
      <c r="S35" s="1" t="s">
        <v>44</v>
      </c>
    </row>
    <row r="36" spans="5:19" x14ac:dyDescent="0.25">
      <c r="E36">
        <v>36</v>
      </c>
      <c r="F36">
        <v>1</v>
      </c>
      <c r="H36" s="1" t="s">
        <v>53</v>
      </c>
      <c r="I36" s="1" t="s">
        <v>60</v>
      </c>
      <c r="J36" s="1" t="s">
        <v>54</v>
      </c>
      <c r="Q36" s="1" t="s">
        <v>44</v>
      </c>
      <c r="R36" s="1" t="s">
        <v>51</v>
      </c>
      <c r="S36" s="1" t="s">
        <v>45</v>
      </c>
    </row>
    <row r="37" spans="5:19" x14ac:dyDescent="0.25">
      <c r="E37">
        <v>37</v>
      </c>
      <c r="F37">
        <v>1</v>
      </c>
      <c r="H37" s="1" t="s">
        <v>54</v>
      </c>
      <c r="I37" s="1" t="s">
        <v>61</v>
      </c>
      <c r="J37" s="1" t="s">
        <v>55</v>
      </c>
      <c r="Q37" s="1" t="s">
        <v>45</v>
      </c>
      <c r="R37" s="1" t="s">
        <v>52</v>
      </c>
      <c r="S37" s="1" t="s">
        <v>145</v>
      </c>
    </row>
    <row r="38" spans="5:19" x14ac:dyDescent="0.25">
      <c r="E38">
        <v>38</v>
      </c>
      <c r="F38">
        <v>2</v>
      </c>
      <c r="H38" s="1" t="s">
        <v>55</v>
      </c>
      <c r="I38" s="1" t="s">
        <v>62</v>
      </c>
      <c r="J38" s="1" t="s">
        <v>56</v>
      </c>
      <c r="Q38" s="1" t="s">
        <v>145</v>
      </c>
      <c r="R38" s="1" t="s">
        <v>148</v>
      </c>
      <c r="S38" s="1" t="s">
        <v>146</v>
      </c>
    </row>
    <row r="39" spans="5:19" x14ac:dyDescent="0.25">
      <c r="E39">
        <v>39</v>
      </c>
      <c r="F39">
        <v>2</v>
      </c>
      <c r="H39" s="1" t="s">
        <v>56</v>
      </c>
      <c r="I39" s="1" t="s">
        <v>63</v>
      </c>
      <c r="J39" s="1" t="s">
        <v>57</v>
      </c>
      <c r="Q39" s="1" t="s">
        <v>146</v>
      </c>
      <c r="R39" s="1" t="s">
        <v>149</v>
      </c>
      <c r="S39" s="1" t="s">
        <v>147</v>
      </c>
    </row>
    <row r="40" spans="5:19" x14ac:dyDescent="0.25">
      <c r="E40">
        <v>40</v>
      </c>
      <c r="F40">
        <v>1</v>
      </c>
      <c r="H40" s="1" t="s">
        <v>57</v>
      </c>
      <c r="I40" s="1" t="s">
        <v>64</v>
      </c>
      <c r="J40" s="1" t="s">
        <v>58</v>
      </c>
      <c r="Q40" s="1" t="s">
        <v>147</v>
      </c>
      <c r="R40" s="1" t="s">
        <v>150</v>
      </c>
      <c r="S40" s="1" t="s">
        <v>18</v>
      </c>
    </row>
    <row r="41" spans="5:19" x14ac:dyDescent="0.25">
      <c r="E41">
        <v>41</v>
      </c>
      <c r="F41">
        <v>1</v>
      </c>
      <c r="H41" s="1" t="s">
        <v>58</v>
      </c>
      <c r="I41" s="1" t="s">
        <v>65</v>
      </c>
      <c r="J41" s="1" t="s">
        <v>59</v>
      </c>
      <c r="Q41" s="1" t="s">
        <v>46</v>
      </c>
      <c r="R41" s="1" t="s">
        <v>53</v>
      </c>
      <c r="S41" s="1" t="s">
        <v>47</v>
      </c>
    </row>
    <row r="42" spans="5:19" x14ac:dyDescent="0.25">
      <c r="E42">
        <v>42</v>
      </c>
      <c r="F42">
        <v>2</v>
      </c>
      <c r="H42" s="1" t="s">
        <v>59</v>
      </c>
      <c r="I42" s="1" t="s">
        <v>66</v>
      </c>
      <c r="J42" s="1" t="s">
        <v>18</v>
      </c>
      <c r="Q42" s="1" t="s">
        <v>47</v>
      </c>
      <c r="R42" s="1" t="s">
        <v>54</v>
      </c>
      <c r="S42" s="1" t="s">
        <v>48</v>
      </c>
    </row>
    <row r="43" spans="5:19" x14ac:dyDescent="0.25">
      <c r="E43">
        <v>43</v>
      </c>
      <c r="F43">
        <v>2</v>
      </c>
      <c r="H43" s="1" t="s">
        <v>60</v>
      </c>
      <c r="I43" s="1" t="s">
        <v>18</v>
      </c>
      <c r="J43" s="1" t="s">
        <v>61</v>
      </c>
      <c r="Q43" s="1" t="s">
        <v>48</v>
      </c>
      <c r="R43" s="1" t="s">
        <v>55</v>
      </c>
      <c r="S43" s="1" t="s">
        <v>49</v>
      </c>
    </row>
    <row r="44" spans="5:19" x14ac:dyDescent="0.25">
      <c r="E44">
        <v>44</v>
      </c>
      <c r="F44">
        <v>1</v>
      </c>
      <c r="H44" s="1" t="s">
        <v>61</v>
      </c>
      <c r="I44" s="1" t="s">
        <v>18</v>
      </c>
      <c r="J44" s="1" t="s">
        <v>62</v>
      </c>
      <c r="Q44" s="1" t="s">
        <v>49</v>
      </c>
      <c r="R44" s="1" t="s">
        <v>56</v>
      </c>
      <c r="S44" s="1" t="s">
        <v>50</v>
      </c>
    </row>
    <row r="45" spans="5:19" x14ac:dyDescent="0.25">
      <c r="E45">
        <v>45</v>
      </c>
      <c r="F45">
        <v>1</v>
      </c>
      <c r="H45" s="1" t="s">
        <v>62</v>
      </c>
      <c r="I45" s="1" t="s">
        <v>18</v>
      </c>
      <c r="J45" s="1" t="s">
        <v>63</v>
      </c>
      <c r="Q45" s="1" t="s">
        <v>50</v>
      </c>
      <c r="R45" s="1" t="s">
        <v>57</v>
      </c>
      <c r="S45" s="1" t="s">
        <v>51</v>
      </c>
    </row>
    <row r="46" spans="5:19" x14ac:dyDescent="0.25">
      <c r="E46">
        <v>46</v>
      </c>
      <c r="F46">
        <v>2</v>
      </c>
      <c r="H46" s="1" t="s">
        <v>63</v>
      </c>
      <c r="I46" s="1" t="s">
        <v>18</v>
      </c>
      <c r="J46" s="1" t="s">
        <v>64</v>
      </c>
      <c r="Q46" s="1" t="s">
        <v>51</v>
      </c>
      <c r="R46" s="1" t="s">
        <v>58</v>
      </c>
      <c r="S46" s="1" t="s">
        <v>52</v>
      </c>
    </row>
    <row r="47" spans="5:19" x14ac:dyDescent="0.25">
      <c r="E47">
        <v>47</v>
      </c>
      <c r="F47">
        <v>2</v>
      </c>
      <c r="H47" s="1" t="s">
        <v>64</v>
      </c>
      <c r="I47" s="1" t="s">
        <v>18</v>
      </c>
      <c r="J47" s="1" t="s">
        <v>65</v>
      </c>
      <c r="Q47" s="1" t="s">
        <v>52</v>
      </c>
      <c r="R47" s="1" t="s">
        <v>59</v>
      </c>
      <c r="S47" s="1" t="s">
        <v>148</v>
      </c>
    </row>
    <row r="48" spans="5:19" x14ac:dyDescent="0.25">
      <c r="E48">
        <v>48</v>
      </c>
      <c r="F48">
        <v>1</v>
      </c>
      <c r="H48" s="1" t="s">
        <v>65</v>
      </c>
      <c r="I48" s="1" t="s">
        <v>18</v>
      </c>
      <c r="J48" s="1" t="s">
        <v>66</v>
      </c>
      <c r="Q48" s="1" t="s">
        <v>148</v>
      </c>
      <c r="R48" s="1" t="s">
        <v>151</v>
      </c>
      <c r="S48" s="1" t="s">
        <v>149</v>
      </c>
    </row>
    <row r="49" spans="5:19" x14ac:dyDescent="0.25">
      <c r="E49">
        <v>49</v>
      </c>
      <c r="F49">
        <v>1</v>
      </c>
      <c r="H49" s="1" t="s">
        <v>66</v>
      </c>
      <c r="I49" s="1" t="s">
        <v>68</v>
      </c>
      <c r="J49" s="1" t="s">
        <v>67</v>
      </c>
      <c r="Q49" s="1" t="s">
        <v>149</v>
      </c>
      <c r="R49" s="1" t="s">
        <v>152</v>
      </c>
      <c r="S49" s="1" t="s">
        <v>150</v>
      </c>
    </row>
    <row r="50" spans="5:19" x14ac:dyDescent="0.25">
      <c r="E50">
        <v>50</v>
      </c>
      <c r="F50">
        <v>2</v>
      </c>
      <c r="H50" s="1" t="s">
        <v>67</v>
      </c>
      <c r="I50" s="1" t="s">
        <v>69</v>
      </c>
      <c r="J50" s="1" t="s">
        <v>18</v>
      </c>
      <c r="Q50" s="1" t="s">
        <v>150</v>
      </c>
      <c r="R50" s="1" t="s">
        <v>153</v>
      </c>
      <c r="S50" s="1" t="s">
        <v>18</v>
      </c>
    </row>
    <row r="51" spans="5:19" x14ac:dyDescent="0.25">
      <c r="H51" s="1" t="s">
        <v>68</v>
      </c>
      <c r="I51" s="1" t="s">
        <v>18</v>
      </c>
      <c r="J51" s="1" t="s">
        <v>69</v>
      </c>
      <c r="Q51" s="1" t="s">
        <v>53</v>
      </c>
      <c r="R51" s="1" t="s">
        <v>60</v>
      </c>
      <c r="S51" s="1" t="s">
        <v>54</v>
      </c>
    </row>
    <row r="52" spans="5:19" x14ac:dyDescent="0.25">
      <c r="H52" s="1" t="s">
        <v>69</v>
      </c>
      <c r="I52" s="1" t="s">
        <v>71</v>
      </c>
      <c r="J52" s="1" t="s">
        <v>70</v>
      </c>
      <c r="Q52" s="1" t="s">
        <v>54</v>
      </c>
      <c r="R52" s="1" t="s">
        <v>61</v>
      </c>
      <c r="S52" s="1" t="s">
        <v>55</v>
      </c>
    </row>
    <row r="53" spans="5:19" x14ac:dyDescent="0.25">
      <c r="H53" s="1" t="s">
        <v>70</v>
      </c>
      <c r="I53" s="1" t="s">
        <v>72</v>
      </c>
      <c r="J53" s="1" t="s">
        <v>18</v>
      </c>
      <c r="Q53" s="1" t="s">
        <v>55</v>
      </c>
      <c r="R53" s="1" t="s">
        <v>62</v>
      </c>
      <c r="S53" s="1" t="s">
        <v>56</v>
      </c>
    </row>
    <row r="54" spans="5:19" x14ac:dyDescent="0.25">
      <c r="H54" s="1" t="s">
        <v>71</v>
      </c>
      <c r="I54" s="1" t="s">
        <v>18</v>
      </c>
      <c r="J54" s="1" t="s">
        <v>72</v>
      </c>
      <c r="Q54" s="1" t="s">
        <v>56</v>
      </c>
      <c r="R54" s="1" t="s">
        <v>63</v>
      </c>
      <c r="S54" s="1" t="s">
        <v>57</v>
      </c>
    </row>
    <row r="55" spans="5:19" x14ac:dyDescent="0.25">
      <c r="H55" s="1" t="s">
        <v>72</v>
      </c>
      <c r="I55" s="1" t="s">
        <v>74</v>
      </c>
      <c r="J55" s="1" t="s">
        <v>73</v>
      </c>
      <c r="Q55" s="1" t="s">
        <v>57</v>
      </c>
      <c r="R55" s="1" t="s">
        <v>64</v>
      </c>
      <c r="S55" s="1" t="s">
        <v>58</v>
      </c>
    </row>
    <row r="56" spans="5:19" x14ac:dyDescent="0.25">
      <c r="H56" s="1" t="s">
        <v>73</v>
      </c>
      <c r="I56" s="1" t="s">
        <v>75</v>
      </c>
      <c r="J56" s="1" t="s">
        <v>18</v>
      </c>
      <c r="Q56" s="1" t="s">
        <v>58</v>
      </c>
      <c r="R56" s="1" t="s">
        <v>65</v>
      </c>
      <c r="S56" s="1" t="s">
        <v>59</v>
      </c>
    </row>
    <row r="57" spans="5:19" x14ac:dyDescent="0.25">
      <c r="H57" s="1" t="s">
        <v>74</v>
      </c>
      <c r="I57" s="1" t="s">
        <v>18</v>
      </c>
      <c r="J57" s="1" t="s">
        <v>75</v>
      </c>
      <c r="Q57" s="1" t="s">
        <v>59</v>
      </c>
      <c r="R57" s="1" t="s">
        <v>66</v>
      </c>
      <c r="S57" s="1" t="s">
        <v>151</v>
      </c>
    </row>
    <row r="58" spans="5:19" x14ac:dyDescent="0.25">
      <c r="H58" s="1" t="s">
        <v>75</v>
      </c>
      <c r="I58" s="1" t="s">
        <v>77</v>
      </c>
      <c r="J58" s="1" t="s">
        <v>76</v>
      </c>
      <c r="Q58" s="1" t="s">
        <v>151</v>
      </c>
      <c r="R58" s="1" t="s">
        <v>67</v>
      </c>
      <c r="S58" s="1" t="s">
        <v>152</v>
      </c>
    </row>
    <row r="59" spans="5:19" x14ac:dyDescent="0.25">
      <c r="H59" s="1" t="s">
        <v>76</v>
      </c>
      <c r="I59" s="1" t="s">
        <v>78</v>
      </c>
      <c r="J59" s="1" t="s">
        <v>18</v>
      </c>
      <c r="Q59" s="1" t="s">
        <v>152</v>
      </c>
      <c r="R59" s="1" t="s">
        <v>154</v>
      </c>
      <c r="S59" s="1" t="s">
        <v>153</v>
      </c>
    </row>
    <row r="60" spans="5:19" x14ac:dyDescent="0.25">
      <c r="H60" s="1" t="s">
        <v>77</v>
      </c>
      <c r="I60" s="1" t="s">
        <v>18</v>
      </c>
      <c r="J60" s="1" t="s">
        <v>78</v>
      </c>
      <c r="Q60" s="1" t="s">
        <v>153</v>
      </c>
      <c r="R60" s="1" t="s">
        <v>155</v>
      </c>
      <c r="S60" s="1" t="s">
        <v>18</v>
      </c>
    </row>
    <row r="61" spans="5:19" x14ac:dyDescent="0.25">
      <c r="H61" s="1" t="s">
        <v>78</v>
      </c>
      <c r="I61" s="1" t="s">
        <v>80</v>
      </c>
      <c r="J61" s="1" t="s">
        <v>79</v>
      </c>
      <c r="Q61" s="1" t="s">
        <v>60</v>
      </c>
      <c r="R61" s="1" t="s">
        <v>157</v>
      </c>
      <c r="S61" s="1" t="s">
        <v>61</v>
      </c>
    </row>
    <row r="62" spans="5:19" x14ac:dyDescent="0.25">
      <c r="H62" s="1" t="s">
        <v>79</v>
      </c>
      <c r="I62" s="1" t="s">
        <v>81</v>
      </c>
      <c r="J62" s="1" t="s">
        <v>18</v>
      </c>
      <c r="Q62" s="1" t="s">
        <v>61</v>
      </c>
      <c r="R62" s="1" t="s">
        <v>156</v>
      </c>
      <c r="S62" s="1" t="s">
        <v>62</v>
      </c>
    </row>
    <row r="63" spans="5:19" x14ac:dyDescent="0.25">
      <c r="H63" s="1" t="s">
        <v>80</v>
      </c>
      <c r="I63" s="1" t="s">
        <v>18</v>
      </c>
      <c r="J63" s="1" t="s">
        <v>81</v>
      </c>
      <c r="Q63" s="1" t="s">
        <v>62</v>
      </c>
      <c r="R63" s="1" t="s">
        <v>158</v>
      </c>
      <c r="S63" s="1" t="s">
        <v>63</v>
      </c>
    </row>
    <row r="64" spans="5:19" x14ac:dyDescent="0.25">
      <c r="H64" s="1" t="s">
        <v>81</v>
      </c>
      <c r="I64" s="1" t="s">
        <v>83</v>
      </c>
      <c r="J64" s="1" t="s">
        <v>82</v>
      </c>
      <c r="Q64" s="1" t="s">
        <v>63</v>
      </c>
      <c r="R64" s="1" t="s">
        <v>159</v>
      </c>
      <c r="S64" s="1" t="s">
        <v>64</v>
      </c>
    </row>
    <row r="65" spans="8:19" x14ac:dyDescent="0.25">
      <c r="H65" s="1" t="s">
        <v>82</v>
      </c>
      <c r="I65" s="1" t="s">
        <v>84</v>
      </c>
      <c r="J65" s="1" t="s">
        <v>18</v>
      </c>
      <c r="Q65" s="1" t="s">
        <v>64</v>
      </c>
      <c r="R65" s="1" t="s">
        <v>160</v>
      </c>
      <c r="S65" s="1" t="s">
        <v>65</v>
      </c>
    </row>
    <row r="66" spans="8:19" x14ac:dyDescent="0.25">
      <c r="H66" s="1" t="s">
        <v>83</v>
      </c>
      <c r="I66" s="1" t="s">
        <v>18</v>
      </c>
      <c r="J66" s="1" t="s">
        <v>84</v>
      </c>
      <c r="Q66" s="1" t="s">
        <v>65</v>
      </c>
      <c r="R66" s="1" t="s">
        <v>161</v>
      </c>
      <c r="S66" s="1" t="s">
        <v>66</v>
      </c>
    </row>
    <row r="67" spans="8:19" x14ac:dyDescent="0.25">
      <c r="H67" s="1" t="s">
        <v>84</v>
      </c>
      <c r="I67" s="1" t="s">
        <v>86</v>
      </c>
      <c r="J67" s="1" t="s">
        <v>85</v>
      </c>
      <c r="Q67" s="1" t="s">
        <v>66</v>
      </c>
      <c r="R67" s="1" t="s">
        <v>68</v>
      </c>
      <c r="S67" s="1" t="s">
        <v>67</v>
      </c>
    </row>
    <row r="68" spans="8:19" x14ac:dyDescent="0.25">
      <c r="H68" s="1" t="s">
        <v>85</v>
      </c>
      <c r="I68" s="1" t="s">
        <v>87</v>
      </c>
      <c r="J68" s="1" t="s">
        <v>18</v>
      </c>
      <c r="Q68" s="1" t="s">
        <v>67</v>
      </c>
      <c r="R68" s="1" t="s">
        <v>69</v>
      </c>
      <c r="S68" s="1" t="s">
        <v>154</v>
      </c>
    </row>
    <row r="69" spans="8:19" x14ac:dyDescent="0.25">
      <c r="H69" s="1" t="s">
        <v>86</v>
      </c>
      <c r="I69" s="1" t="s">
        <v>18</v>
      </c>
      <c r="J69" s="1" t="s">
        <v>87</v>
      </c>
      <c r="Q69" s="1" t="s">
        <v>154</v>
      </c>
      <c r="R69" s="1" t="s">
        <v>70</v>
      </c>
      <c r="S69" s="1" t="s">
        <v>155</v>
      </c>
    </row>
    <row r="70" spans="8:19" x14ac:dyDescent="0.25">
      <c r="H70" s="1" t="s">
        <v>87</v>
      </c>
      <c r="I70" s="1" t="s">
        <v>89</v>
      </c>
      <c r="J70" s="1" t="s">
        <v>88</v>
      </c>
      <c r="Q70" s="1" t="s">
        <v>155</v>
      </c>
      <c r="R70" s="1" t="s">
        <v>162</v>
      </c>
      <c r="S70" s="1" t="s">
        <v>18</v>
      </c>
    </row>
    <row r="71" spans="8:19" x14ac:dyDescent="0.25">
      <c r="H71" s="1" t="s">
        <v>88</v>
      </c>
      <c r="I71" s="1" t="s">
        <v>90</v>
      </c>
      <c r="J71" s="1" t="s">
        <v>18</v>
      </c>
      <c r="Q71" s="1" t="s">
        <v>157</v>
      </c>
      <c r="R71" s="1" t="s">
        <v>163</v>
      </c>
      <c r="S71" s="1" t="s">
        <v>156</v>
      </c>
    </row>
    <row r="72" spans="8:19" x14ac:dyDescent="0.25">
      <c r="H72" s="1" t="s">
        <v>89</v>
      </c>
      <c r="I72" s="1" t="s">
        <v>18</v>
      </c>
      <c r="J72" s="1" t="s">
        <v>90</v>
      </c>
      <c r="Q72" s="1" t="s">
        <v>156</v>
      </c>
      <c r="R72" s="1" t="s">
        <v>164</v>
      </c>
      <c r="S72" s="1" t="s">
        <v>158</v>
      </c>
    </row>
    <row r="73" spans="8:19" x14ac:dyDescent="0.25">
      <c r="H73" s="1" t="s">
        <v>90</v>
      </c>
      <c r="I73" s="1" t="s">
        <v>92</v>
      </c>
      <c r="J73" s="1" t="s">
        <v>91</v>
      </c>
      <c r="Q73" s="1" t="s">
        <v>158</v>
      </c>
      <c r="R73" s="1" t="s">
        <v>165</v>
      </c>
      <c r="S73" s="1" t="s">
        <v>159</v>
      </c>
    </row>
    <row r="74" spans="8:19" x14ac:dyDescent="0.25">
      <c r="H74" s="1" t="s">
        <v>91</v>
      </c>
      <c r="I74" s="1" t="s">
        <v>17</v>
      </c>
      <c r="J74" s="1" t="s">
        <v>18</v>
      </c>
      <c r="Q74" s="1" t="s">
        <v>159</v>
      </c>
      <c r="R74" s="1" t="s">
        <v>166</v>
      </c>
      <c r="S74" s="1" t="s">
        <v>160</v>
      </c>
    </row>
    <row r="75" spans="8:19" x14ac:dyDescent="0.25">
      <c r="H75" s="1" t="s">
        <v>92</v>
      </c>
      <c r="I75" s="1" t="s">
        <v>18</v>
      </c>
      <c r="J75" s="1" t="s">
        <v>17</v>
      </c>
      <c r="Q75" s="1" t="s">
        <v>160</v>
      </c>
      <c r="R75" s="1" t="s">
        <v>167</v>
      </c>
      <c r="S75" s="1" t="s">
        <v>161</v>
      </c>
    </row>
    <row r="76" spans="8:19" x14ac:dyDescent="0.25">
      <c r="H76" s="1" t="s">
        <v>17</v>
      </c>
      <c r="I76" s="1" t="s">
        <v>94</v>
      </c>
      <c r="J76" s="1" t="s">
        <v>93</v>
      </c>
      <c r="Q76" s="1" t="s">
        <v>161</v>
      </c>
      <c r="R76" s="1" t="s">
        <v>168</v>
      </c>
      <c r="S76" s="1" t="s">
        <v>68</v>
      </c>
    </row>
    <row r="77" spans="8:19" x14ac:dyDescent="0.25">
      <c r="H77" s="1" t="s">
        <v>93</v>
      </c>
      <c r="I77" s="1" t="s">
        <v>95</v>
      </c>
      <c r="J77" s="1" t="s">
        <v>18</v>
      </c>
      <c r="Q77" s="1" t="s">
        <v>68</v>
      </c>
      <c r="R77" s="1" t="s">
        <v>169</v>
      </c>
      <c r="S77" s="1" t="s">
        <v>69</v>
      </c>
    </row>
    <row r="78" spans="8:19" x14ac:dyDescent="0.25">
      <c r="H78" s="1" t="s">
        <v>94</v>
      </c>
      <c r="I78" s="1" t="s">
        <v>18</v>
      </c>
      <c r="J78" s="1" t="s">
        <v>95</v>
      </c>
      <c r="Q78" s="1" t="s">
        <v>69</v>
      </c>
      <c r="R78" s="1" t="s">
        <v>71</v>
      </c>
      <c r="S78" s="1" t="s">
        <v>70</v>
      </c>
    </row>
    <row r="79" spans="8:19" x14ac:dyDescent="0.25">
      <c r="H79" s="1" t="s">
        <v>95</v>
      </c>
      <c r="I79" s="1" t="s">
        <v>97</v>
      </c>
      <c r="J79" s="1" t="s">
        <v>96</v>
      </c>
      <c r="Q79" s="1" t="s">
        <v>70</v>
      </c>
      <c r="R79" s="1" t="s">
        <v>72</v>
      </c>
      <c r="S79" s="1" t="s">
        <v>162</v>
      </c>
    </row>
    <row r="80" spans="8:19" x14ac:dyDescent="0.25">
      <c r="H80" s="1" t="s">
        <v>96</v>
      </c>
      <c r="I80" s="1" t="s">
        <v>98</v>
      </c>
      <c r="J80" s="1" t="s">
        <v>18</v>
      </c>
      <c r="Q80" s="1" t="s">
        <v>162</v>
      </c>
      <c r="R80" s="1" t="s">
        <v>73</v>
      </c>
      <c r="S80" s="1" t="s">
        <v>18</v>
      </c>
    </row>
    <row r="81" spans="8:19" x14ac:dyDescent="0.25">
      <c r="H81" s="1" t="s">
        <v>97</v>
      </c>
      <c r="I81" s="1" t="s">
        <v>18</v>
      </c>
      <c r="J81" s="1" t="s">
        <v>98</v>
      </c>
      <c r="Q81" s="1" t="s">
        <v>163</v>
      </c>
      <c r="R81" s="1" t="s">
        <v>170</v>
      </c>
      <c r="S81" s="1" t="s">
        <v>164</v>
      </c>
    </row>
    <row r="82" spans="8:19" x14ac:dyDescent="0.25">
      <c r="H82" s="1" t="s">
        <v>98</v>
      </c>
      <c r="I82" s="1" t="s">
        <v>100</v>
      </c>
      <c r="J82" s="1" t="s">
        <v>99</v>
      </c>
      <c r="Q82" s="1" t="s">
        <v>164</v>
      </c>
      <c r="R82" s="1" t="s">
        <v>171</v>
      </c>
      <c r="S82" s="1" t="s">
        <v>165</v>
      </c>
    </row>
    <row r="83" spans="8:19" x14ac:dyDescent="0.25">
      <c r="H83" s="1" t="s">
        <v>99</v>
      </c>
      <c r="I83" s="1" t="s">
        <v>101</v>
      </c>
      <c r="J83" s="1" t="s">
        <v>18</v>
      </c>
      <c r="Q83" s="1" t="s">
        <v>165</v>
      </c>
      <c r="R83" s="1" t="s">
        <v>172</v>
      </c>
      <c r="S83" s="1" t="s">
        <v>166</v>
      </c>
    </row>
    <row r="84" spans="8:19" x14ac:dyDescent="0.25">
      <c r="H84" s="1" t="s">
        <v>100</v>
      </c>
      <c r="I84" s="1" t="s">
        <v>18</v>
      </c>
      <c r="J84" s="1" t="s">
        <v>101</v>
      </c>
      <c r="Q84" s="1" t="s">
        <v>166</v>
      </c>
      <c r="R84" s="1" t="s">
        <v>173</v>
      </c>
      <c r="S84" s="1" t="s">
        <v>167</v>
      </c>
    </row>
    <row r="85" spans="8:19" x14ac:dyDescent="0.25">
      <c r="H85" s="1" t="s">
        <v>101</v>
      </c>
      <c r="I85" s="1" t="s">
        <v>103</v>
      </c>
      <c r="J85" s="1" t="s">
        <v>102</v>
      </c>
      <c r="Q85" s="1" t="s">
        <v>167</v>
      </c>
      <c r="R85" s="1" t="s">
        <v>174</v>
      </c>
      <c r="S85" s="1" t="s">
        <v>168</v>
      </c>
    </row>
    <row r="86" spans="8:19" x14ac:dyDescent="0.25">
      <c r="H86" s="1" t="s">
        <v>102</v>
      </c>
      <c r="I86" s="1" t="s">
        <v>104</v>
      </c>
      <c r="J86" s="1" t="s">
        <v>18</v>
      </c>
      <c r="Q86" s="1" t="s">
        <v>168</v>
      </c>
      <c r="R86" s="1" t="s">
        <v>175</v>
      </c>
      <c r="S86" s="1" t="s">
        <v>169</v>
      </c>
    </row>
    <row r="87" spans="8:19" x14ac:dyDescent="0.25">
      <c r="H87" s="1" t="s">
        <v>103</v>
      </c>
      <c r="I87" s="1" t="s">
        <v>18</v>
      </c>
      <c r="J87" s="1" t="s">
        <v>104</v>
      </c>
      <c r="Q87" s="1" t="s">
        <v>169</v>
      </c>
      <c r="R87" s="1" t="s">
        <v>176</v>
      </c>
      <c r="S87" s="1" t="s">
        <v>71</v>
      </c>
    </row>
    <row r="88" spans="8:19" x14ac:dyDescent="0.25">
      <c r="H88" s="1" t="s">
        <v>104</v>
      </c>
      <c r="I88" s="1" t="s">
        <v>106</v>
      </c>
      <c r="J88" s="1" t="s">
        <v>105</v>
      </c>
      <c r="Q88" s="1" t="s">
        <v>71</v>
      </c>
      <c r="R88" s="1" t="s">
        <v>177</v>
      </c>
      <c r="S88" s="1" t="s">
        <v>72</v>
      </c>
    </row>
    <row r="89" spans="8:19" x14ac:dyDescent="0.25">
      <c r="H89" s="1" t="s">
        <v>105</v>
      </c>
      <c r="I89" s="1" t="s">
        <v>107</v>
      </c>
      <c r="J89" s="1" t="s">
        <v>18</v>
      </c>
      <c r="Q89" s="1" t="s">
        <v>72</v>
      </c>
      <c r="R89" s="1" t="s">
        <v>74</v>
      </c>
      <c r="S89" s="1" t="s">
        <v>73</v>
      </c>
    </row>
    <row r="90" spans="8:19" x14ac:dyDescent="0.25">
      <c r="H90" s="1" t="s">
        <v>106</v>
      </c>
      <c r="I90" s="1" t="s">
        <v>18</v>
      </c>
      <c r="J90" s="1" t="s">
        <v>107</v>
      </c>
      <c r="Q90" s="1" t="s">
        <v>73</v>
      </c>
      <c r="R90" s="1" t="s">
        <v>75</v>
      </c>
      <c r="S90" s="1" t="s">
        <v>18</v>
      </c>
    </row>
    <row r="91" spans="8:19" x14ac:dyDescent="0.25">
      <c r="H91" s="1" t="s">
        <v>107</v>
      </c>
      <c r="I91" s="1" t="s">
        <v>109</v>
      </c>
      <c r="J91" s="1" t="s">
        <v>108</v>
      </c>
      <c r="Q91" s="1" t="s">
        <v>170</v>
      </c>
      <c r="R91" s="1" t="s">
        <v>18</v>
      </c>
      <c r="S91" s="1" t="s">
        <v>171</v>
      </c>
    </row>
    <row r="92" spans="8:19" x14ac:dyDescent="0.25">
      <c r="H92" s="1" t="s">
        <v>108</v>
      </c>
      <c r="I92" s="1" t="s">
        <v>110</v>
      </c>
      <c r="J92" s="1" t="s">
        <v>18</v>
      </c>
      <c r="Q92" s="1" t="s">
        <v>171</v>
      </c>
      <c r="R92" s="1" t="s">
        <v>18</v>
      </c>
      <c r="S92" s="1" t="s">
        <v>172</v>
      </c>
    </row>
    <row r="93" spans="8:19" x14ac:dyDescent="0.25">
      <c r="H93" s="1" t="s">
        <v>109</v>
      </c>
      <c r="I93" s="1" t="s">
        <v>18</v>
      </c>
      <c r="J93" s="1" t="s">
        <v>110</v>
      </c>
      <c r="Q93" s="1" t="s">
        <v>172</v>
      </c>
      <c r="R93" s="1" t="s">
        <v>18</v>
      </c>
      <c r="S93" s="1" t="s">
        <v>173</v>
      </c>
    </row>
    <row r="94" spans="8:19" x14ac:dyDescent="0.25">
      <c r="H94" s="1" t="s">
        <v>110</v>
      </c>
      <c r="I94" s="1" t="s">
        <v>112</v>
      </c>
      <c r="J94" s="1" t="s">
        <v>111</v>
      </c>
      <c r="Q94" s="1" t="s">
        <v>173</v>
      </c>
      <c r="R94" s="1" t="s">
        <v>18</v>
      </c>
      <c r="S94" s="1" t="s">
        <v>174</v>
      </c>
    </row>
    <row r="95" spans="8:19" x14ac:dyDescent="0.25">
      <c r="H95" s="1" t="s">
        <v>111</v>
      </c>
      <c r="I95" s="1" t="s">
        <v>113</v>
      </c>
      <c r="J95" s="1" t="s">
        <v>18</v>
      </c>
      <c r="Q95" s="1" t="s">
        <v>174</v>
      </c>
      <c r="R95" s="1" t="s">
        <v>18</v>
      </c>
      <c r="S95" s="1" t="s">
        <v>175</v>
      </c>
    </row>
    <row r="96" spans="8:19" x14ac:dyDescent="0.25">
      <c r="Q96" s="1" t="s">
        <v>175</v>
      </c>
      <c r="R96" s="1" t="s">
        <v>18</v>
      </c>
      <c r="S96" s="1" t="s">
        <v>176</v>
      </c>
    </row>
    <row r="97" spans="17:19" x14ac:dyDescent="0.25">
      <c r="Q97" s="1" t="s">
        <v>176</v>
      </c>
      <c r="R97" s="1" t="s">
        <v>18</v>
      </c>
      <c r="S97" s="1" t="s">
        <v>177</v>
      </c>
    </row>
    <row r="98" spans="17:19" x14ac:dyDescent="0.25">
      <c r="Q98" s="1" t="s">
        <v>177</v>
      </c>
      <c r="R98" s="1" t="s">
        <v>18</v>
      </c>
      <c r="S98" s="1" t="s">
        <v>74</v>
      </c>
    </row>
    <row r="99" spans="17:19" x14ac:dyDescent="0.25">
      <c r="Q99" s="1" t="s">
        <v>74</v>
      </c>
      <c r="R99" s="1" t="s">
        <v>18</v>
      </c>
      <c r="S99" s="1" t="s">
        <v>75</v>
      </c>
    </row>
    <row r="100" spans="17:19" x14ac:dyDescent="0.25">
      <c r="Q100" s="1" t="s">
        <v>75</v>
      </c>
      <c r="R100" s="1" t="s">
        <v>77</v>
      </c>
      <c r="S100" s="1" t="s">
        <v>76</v>
      </c>
    </row>
    <row r="101" spans="17:19" x14ac:dyDescent="0.25">
      <c r="Q101" s="1" t="s">
        <v>76</v>
      </c>
      <c r="R101" s="1" t="s">
        <v>78</v>
      </c>
      <c r="S101" s="1" t="s">
        <v>18</v>
      </c>
    </row>
    <row r="102" spans="17:19" x14ac:dyDescent="0.25">
      <c r="Q102" s="1" t="s">
        <v>77</v>
      </c>
      <c r="R102" s="1" t="s">
        <v>18</v>
      </c>
      <c r="S102" s="1" t="s">
        <v>78</v>
      </c>
    </row>
    <row r="103" spans="17:19" x14ac:dyDescent="0.25">
      <c r="Q103" s="1" t="s">
        <v>78</v>
      </c>
      <c r="R103" s="1" t="s">
        <v>80</v>
      </c>
      <c r="S103" s="1" t="s">
        <v>79</v>
      </c>
    </row>
    <row r="104" spans="17:19" x14ac:dyDescent="0.25">
      <c r="Q104" s="1" t="s">
        <v>79</v>
      </c>
      <c r="R104" s="1" t="s">
        <v>81</v>
      </c>
      <c r="S104" s="1" t="s">
        <v>18</v>
      </c>
    </row>
    <row r="105" spans="17:19" x14ac:dyDescent="0.25">
      <c r="Q105" s="1" t="s">
        <v>80</v>
      </c>
      <c r="R105" s="1" t="s">
        <v>18</v>
      </c>
      <c r="S105" s="1" t="s">
        <v>81</v>
      </c>
    </row>
    <row r="106" spans="17:19" x14ac:dyDescent="0.25">
      <c r="Q106" s="1" t="s">
        <v>81</v>
      </c>
      <c r="R106" s="1" t="s">
        <v>83</v>
      </c>
      <c r="S106" s="1" t="s">
        <v>82</v>
      </c>
    </row>
    <row r="107" spans="17:19" x14ac:dyDescent="0.25">
      <c r="Q107" s="1" t="s">
        <v>82</v>
      </c>
      <c r="R107" s="1" t="s">
        <v>84</v>
      </c>
      <c r="S107" s="1" t="s">
        <v>18</v>
      </c>
    </row>
    <row r="108" spans="17:19" x14ac:dyDescent="0.25">
      <c r="Q108" s="1" t="s">
        <v>83</v>
      </c>
      <c r="R108" s="1" t="s">
        <v>18</v>
      </c>
      <c r="S108" s="1" t="s">
        <v>84</v>
      </c>
    </row>
    <row r="109" spans="17:19" x14ac:dyDescent="0.25">
      <c r="Q109" s="1" t="s">
        <v>84</v>
      </c>
      <c r="R109" s="1" t="s">
        <v>86</v>
      </c>
      <c r="S109" s="1" t="s">
        <v>85</v>
      </c>
    </row>
    <row r="110" spans="17:19" x14ac:dyDescent="0.25">
      <c r="Q110" s="1" t="s">
        <v>85</v>
      </c>
      <c r="R110" s="1" t="s">
        <v>87</v>
      </c>
      <c r="S110" s="1" t="s">
        <v>18</v>
      </c>
    </row>
    <row r="111" spans="17:19" x14ac:dyDescent="0.25">
      <c r="Q111" s="1" t="s">
        <v>86</v>
      </c>
      <c r="R111" s="1" t="s">
        <v>18</v>
      </c>
      <c r="S111" s="1" t="s">
        <v>87</v>
      </c>
    </row>
    <row r="112" spans="17:19" x14ac:dyDescent="0.25">
      <c r="Q112" s="1" t="s">
        <v>87</v>
      </c>
      <c r="R112" s="1" t="s">
        <v>89</v>
      </c>
      <c r="S112" s="1" t="s">
        <v>88</v>
      </c>
    </row>
    <row r="113" spans="17:19" x14ac:dyDescent="0.25">
      <c r="Q113" s="1" t="s">
        <v>88</v>
      </c>
      <c r="R113" s="1" t="s">
        <v>90</v>
      </c>
      <c r="S113" s="1" t="s">
        <v>18</v>
      </c>
    </row>
    <row r="114" spans="17:19" x14ac:dyDescent="0.25">
      <c r="Q114" s="1" t="s">
        <v>89</v>
      </c>
      <c r="R114" s="1" t="s">
        <v>18</v>
      </c>
      <c r="S114" s="1" t="s">
        <v>90</v>
      </c>
    </row>
    <row r="115" spans="17:19" x14ac:dyDescent="0.25">
      <c r="Q115" s="1" t="s">
        <v>90</v>
      </c>
      <c r="R115" s="1" t="s">
        <v>92</v>
      </c>
      <c r="S115" s="1" t="s">
        <v>91</v>
      </c>
    </row>
    <row r="116" spans="17:19" x14ac:dyDescent="0.25">
      <c r="Q116" s="1" t="s">
        <v>91</v>
      </c>
      <c r="R116" s="1" t="s">
        <v>17</v>
      </c>
      <c r="S116" s="1" t="s">
        <v>18</v>
      </c>
    </row>
    <row r="117" spans="17:19" x14ac:dyDescent="0.25">
      <c r="Q117" s="1" t="s">
        <v>92</v>
      </c>
      <c r="R117" s="1" t="s">
        <v>18</v>
      </c>
      <c r="S117" s="1" t="s">
        <v>17</v>
      </c>
    </row>
    <row r="118" spans="17:19" x14ac:dyDescent="0.25">
      <c r="Q118" s="1" t="s">
        <v>17</v>
      </c>
      <c r="R118" s="1" t="s">
        <v>94</v>
      </c>
      <c r="S118" s="1" t="s">
        <v>93</v>
      </c>
    </row>
    <row r="119" spans="17:19" x14ac:dyDescent="0.25">
      <c r="Q119" s="1" t="s">
        <v>93</v>
      </c>
      <c r="R119" s="1" t="s">
        <v>95</v>
      </c>
      <c r="S119" s="1" t="s">
        <v>18</v>
      </c>
    </row>
    <row r="120" spans="17:19" x14ac:dyDescent="0.25">
      <c r="Q120" s="1" t="s">
        <v>94</v>
      </c>
      <c r="R120" s="1" t="s">
        <v>18</v>
      </c>
      <c r="S120" s="1" t="s">
        <v>95</v>
      </c>
    </row>
    <row r="121" spans="17:19" x14ac:dyDescent="0.25">
      <c r="Q121" s="1" t="s">
        <v>95</v>
      </c>
      <c r="R121" s="1" t="s">
        <v>97</v>
      </c>
      <c r="S121" s="1" t="s">
        <v>96</v>
      </c>
    </row>
    <row r="122" spans="17:19" x14ac:dyDescent="0.25">
      <c r="Q122" s="1" t="s">
        <v>96</v>
      </c>
      <c r="R122" s="1" t="s">
        <v>98</v>
      </c>
      <c r="S122" s="1" t="s">
        <v>18</v>
      </c>
    </row>
    <row r="123" spans="17:19" x14ac:dyDescent="0.25">
      <c r="Q123" s="1" t="s">
        <v>97</v>
      </c>
      <c r="R123" s="1" t="s">
        <v>18</v>
      </c>
      <c r="S123" s="1" t="s">
        <v>98</v>
      </c>
    </row>
    <row r="124" spans="17:19" x14ac:dyDescent="0.25">
      <c r="Q124" s="1" t="s">
        <v>98</v>
      </c>
      <c r="R124" s="1" t="s">
        <v>100</v>
      </c>
      <c r="S124" s="1" t="s">
        <v>99</v>
      </c>
    </row>
    <row r="125" spans="17:19" x14ac:dyDescent="0.25">
      <c r="Q125" s="1" t="s">
        <v>99</v>
      </c>
      <c r="R125" s="1" t="s">
        <v>101</v>
      </c>
      <c r="S125" s="1" t="s">
        <v>18</v>
      </c>
    </row>
    <row r="126" spans="17:19" x14ac:dyDescent="0.25">
      <c r="Q126" s="1" t="s">
        <v>100</v>
      </c>
      <c r="R126" s="1" t="s">
        <v>18</v>
      </c>
      <c r="S126" s="1" t="s">
        <v>101</v>
      </c>
    </row>
    <row r="127" spans="17:19" x14ac:dyDescent="0.25">
      <c r="Q127" s="1" t="s">
        <v>101</v>
      </c>
      <c r="R127" s="1" t="s">
        <v>103</v>
      </c>
      <c r="S127" s="1" t="s">
        <v>102</v>
      </c>
    </row>
    <row r="128" spans="17:19" x14ac:dyDescent="0.25">
      <c r="Q128" s="1" t="s">
        <v>102</v>
      </c>
      <c r="R128" s="1" t="s">
        <v>104</v>
      </c>
      <c r="S128" s="1" t="s">
        <v>18</v>
      </c>
    </row>
    <row r="129" spans="17:19" x14ac:dyDescent="0.25">
      <c r="Q129" s="1" t="s">
        <v>103</v>
      </c>
      <c r="R129" s="1" t="s">
        <v>18</v>
      </c>
      <c r="S129" s="1" t="s">
        <v>104</v>
      </c>
    </row>
    <row r="130" spans="17:19" x14ac:dyDescent="0.25">
      <c r="Q130" s="1" t="s">
        <v>104</v>
      </c>
      <c r="R130" s="1" t="s">
        <v>106</v>
      </c>
      <c r="S130" s="1" t="s">
        <v>105</v>
      </c>
    </row>
    <row r="131" spans="17:19" x14ac:dyDescent="0.25">
      <c r="Q131" s="1" t="s">
        <v>105</v>
      </c>
      <c r="R131" s="1" t="s">
        <v>107</v>
      </c>
      <c r="S131" s="1" t="s">
        <v>18</v>
      </c>
    </row>
    <row r="132" spans="17:19" x14ac:dyDescent="0.25">
      <c r="Q132" s="1" t="s">
        <v>106</v>
      </c>
      <c r="R132" s="1" t="s">
        <v>18</v>
      </c>
      <c r="S132" s="1" t="s">
        <v>107</v>
      </c>
    </row>
    <row r="133" spans="17:19" x14ac:dyDescent="0.25">
      <c r="Q133" s="1" t="s">
        <v>107</v>
      </c>
      <c r="R133" s="1" t="s">
        <v>109</v>
      </c>
      <c r="S133" s="1" t="s">
        <v>108</v>
      </c>
    </row>
    <row r="134" spans="17:19" x14ac:dyDescent="0.25">
      <c r="Q134" s="1" t="s">
        <v>108</v>
      </c>
      <c r="R134" s="1" t="s">
        <v>110</v>
      </c>
      <c r="S134" s="1" t="s">
        <v>18</v>
      </c>
    </row>
    <row r="135" spans="17:19" x14ac:dyDescent="0.25">
      <c r="Q135" s="1" t="s">
        <v>109</v>
      </c>
      <c r="R135" s="1" t="s">
        <v>18</v>
      </c>
      <c r="S135" s="1" t="s">
        <v>110</v>
      </c>
    </row>
    <row r="136" spans="17:19" x14ac:dyDescent="0.25">
      <c r="Q136" s="1" t="s">
        <v>110</v>
      </c>
      <c r="R136" s="1" t="s">
        <v>112</v>
      </c>
      <c r="S136" s="1" t="s">
        <v>111</v>
      </c>
    </row>
    <row r="137" spans="17:19" x14ac:dyDescent="0.25">
      <c r="Q137" s="1" t="s">
        <v>111</v>
      </c>
      <c r="R137" s="1" t="s">
        <v>113</v>
      </c>
      <c r="S137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7:P500"/>
  <sheetViews>
    <sheetView topLeftCell="A7" workbookViewId="0">
      <selection activeCell="P28" sqref="P28"/>
    </sheetView>
  </sheetViews>
  <sheetFormatPr defaultRowHeight="15" x14ac:dyDescent="0.25"/>
  <sheetData>
    <row r="17" spans="1:16" x14ac:dyDescent="0.25">
      <c r="A17" t="s">
        <v>114</v>
      </c>
      <c r="B17" t="s">
        <v>115</v>
      </c>
      <c r="C17" t="s">
        <v>116</v>
      </c>
      <c r="D17" t="s">
        <v>117</v>
      </c>
      <c r="E17" t="s">
        <v>118</v>
      </c>
      <c r="F17" t="s">
        <v>119</v>
      </c>
      <c r="G17" t="s">
        <v>120</v>
      </c>
      <c r="H17" t="s">
        <v>121</v>
      </c>
      <c r="I17" t="s">
        <v>122</v>
      </c>
      <c r="J17" t="s">
        <v>123</v>
      </c>
      <c r="K17" t="s">
        <v>124</v>
      </c>
      <c r="L17" t="s">
        <v>125</v>
      </c>
      <c r="M17" t="s">
        <v>128</v>
      </c>
      <c r="N17" t="s">
        <v>126</v>
      </c>
      <c r="O17" t="s">
        <v>127</v>
      </c>
      <c r="P17" t="s">
        <v>134</v>
      </c>
    </row>
    <row r="18" spans="1:16" x14ac:dyDescent="0.25">
      <c r="A18" t="e">
        <f>AND(#REF!=2, COUNTIF(Tables!L$1:L$4,#REF!))</f>
        <v>#REF!</v>
      </c>
      <c r="B18" t="e">
        <f>AND(#REF!=1, COUNTIF(Tables!L$1:L$4,#REF!))</f>
        <v>#REF!</v>
      </c>
      <c r="C18" t="e">
        <f>AND(A18,#REF!= 0)</f>
        <v>#REF!</v>
      </c>
      <c r="D18" t="e">
        <f>AND(B18,#REF!= 0)</f>
        <v>#REF!</v>
      </c>
      <c r="E18" t="e">
        <f>isNetPoint(#REF!)</f>
        <v>#VALUE!</v>
      </c>
      <c r="F18" t="e">
        <f>OR(#REF!=1,#REF!= 1)</f>
        <v>#REF!</v>
      </c>
      <c r="G18" t="e">
        <f>IF(#REF!=1,OR(E18="1",E18="3",F18=TRUE),OR(E18="2",E18="3"))</f>
        <v>#REF!</v>
      </c>
      <c r="H18" t="e">
        <f>IF(#REF!=2,OR(E18="1",E18="3",F18=TRUE),OR(E18="2",E18="3"))</f>
        <v>#REF!</v>
      </c>
      <c r="I18" t="e">
        <f>AND(G18=TRUE,#REF!=1)</f>
        <v>#REF!</v>
      </c>
      <c r="J18" t="e">
        <f>AND(H18=TRUE,#REF!=2)</f>
        <v>#REF!</v>
      </c>
      <c r="K18" t="e">
        <f>IF(#REF!=1,1,0)</f>
        <v>#REF!</v>
      </c>
      <c r="L18" t="e">
        <f>IF(#REF!=2,1,0)</f>
        <v>#REF!</v>
      </c>
      <c r="M18" t="e">
        <f>#REF!</f>
        <v>#REF!</v>
      </c>
      <c r="P18" t="e">
        <f>#REF!</f>
        <v>#REF!</v>
      </c>
    </row>
    <row r="19" spans="1:16" x14ac:dyDescent="0.25">
      <c r="A19" t="e">
        <f>AND(#REF!=2, COUNTIF(Tables!L$1:L$4,#REF!))</f>
        <v>#REF!</v>
      </c>
      <c r="B19" t="e">
        <f>AND(#REF!=1, COUNTIF(Tables!L$1:L$4,#REF!))</f>
        <v>#REF!</v>
      </c>
      <c r="C19" t="e">
        <f>AND(A19,#REF!= 0)</f>
        <v>#REF!</v>
      </c>
      <c r="D19" t="e">
        <f>AND(B19,#REF!= 0)</f>
        <v>#REF!</v>
      </c>
      <c r="E19" t="e">
        <f>isNetPoint(#REF!)</f>
        <v>#VALUE!</v>
      </c>
      <c r="F19" t="e">
        <f>OR(#REF!=1,#REF!= 1)</f>
        <v>#REF!</v>
      </c>
      <c r="G19" t="e">
        <f>IF(#REF!=1,OR(E19="1",E19="3",F19=TRUE),OR(E19="2",E19="3"))</f>
        <v>#REF!</v>
      </c>
      <c r="H19" t="e">
        <f>IF(#REF!=2,OR(E19="1",E19="3",F19=TRUE),OR(E19="2",E19="3"))</f>
        <v>#REF!</v>
      </c>
      <c r="I19" t="e">
        <f>AND(G19=TRUE,#REF!=1)</f>
        <v>#REF!</v>
      </c>
      <c r="J19" t="e">
        <f>AND(H19=TRUE,#REF!=2)</f>
        <v>#REF!</v>
      </c>
      <c r="K19" t="e">
        <f>IF(#REF!=1,K18+1,0)</f>
        <v>#REF!</v>
      </c>
      <c r="L19" t="e">
        <f>IF(#REF!=2,L18+1,0)</f>
        <v>#REF!</v>
      </c>
      <c r="M19" t="e">
        <f>#REF!</f>
        <v>#REF!</v>
      </c>
      <c r="P19" t="e">
        <f>#REF!</f>
        <v>#REF!</v>
      </c>
    </row>
    <row r="20" spans="1:16" x14ac:dyDescent="0.25">
      <c r="A20" t="e">
        <f>AND(#REF!=2, COUNTIF(Tables!L$1:L$4,#REF!))</f>
        <v>#REF!</v>
      </c>
      <c r="B20" t="e">
        <f>AND(#REF!=1, COUNTIF(Tables!L$1:L$4,#REF!))</f>
        <v>#REF!</v>
      </c>
      <c r="C20" t="e">
        <f>AND(A20,#REF!= 0)</f>
        <v>#REF!</v>
      </c>
      <c r="D20" t="e">
        <f>AND(B20,#REF!= 0)</f>
        <v>#REF!</v>
      </c>
      <c r="E20" t="e">
        <f>isNetPoint(#REF!)</f>
        <v>#VALUE!</v>
      </c>
      <c r="F20" t="e">
        <f>OR(#REF!=1,#REF!= 1)</f>
        <v>#REF!</v>
      </c>
      <c r="G20" t="e">
        <f>IF(#REF!=1,OR(E20="1",E20="3",F20=TRUE),OR(E20="2",E20="3"))</f>
        <v>#REF!</v>
      </c>
      <c r="H20" t="e">
        <f>IF(#REF!=2,OR(E20="1",E20="3",F20=TRUE),OR(E20="2",E20="3"))</f>
        <v>#REF!</v>
      </c>
      <c r="I20" t="e">
        <f>AND(G20=TRUE,#REF!=1)</f>
        <v>#REF!</v>
      </c>
      <c r="J20" t="e">
        <f>AND(H20=TRUE,#REF!=2)</f>
        <v>#REF!</v>
      </c>
      <c r="K20" t="e">
        <f>IF(#REF!=1,K19+1,0)</f>
        <v>#REF!</v>
      </c>
      <c r="L20" t="e">
        <f>IF(#REF!=2,L19+1,0)</f>
        <v>#REF!</v>
      </c>
      <c r="M20" t="e">
        <f>#REF!</f>
        <v>#REF!</v>
      </c>
      <c r="P20" t="e">
        <f>#REF!</f>
        <v>#REF!</v>
      </c>
    </row>
    <row r="21" spans="1:16" x14ac:dyDescent="0.25">
      <c r="A21" t="e">
        <f>AND(#REF!=2, COUNTIF(Tables!L$1:L$4,#REF!))</f>
        <v>#REF!</v>
      </c>
      <c r="B21" t="e">
        <f>AND(#REF!=1, COUNTIF(Tables!L$1:L$4,#REF!))</f>
        <v>#REF!</v>
      </c>
      <c r="C21" t="e">
        <f>AND(A21,#REF!= 0)</f>
        <v>#REF!</v>
      </c>
      <c r="D21" t="e">
        <f>AND(B21,#REF!= 0)</f>
        <v>#REF!</v>
      </c>
      <c r="E21" t="e">
        <f>isNetPoint(#REF!)</f>
        <v>#VALUE!</v>
      </c>
      <c r="F21" t="e">
        <f>OR(#REF!=1,#REF!= 1)</f>
        <v>#REF!</v>
      </c>
      <c r="G21" t="e">
        <f>IF(#REF!=1,OR(E21="1",E21="3",F21=TRUE),OR(E21="2",E21="3"))</f>
        <v>#REF!</v>
      </c>
      <c r="H21" t="e">
        <f>IF(#REF!=2,OR(E21="1",E21="3",F21=TRUE),OR(E21="2",E21="3"))</f>
        <v>#REF!</v>
      </c>
      <c r="I21" t="e">
        <f>AND(G21=TRUE,#REF!=1)</f>
        <v>#REF!</v>
      </c>
      <c r="J21" t="e">
        <f>AND(H21=TRUE,#REF!=2)</f>
        <v>#REF!</v>
      </c>
      <c r="K21" t="e">
        <f>IF(#REF!=1,K20+1,0)</f>
        <v>#REF!</v>
      </c>
      <c r="L21" t="e">
        <f>IF(#REF!=2,L20+1,0)</f>
        <v>#REF!</v>
      </c>
      <c r="M21" t="e">
        <f>#REF!</f>
        <v>#REF!</v>
      </c>
      <c r="P21" t="e">
        <f>#REF!</f>
        <v>#REF!</v>
      </c>
    </row>
    <row r="22" spans="1:16" x14ac:dyDescent="0.25">
      <c r="A22" t="e">
        <f>AND(#REF!=2, COUNTIF(Tables!L$1:L$4,#REF!))</f>
        <v>#REF!</v>
      </c>
      <c r="B22" t="e">
        <f>AND(#REF!=1, COUNTIF(Tables!L$1:L$4,#REF!))</f>
        <v>#REF!</v>
      </c>
      <c r="C22" t="e">
        <f>AND(A22,#REF!= 0)</f>
        <v>#REF!</v>
      </c>
      <c r="D22" t="e">
        <f>AND(B22,#REF!= 0)</f>
        <v>#REF!</v>
      </c>
      <c r="E22" t="e">
        <f>isNetPoint(#REF!)</f>
        <v>#VALUE!</v>
      </c>
      <c r="F22" t="e">
        <f>OR(#REF!=1,#REF!= 1)</f>
        <v>#REF!</v>
      </c>
      <c r="G22" t="e">
        <f>IF(#REF!=1,OR(E22="1",E22="3",F22=TRUE),OR(E22="2",E22="3"))</f>
        <v>#REF!</v>
      </c>
      <c r="H22" t="e">
        <f>IF(#REF!=2,OR(E22="1",E22="3",F22=TRUE),OR(E22="2",E22="3"))</f>
        <v>#REF!</v>
      </c>
      <c r="I22" t="e">
        <f>AND(G22=TRUE,#REF!=1)</f>
        <v>#REF!</v>
      </c>
      <c r="J22" t="e">
        <f>AND(H22=TRUE,#REF!=2)</f>
        <v>#REF!</v>
      </c>
      <c r="K22" t="e">
        <f>IF(#REF!=1,K21+1,0)</f>
        <v>#REF!</v>
      </c>
      <c r="L22" t="e">
        <f>IF(#REF!=2,L21+1,0)</f>
        <v>#REF!</v>
      </c>
      <c r="M22" t="e">
        <f>#REF!</f>
        <v>#REF!</v>
      </c>
      <c r="P22" t="e">
        <f>#REF!</f>
        <v>#REF!</v>
      </c>
    </row>
    <row r="23" spans="1:16" x14ac:dyDescent="0.25">
      <c r="A23" t="e">
        <f>AND(#REF!=2, COUNTIF(Tables!L$1:L$4,#REF!))</f>
        <v>#REF!</v>
      </c>
      <c r="B23" t="e">
        <f>AND(#REF!=1, COUNTIF(Tables!L$1:L$4,#REF!))</f>
        <v>#REF!</v>
      </c>
      <c r="C23" t="e">
        <f>AND(A23,#REF!= 0)</f>
        <v>#REF!</v>
      </c>
      <c r="D23" t="e">
        <f>AND(B23,#REF!= 0)</f>
        <v>#REF!</v>
      </c>
      <c r="E23" t="e">
        <f>isNetPoint(#REF!)</f>
        <v>#VALUE!</v>
      </c>
      <c r="F23" t="e">
        <f>OR(#REF!=1,#REF!= 1)</f>
        <v>#REF!</v>
      </c>
      <c r="G23" t="e">
        <f>IF(#REF!=1,OR(E23="1",E23="3",F23=TRUE),OR(E23="2",E23="3"))</f>
        <v>#REF!</v>
      </c>
      <c r="H23" t="e">
        <f>IF(#REF!=2,OR(E23="1",E23="3",F23=TRUE),OR(E23="2",E23="3"))</f>
        <v>#REF!</v>
      </c>
      <c r="I23" t="e">
        <f>AND(G23=TRUE,#REF!=1)</f>
        <v>#REF!</v>
      </c>
      <c r="J23" t="e">
        <f>AND(H23=TRUE,#REF!=2)</f>
        <v>#REF!</v>
      </c>
      <c r="K23" t="e">
        <f>IF(#REF!=1,K22+1,0)</f>
        <v>#REF!</v>
      </c>
      <c r="L23" t="e">
        <f>IF(#REF!=2,L22+1,0)</f>
        <v>#REF!</v>
      </c>
      <c r="M23" t="e">
        <f>#REF!</f>
        <v>#REF!</v>
      </c>
      <c r="P23" t="e">
        <f>#REF!</f>
        <v>#REF!</v>
      </c>
    </row>
    <row r="24" spans="1:16" x14ac:dyDescent="0.25">
      <c r="A24" t="e">
        <f>AND(#REF!=2, COUNTIF(Tables!L$1:L$4,#REF!))</f>
        <v>#REF!</v>
      </c>
      <c r="B24" t="e">
        <f>AND(#REF!=1, COUNTIF(Tables!L$1:L$4,#REF!))</f>
        <v>#REF!</v>
      </c>
      <c r="C24" t="e">
        <f>AND(A24,#REF!= 0)</f>
        <v>#REF!</v>
      </c>
      <c r="D24" t="e">
        <f>AND(B24,#REF!= 0)</f>
        <v>#REF!</v>
      </c>
      <c r="E24" t="e">
        <f>isNetPoint(#REF!)</f>
        <v>#VALUE!</v>
      </c>
      <c r="F24" t="e">
        <f>OR(#REF!=1,#REF!= 1)</f>
        <v>#REF!</v>
      </c>
      <c r="G24" t="e">
        <f>IF(#REF!=1,OR(E24="1",E24="3",F24=TRUE),OR(E24="2",E24="3"))</f>
        <v>#REF!</v>
      </c>
      <c r="H24" t="e">
        <f>IF(#REF!=2,OR(E24="1",E24="3",F24=TRUE),OR(E24="2",E24="3"))</f>
        <v>#REF!</v>
      </c>
      <c r="I24" t="e">
        <f>AND(G24=TRUE,#REF!=1)</f>
        <v>#REF!</v>
      </c>
      <c r="J24" t="e">
        <f>AND(H24=TRUE,#REF!=2)</f>
        <v>#REF!</v>
      </c>
      <c r="K24" t="e">
        <f>IF(#REF!=1,K23+1,0)</f>
        <v>#REF!</v>
      </c>
      <c r="L24" t="e">
        <f>IF(#REF!=2,L23+1,0)</f>
        <v>#REF!</v>
      </c>
      <c r="M24" t="e">
        <f>#REF!</f>
        <v>#REF!</v>
      </c>
      <c r="P24" t="e">
        <f>#REF!</f>
        <v>#REF!</v>
      </c>
    </row>
    <row r="25" spans="1:16" x14ac:dyDescent="0.25">
      <c r="A25" t="e">
        <f>AND(#REF!=2, COUNTIF(Tables!L$1:L$4,#REF!))</f>
        <v>#REF!</v>
      </c>
      <c r="B25" t="e">
        <f>AND(#REF!=1, COUNTIF(Tables!L$1:L$4,#REF!))</f>
        <v>#REF!</v>
      </c>
      <c r="C25" t="e">
        <f>AND(A25,#REF!= 0)</f>
        <v>#REF!</v>
      </c>
      <c r="D25" t="e">
        <f>AND(B25,#REF!= 0)</f>
        <v>#REF!</v>
      </c>
      <c r="E25" t="e">
        <f>isNetPoint(#REF!)</f>
        <v>#VALUE!</v>
      </c>
      <c r="F25" t="e">
        <f>OR(#REF!=1,#REF!= 1)</f>
        <v>#REF!</v>
      </c>
      <c r="G25" t="e">
        <f>IF(#REF!=1,OR(E25="1",E25="3",F25=TRUE),OR(E25="2",E25="3"))</f>
        <v>#REF!</v>
      </c>
      <c r="H25" t="e">
        <f>IF(#REF!=2,OR(E25="1",E25="3",F25=TRUE),OR(E25="2",E25="3"))</f>
        <v>#REF!</v>
      </c>
      <c r="I25" t="e">
        <f>AND(G25=TRUE,#REF!=1)</f>
        <v>#REF!</v>
      </c>
      <c r="J25" t="e">
        <f>AND(H25=TRUE,#REF!=2)</f>
        <v>#REF!</v>
      </c>
      <c r="K25" t="e">
        <f>IF(#REF!=1,K24+1,0)</f>
        <v>#REF!</v>
      </c>
      <c r="L25" t="e">
        <f>IF(#REF!=2,L24+1,0)</f>
        <v>#REF!</v>
      </c>
      <c r="M25" t="e">
        <f>#REF!</f>
        <v>#REF!</v>
      </c>
      <c r="P25" t="e">
        <f>#REF!</f>
        <v>#REF!</v>
      </c>
    </row>
    <row r="26" spans="1:16" x14ac:dyDescent="0.25">
      <c r="A26" t="e">
        <f>AND(#REF!=2, COUNTIF(Tables!L$1:L$4,#REF!))</f>
        <v>#REF!</v>
      </c>
      <c r="B26" t="e">
        <f>AND(#REF!=1, COUNTIF(Tables!L$1:L$4,#REF!))</f>
        <v>#REF!</v>
      </c>
      <c r="C26" t="e">
        <f>AND(A26,#REF!= 0)</f>
        <v>#REF!</v>
      </c>
      <c r="D26" t="e">
        <f>AND(B26,#REF!= 0)</f>
        <v>#REF!</v>
      </c>
      <c r="E26" t="e">
        <f>isNetPoint(#REF!)</f>
        <v>#VALUE!</v>
      </c>
      <c r="F26" t="e">
        <f>OR(#REF!=1,#REF!= 1)</f>
        <v>#REF!</v>
      </c>
      <c r="G26" t="e">
        <f>IF(#REF!=1,OR(E26="1",E26="3",F26=TRUE),OR(E26="2",E26="3"))</f>
        <v>#REF!</v>
      </c>
      <c r="H26" t="e">
        <f>IF(#REF!=2,OR(E26="1",E26="3",F26=TRUE),OR(E26="2",E26="3"))</f>
        <v>#REF!</v>
      </c>
      <c r="I26" t="e">
        <f>AND(G26=TRUE,#REF!=1)</f>
        <v>#REF!</v>
      </c>
      <c r="J26" t="e">
        <f>AND(H26=TRUE,#REF!=2)</f>
        <v>#REF!</v>
      </c>
      <c r="K26" t="e">
        <f>IF(#REF!=1,K25+1,0)</f>
        <v>#REF!</v>
      </c>
      <c r="L26" t="e">
        <f>IF(#REF!=2,L25+1,0)</f>
        <v>#REF!</v>
      </c>
      <c r="M26" t="e">
        <f>#REF!</f>
        <v>#REF!</v>
      </c>
      <c r="P26" t="e">
        <f>#REF!</f>
        <v>#REF!</v>
      </c>
    </row>
    <row r="27" spans="1:16" x14ac:dyDescent="0.25">
      <c r="A27" t="e">
        <f>AND(#REF!=2, COUNTIF(Tables!L$1:L$4,#REF!))</f>
        <v>#REF!</v>
      </c>
      <c r="B27" t="e">
        <f>AND(#REF!=1, COUNTIF(Tables!L$1:L$4,#REF!))</f>
        <v>#REF!</v>
      </c>
      <c r="C27" t="e">
        <f>AND(A27,#REF!= 0)</f>
        <v>#REF!</v>
      </c>
      <c r="D27" t="e">
        <f>AND(B27,#REF!= 0)</f>
        <v>#REF!</v>
      </c>
      <c r="E27" t="e">
        <f>isNetPoint(#REF!)</f>
        <v>#VALUE!</v>
      </c>
      <c r="F27" t="e">
        <f>OR(#REF!=1,#REF!= 1)</f>
        <v>#REF!</v>
      </c>
      <c r="G27" t="e">
        <f>IF(#REF!=1,OR(E27="1",E27="3",F27=TRUE),OR(E27="2",E27="3"))</f>
        <v>#REF!</v>
      </c>
      <c r="H27" t="e">
        <f>IF(#REF!=2,OR(E27="1",E27="3",F27=TRUE),OR(E27="2",E27="3"))</f>
        <v>#REF!</v>
      </c>
      <c r="I27" t="e">
        <f>AND(G27=TRUE,#REF!=1)</f>
        <v>#REF!</v>
      </c>
      <c r="J27" t="e">
        <f>AND(H27=TRUE,#REF!=2)</f>
        <v>#REF!</v>
      </c>
      <c r="K27" t="e">
        <f>IF(#REF!=1,K26+1,0)</f>
        <v>#REF!</v>
      </c>
      <c r="L27" t="e">
        <f>IF(#REF!=2,L26+1,0)</f>
        <v>#REF!</v>
      </c>
      <c r="M27" t="e">
        <f>#REF!</f>
        <v>#REF!</v>
      </c>
      <c r="N27" t="e">
        <f>COUNTIFS(#REF!, "=1")</f>
        <v>#REF!</v>
      </c>
      <c r="O27" t="e">
        <f>COUNTIFS(#REF!, "=2")</f>
        <v>#REF!</v>
      </c>
      <c r="P27" t="e">
        <f>#REF!</f>
        <v>#REF!</v>
      </c>
    </row>
    <row r="28" spans="1:16" x14ac:dyDescent="0.25">
      <c r="A28" t="e">
        <f>AND(#REF!=2, COUNTIF(Tables!L$1:L$4,#REF!))</f>
        <v>#REF!</v>
      </c>
      <c r="B28" t="e">
        <f>AND(#REF!=1, COUNTIF(Tables!L$1:L$4,#REF!))</f>
        <v>#REF!</v>
      </c>
      <c r="C28" t="e">
        <f>AND(A28,#REF!= 0)</f>
        <v>#REF!</v>
      </c>
      <c r="D28" t="e">
        <f>AND(B28,#REF!= 0)</f>
        <v>#REF!</v>
      </c>
      <c r="E28" t="e">
        <f>isNetPoint(#REF!)</f>
        <v>#VALUE!</v>
      </c>
      <c r="F28" t="e">
        <f>OR(#REF!=1,#REF!= 1)</f>
        <v>#REF!</v>
      </c>
      <c r="G28" t="e">
        <f>IF(#REF!=1,OR(E28="1",E28="3",F28=TRUE),OR(E28="2",E28="3"))</f>
        <v>#REF!</v>
      </c>
      <c r="H28" t="e">
        <f>IF(#REF!=2,OR(E28="1",E28="3",F28=TRUE),OR(E28="2",E28="3"))</f>
        <v>#REF!</v>
      </c>
      <c r="I28" t="e">
        <f>AND(G28=TRUE,#REF!=1)</f>
        <v>#REF!</v>
      </c>
      <c r="J28" t="e">
        <f>AND(H28=TRUE,#REF!=2)</f>
        <v>#REF!</v>
      </c>
      <c r="K28" t="e">
        <f>IF(#REF!=1,K27+1,0)</f>
        <v>#REF!</v>
      </c>
      <c r="L28" t="e">
        <f>IF(#REF!=2,L27+1,0)</f>
        <v>#REF!</v>
      </c>
      <c r="M28" t="e">
        <f>#REF!</f>
        <v>#REF!</v>
      </c>
      <c r="N28" t="e">
        <f>COUNTIFS(#REF!, "=1")</f>
        <v>#REF!</v>
      </c>
      <c r="O28" t="e">
        <f>COUNTIFS(#REF!, "=2")</f>
        <v>#REF!</v>
      </c>
      <c r="P28" t="e">
        <f>#REF!</f>
        <v>#REF!</v>
      </c>
    </row>
    <row r="29" spans="1:16" x14ac:dyDescent="0.25">
      <c r="A29" t="e">
        <f>AND(#REF!=2, COUNTIF(Tables!L$1:L$4,#REF!))</f>
        <v>#REF!</v>
      </c>
      <c r="B29" t="e">
        <f>AND(#REF!=1, COUNTIF(Tables!L$1:L$4,#REF!))</f>
        <v>#REF!</v>
      </c>
      <c r="C29" t="e">
        <f>AND(A29,#REF!= 0)</f>
        <v>#REF!</v>
      </c>
      <c r="D29" t="e">
        <f>AND(B29,#REF!= 0)</f>
        <v>#REF!</v>
      </c>
      <c r="E29" t="e">
        <f>isNetPoint(#REF!)</f>
        <v>#VALUE!</v>
      </c>
      <c r="F29" t="e">
        <f>OR(#REF!=1,#REF!= 1)</f>
        <v>#REF!</v>
      </c>
      <c r="G29" t="e">
        <f>IF(#REF!=1,OR(E29="1",E29="3",F29=TRUE),OR(E29="2",E29="3"))</f>
        <v>#REF!</v>
      </c>
      <c r="H29" t="e">
        <f>IF(#REF!=2,OR(E29="1",E29="3",F29=TRUE),OR(E29="2",E29="3"))</f>
        <v>#REF!</v>
      </c>
      <c r="I29" t="e">
        <f>AND(G29=TRUE,#REF!=1)</f>
        <v>#REF!</v>
      </c>
      <c r="J29" t="e">
        <f>AND(H29=TRUE,#REF!=2)</f>
        <v>#REF!</v>
      </c>
      <c r="K29" t="e">
        <f>IF(#REF!=1,K28+1,0)</f>
        <v>#REF!</v>
      </c>
      <c r="L29" t="e">
        <f>IF(#REF!=2,L28+1,0)</f>
        <v>#REF!</v>
      </c>
      <c r="M29" t="e">
        <f>#REF!</f>
        <v>#REF!</v>
      </c>
      <c r="N29" t="e">
        <f>COUNTIFS(#REF!, "=1")</f>
        <v>#REF!</v>
      </c>
      <c r="O29" t="e">
        <f>COUNTIFS(#REF!, "=2")</f>
        <v>#REF!</v>
      </c>
      <c r="P29" t="e">
        <f>#REF!</f>
        <v>#REF!</v>
      </c>
    </row>
    <row r="30" spans="1:16" x14ac:dyDescent="0.25">
      <c r="A30" t="e">
        <f>AND(#REF!=2, COUNTIF(Tables!L$1:L$4,#REF!))</f>
        <v>#REF!</v>
      </c>
      <c r="B30" t="e">
        <f>AND(#REF!=1, COUNTIF(Tables!L$1:L$4,#REF!))</f>
        <v>#REF!</v>
      </c>
      <c r="C30" t="e">
        <f>AND(A30,#REF!= 0)</f>
        <v>#REF!</v>
      </c>
      <c r="D30" t="e">
        <f>AND(B30,#REF!= 0)</f>
        <v>#REF!</v>
      </c>
      <c r="E30" t="e">
        <f>isNetPoint(#REF!)</f>
        <v>#VALUE!</v>
      </c>
      <c r="F30" t="e">
        <f>OR(#REF!=1,#REF!= 1)</f>
        <v>#REF!</v>
      </c>
      <c r="G30" t="e">
        <f>IF(#REF!=1,OR(E30="1",E30="3",F30=TRUE),OR(E30="2",E30="3"))</f>
        <v>#REF!</v>
      </c>
      <c r="H30" t="e">
        <f>IF(#REF!=2,OR(E30="1",E30="3",F30=TRUE),OR(E30="2",E30="3"))</f>
        <v>#REF!</v>
      </c>
      <c r="I30" t="e">
        <f>AND(G30=TRUE,#REF!=1)</f>
        <v>#REF!</v>
      </c>
      <c r="J30" t="e">
        <f>AND(H30=TRUE,#REF!=2)</f>
        <v>#REF!</v>
      </c>
      <c r="K30" t="e">
        <f>IF(#REF!=1,K29+1,0)</f>
        <v>#REF!</v>
      </c>
      <c r="L30" t="e">
        <f>IF(#REF!=2,L29+1,0)</f>
        <v>#REF!</v>
      </c>
      <c r="M30" t="e">
        <f>#REF!</f>
        <v>#REF!</v>
      </c>
      <c r="N30" t="e">
        <f>COUNTIFS(#REF!, "=1")</f>
        <v>#REF!</v>
      </c>
      <c r="O30" t="e">
        <f>COUNTIFS(#REF!, "=2")</f>
        <v>#REF!</v>
      </c>
      <c r="P30" t="e">
        <f>#REF!</f>
        <v>#REF!</v>
      </c>
    </row>
    <row r="31" spans="1:16" x14ac:dyDescent="0.25">
      <c r="A31" t="e">
        <f>AND(#REF!=2, COUNTIF(Tables!L$1:L$4,#REF!))</f>
        <v>#REF!</v>
      </c>
      <c r="B31" t="e">
        <f>AND(#REF!=1, COUNTIF(Tables!L$1:L$4,#REF!))</f>
        <v>#REF!</v>
      </c>
      <c r="C31" t="e">
        <f>AND(A31,#REF!= 0)</f>
        <v>#REF!</v>
      </c>
      <c r="D31" t="e">
        <f>AND(B31,#REF!= 0)</f>
        <v>#REF!</v>
      </c>
      <c r="E31" t="e">
        <f>isNetPoint(#REF!)</f>
        <v>#VALUE!</v>
      </c>
      <c r="F31" t="e">
        <f>OR(#REF!=1,#REF!= 1)</f>
        <v>#REF!</v>
      </c>
      <c r="G31" t="e">
        <f>IF(#REF!=1,OR(E31="1",E31="3",F31=TRUE),OR(E31="2",E31="3"))</f>
        <v>#REF!</v>
      </c>
      <c r="H31" t="e">
        <f>IF(#REF!=2,OR(E31="1",E31="3",F31=TRUE),OR(E31="2",E31="3"))</f>
        <v>#REF!</v>
      </c>
      <c r="I31" t="e">
        <f>AND(G31=TRUE,#REF!=1)</f>
        <v>#REF!</v>
      </c>
      <c r="J31" t="e">
        <f>AND(H31=TRUE,#REF!=2)</f>
        <v>#REF!</v>
      </c>
      <c r="K31" t="e">
        <f>IF(#REF!=1,K30+1,0)</f>
        <v>#REF!</v>
      </c>
      <c r="L31" t="e">
        <f>IF(#REF!=2,L30+1,0)</f>
        <v>#REF!</v>
      </c>
      <c r="M31" t="e">
        <f>#REF!</f>
        <v>#REF!</v>
      </c>
      <c r="N31" t="e">
        <f>COUNTIFS(#REF!, "=1")</f>
        <v>#REF!</v>
      </c>
      <c r="O31" t="e">
        <f>COUNTIFS(#REF!, "=2")</f>
        <v>#REF!</v>
      </c>
      <c r="P31" t="e">
        <f>#REF!</f>
        <v>#REF!</v>
      </c>
    </row>
    <row r="32" spans="1:16" x14ac:dyDescent="0.25">
      <c r="A32" t="e">
        <f>AND(#REF!=2, COUNTIF(Tables!L$1:L$4,#REF!))</f>
        <v>#REF!</v>
      </c>
      <c r="B32" t="e">
        <f>AND(#REF!=1, COUNTIF(Tables!L$1:L$4,#REF!))</f>
        <v>#REF!</v>
      </c>
      <c r="C32" t="e">
        <f>AND(A32,#REF!= 0)</f>
        <v>#REF!</v>
      </c>
      <c r="D32" t="e">
        <f>AND(B32,#REF!= 0)</f>
        <v>#REF!</v>
      </c>
      <c r="E32" t="e">
        <f>isNetPoint(#REF!)</f>
        <v>#VALUE!</v>
      </c>
      <c r="F32" t="e">
        <f>OR(#REF!=1,#REF!= 1)</f>
        <v>#REF!</v>
      </c>
      <c r="G32" t="e">
        <f>IF(#REF!=1,OR(E32="1",E32="3",F32=TRUE),OR(E32="2",E32="3"))</f>
        <v>#REF!</v>
      </c>
      <c r="H32" t="e">
        <f>IF(#REF!=2,OR(E32="1",E32="3",F32=TRUE),OR(E32="2",E32="3"))</f>
        <v>#REF!</v>
      </c>
      <c r="I32" t="e">
        <f>AND(G32=TRUE,#REF!=1)</f>
        <v>#REF!</v>
      </c>
      <c r="J32" t="e">
        <f>AND(H32=TRUE,#REF!=2)</f>
        <v>#REF!</v>
      </c>
      <c r="K32" t="e">
        <f>IF(#REF!=1,K31+1,0)</f>
        <v>#REF!</v>
      </c>
      <c r="L32" t="e">
        <f>IF(#REF!=2,L31+1,0)</f>
        <v>#REF!</v>
      </c>
      <c r="M32" t="e">
        <f>#REF!</f>
        <v>#REF!</v>
      </c>
      <c r="N32" t="e">
        <f>COUNTIFS(#REF!, "=1")</f>
        <v>#REF!</v>
      </c>
      <c r="O32" t="e">
        <f>COUNTIFS(#REF!, "=2")</f>
        <v>#REF!</v>
      </c>
      <c r="P32" t="e">
        <f>#REF!</f>
        <v>#REF!</v>
      </c>
    </row>
    <row r="33" spans="1:16" x14ac:dyDescent="0.25">
      <c r="A33" t="e">
        <f>AND(#REF!=2, COUNTIF(Tables!L$1:L$4,#REF!))</f>
        <v>#REF!</v>
      </c>
      <c r="B33" t="e">
        <f>AND(#REF!=1, COUNTIF(Tables!L$1:L$4,#REF!))</f>
        <v>#REF!</v>
      </c>
      <c r="C33" t="e">
        <f>AND(A33,#REF!= 0)</f>
        <v>#REF!</v>
      </c>
      <c r="D33" t="e">
        <f>AND(B33,#REF!= 0)</f>
        <v>#REF!</v>
      </c>
      <c r="E33" t="e">
        <f>isNetPoint(#REF!)</f>
        <v>#VALUE!</v>
      </c>
      <c r="F33" t="e">
        <f>OR(#REF!=1,#REF!= 1)</f>
        <v>#REF!</v>
      </c>
      <c r="G33" t="e">
        <f>IF(#REF!=1,OR(E33="1",E33="3",F33=TRUE),OR(E33="2",E33="3"))</f>
        <v>#REF!</v>
      </c>
      <c r="H33" t="e">
        <f>IF(#REF!=2,OR(E33="1",E33="3",F33=TRUE),OR(E33="2",E33="3"))</f>
        <v>#REF!</v>
      </c>
      <c r="I33" t="e">
        <f>AND(G33=TRUE,#REF!=1)</f>
        <v>#REF!</v>
      </c>
      <c r="J33" t="e">
        <f>AND(H33=TRUE,#REF!=2)</f>
        <v>#REF!</v>
      </c>
      <c r="K33" t="e">
        <f>IF(#REF!=1,K32+1,0)</f>
        <v>#REF!</v>
      </c>
      <c r="L33" t="e">
        <f>IF(#REF!=2,L32+1,0)</f>
        <v>#REF!</v>
      </c>
      <c r="M33" t="e">
        <f>#REF!</f>
        <v>#REF!</v>
      </c>
      <c r="N33" t="e">
        <f>COUNTIFS(#REF!, "=1")</f>
        <v>#REF!</v>
      </c>
      <c r="O33" t="e">
        <f>COUNTIFS(#REF!, "=2")</f>
        <v>#REF!</v>
      </c>
      <c r="P33" t="e">
        <f>#REF!</f>
        <v>#REF!</v>
      </c>
    </row>
    <row r="34" spans="1:16" x14ac:dyDescent="0.25">
      <c r="A34" t="e">
        <f>AND(#REF!=2, COUNTIF(Tables!L$1:L$4,#REF!))</f>
        <v>#REF!</v>
      </c>
      <c r="B34" t="e">
        <f>AND(#REF!=1, COUNTIF(Tables!L$1:L$4,#REF!))</f>
        <v>#REF!</v>
      </c>
      <c r="C34" t="e">
        <f>AND(A34,#REF!= 0)</f>
        <v>#REF!</v>
      </c>
      <c r="D34" t="e">
        <f>AND(B34,#REF!= 0)</f>
        <v>#REF!</v>
      </c>
      <c r="E34" t="e">
        <f>isNetPoint(#REF!)</f>
        <v>#VALUE!</v>
      </c>
      <c r="F34" t="e">
        <f>OR(#REF!=1,#REF!= 1)</f>
        <v>#REF!</v>
      </c>
      <c r="G34" t="e">
        <f>IF(#REF!=1,OR(E34="1",E34="3",F34=TRUE),OR(E34="2",E34="3"))</f>
        <v>#REF!</v>
      </c>
      <c r="H34" t="e">
        <f>IF(#REF!=2,OR(E34="1",E34="3",F34=TRUE),OR(E34="2",E34="3"))</f>
        <v>#REF!</v>
      </c>
      <c r="I34" t="e">
        <f>AND(G34=TRUE,#REF!=1)</f>
        <v>#REF!</v>
      </c>
      <c r="J34" t="e">
        <f>AND(H34=TRUE,#REF!=2)</f>
        <v>#REF!</v>
      </c>
      <c r="K34" t="e">
        <f>IF(#REF!=1,K33+1,0)</f>
        <v>#REF!</v>
      </c>
      <c r="L34" t="e">
        <f>IF(#REF!=2,L33+1,0)</f>
        <v>#REF!</v>
      </c>
      <c r="M34" t="e">
        <f>#REF!</f>
        <v>#REF!</v>
      </c>
      <c r="N34" t="e">
        <f>COUNTIFS(#REF!, "=1")</f>
        <v>#REF!</v>
      </c>
      <c r="O34" t="e">
        <f>COUNTIFS(#REF!, "=2")</f>
        <v>#REF!</v>
      </c>
      <c r="P34" t="e">
        <f>#REF!</f>
        <v>#REF!</v>
      </c>
    </row>
    <row r="35" spans="1:16" x14ac:dyDescent="0.25">
      <c r="A35" t="e">
        <f>AND(#REF!=2, COUNTIF(Tables!L$1:L$4,#REF!))</f>
        <v>#REF!</v>
      </c>
      <c r="B35" t="e">
        <f>AND(#REF!=1, COUNTIF(Tables!L$1:L$4,#REF!))</f>
        <v>#REF!</v>
      </c>
      <c r="C35" t="e">
        <f>AND(A35,#REF!= 0)</f>
        <v>#REF!</v>
      </c>
      <c r="D35" t="e">
        <f>AND(B35,#REF!= 0)</f>
        <v>#REF!</v>
      </c>
      <c r="E35" t="e">
        <f>isNetPoint(#REF!)</f>
        <v>#VALUE!</v>
      </c>
      <c r="F35" t="e">
        <f>OR(#REF!=1,#REF!= 1)</f>
        <v>#REF!</v>
      </c>
      <c r="G35" t="e">
        <f>IF(#REF!=1,OR(E35="1",E35="3",F35=TRUE),OR(E35="2",E35="3"))</f>
        <v>#REF!</v>
      </c>
      <c r="H35" t="e">
        <f>IF(#REF!=2,OR(E35="1",E35="3",F35=TRUE),OR(E35="2",E35="3"))</f>
        <v>#REF!</v>
      </c>
      <c r="I35" t="e">
        <f>AND(G35=TRUE,#REF!=1)</f>
        <v>#REF!</v>
      </c>
      <c r="J35" t="e">
        <f>AND(H35=TRUE,#REF!=2)</f>
        <v>#REF!</v>
      </c>
      <c r="K35" t="e">
        <f>IF(#REF!=1,K34+1,0)</f>
        <v>#REF!</v>
      </c>
      <c r="L35" t="e">
        <f>IF(#REF!=2,L34+1,0)</f>
        <v>#REF!</v>
      </c>
      <c r="M35" t="e">
        <f>#REF!</f>
        <v>#REF!</v>
      </c>
      <c r="N35" t="e">
        <f>COUNTIFS(#REF!, "=1")</f>
        <v>#REF!</v>
      </c>
      <c r="O35" t="e">
        <f>COUNTIFS(#REF!, "=2")</f>
        <v>#REF!</v>
      </c>
      <c r="P35" t="e">
        <f>#REF!</f>
        <v>#REF!</v>
      </c>
    </row>
    <row r="36" spans="1:16" x14ac:dyDescent="0.25">
      <c r="A36" t="e">
        <f>AND(#REF!=2, COUNTIF(Tables!L$1:L$4,#REF!))</f>
        <v>#REF!</v>
      </c>
      <c r="B36" t="e">
        <f>AND(#REF!=1, COUNTIF(Tables!L$1:L$4,#REF!))</f>
        <v>#REF!</v>
      </c>
      <c r="C36" t="e">
        <f>AND(A36,#REF!= 0)</f>
        <v>#REF!</v>
      </c>
      <c r="D36" t="e">
        <f>AND(B36,#REF!= 0)</f>
        <v>#REF!</v>
      </c>
      <c r="E36" t="e">
        <f>isNetPoint(#REF!)</f>
        <v>#VALUE!</v>
      </c>
      <c r="F36" t="e">
        <f>OR(#REF!=1,#REF!= 1)</f>
        <v>#REF!</v>
      </c>
      <c r="G36" t="e">
        <f>IF(#REF!=1,OR(E36="1",E36="3",F36=TRUE),OR(E36="2",E36="3"))</f>
        <v>#REF!</v>
      </c>
      <c r="H36" t="e">
        <f>IF(#REF!=2,OR(E36="1",E36="3",F36=TRUE),OR(E36="2",E36="3"))</f>
        <v>#REF!</v>
      </c>
      <c r="I36" t="e">
        <f>AND(G36=TRUE,#REF!=1)</f>
        <v>#REF!</v>
      </c>
      <c r="J36" t="e">
        <f>AND(H36=TRUE,#REF!=2)</f>
        <v>#REF!</v>
      </c>
      <c r="K36" t="e">
        <f>IF(#REF!=1,K35+1,0)</f>
        <v>#REF!</v>
      </c>
      <c r="L36" t="e">
        <f>IF(#REF!=2,L35+1,0)</f>
        <v>#REF!</v>
      </c>
      <c r="M36" t="e">
        <f>#REF!</f>
        <v>#REF!</v>
      </c>
      <c r="N36" t="e">
        <f>COUNTIFS(#REF!, "=1")</f>
        <v>#REF!</v>
      </c>
      <c r="O36" t="e">
        <f>COUNTIFS(#REF!, "=2")</f>
        <v>#REF!</v>
      </c>
      <c r="P36" t="e">
        <f>#REF!</f>
        <v>#REF!</v>
      </c>
    </row>
    <row r="37" spans="1:16" x14ac:dyDescent="0.25">
      <c r="A37" t="e">
        <f>AND(#REF!=2, COUNTIF(Tables!L$1:L$4,#REF!))</f>
        <v>#REF!</v>
      </c>
      <c r="B37" t="e">
        <f>AND(#REF!=1, COUNTIF(Tables!L$1:L$4,#REF!))</f>
        <v>#REF!</v>
      </c>
      <c r="C37" t="e">
        <f>AND(A37,#REF!= 0)</f>
        <v>#REF!</v>
      </c>
      <c r="D37" t="e">
        <f>AND(B37,#REF!= 0)</f>
        <v>#REF!</v>
      </c>
      <c r="E37" t="e">
        <f>isNetPoint(#REF!)</f>
        <v>#VALUE!</v>
      </c>
      <c r="F37" t="e">
        <f>OR(#REF!=1,#REF!= 1)</f>
        <v>#REF!</v>
      </c>
      <c r="G37" t="e">
        <f>IF(#REF!=1,OR(E37="1",E37="3",F37=TRUE),OR(E37="2",E37="3"))</f>
        <v>#REF!</v>
      </c>
      <c r="H37" t="e">
        <f>IF(#REF!=2,OR(E37="1",E37="3",F37=TRUE),OR(E37="2",E37="3"))</f>
        <v>#REF!</v>
      </c>
      <c r="I37" t="e">
        <f>AND(G37=TRUE,#REF!=1)</f>
        <v>#REF!</v>
      </c>
      <c r="J37" t="e">
        <f>AND(H37=TRUE,#REF!=2)</f>
        <v>#REF!</v>
      </c>
      <c r="K37" t="e">
        <f>IF(#REF!=1,K36+1,0)</f>
        <v>#REF!</v>
      </c>
      <c r="L37" t="e">
        <f>IF(#REF!=2,L36+1,0)</f>
        <v>#REF!</v>
      </c>
      <c r="M37" t="e">
        <f>#REF!</f>
        <v>#REF!</v>
      </c>
      <c r="N37" t="e">
        <f>COUNTIFS(#REF!, "=1")</f>
        <v>#REF!</v>
      </c>
      <c r="O37" t="e">
        <f>COUNTIFS(#REF!, "=2")</f>
        <v>#REF!</v>
      </c>
      <c r="P37" t="e">
        <f>#REF!</f>
        <v>#REF!</v>
      </c>
    </row>
    <row r="38" spans="1:16" x14ac:dyDescent="0.25">
      <c r="A38" t="e">
        <f>AND(#REF!=2, COUNTIF(Tables!L$1:L$4,#REF!))</f>
        <v>#REF!</v>
      </c>
      <c r="B38" t="e">
        <f>AND(#REF!=1, COUNTIF(Tables!L$1:L$4,#REF!))</f>
        <v>#REF!</v>
      </c>
      <c r="C38" t="e">
        <f>AND(A38,#REF!= 0)</f>
        <v>#REF!</v>
      </c>
      <c r="D38" t="e">
        <f>AND(B38,#REF!= 0)</f>
        <v>#REF!</v>
      </c>
      <c r="E38" t="e">
        <f>isNetPoint(#REF!)</f>
        <v>#VALUE!</v>
      </c>
      <c r="F38" t="e">
        <f>OR(#REF!=1,#REF!= 1)</f>
        <v>#REF!</v>
      </c>
      <c r="G38" t="e">
        <f>IF(#REF!=1,OR(E38="1",E38="3",F38=TRUE),OR(E38="2",E38="3"))</f>
        <v>#REF!</v>
      </c>
      <c r="H38" t="e">
        <f>IF(#REF!=2,OR(E38="1",E38="3",F38=TRUE),OR(E38="2",E38="3"))</f>
        <v>#REF!</v>
      </c>
      <c r="I38" t="e">
        <f>AND(G38=TRUE,#REF!=1)</f>
        <v>#REF!</v>
      </c>
      <c r="J38" t="e">
        <f>AND(H38=TRUE,#REF!=2)</f>
        <v>#REF!</v>
      </c>
      <c r="K38" t="e">
        <f>IF(#REF!=1,K37+1,0)</f>
        <v>#REF!</v>
      </c>
      <c r="L38" t="e">
        <f>IF(#REF!=2,L37+1,0)</f>
        <v>#REF!</v>
      </c>
      <c r="M38" t="e">
        <f>#REF!</f>
        <v>#REF!</v>
      </c>
      <c r="N38" t="e">
        <f>COUNTIFS(#REF!, "=1")</f>
        <v>#REF!</v>
      </c>
      <c r="O38" t="e">
        <f>COUNTIFS(#REF!, "=2")</f>
        <v>#REF!</v>
      </c>
      <c r="P38" t="e">
        <f>#REF!</f>
        <v>#REF!</v>
      </c>
    </row>
    <row r="39" spans="1:16" x14ac:dyDescent="0.25">
      <c r="A39" t="e">
        <f>AND(#REF!=2, COUNTIF(Tables!L$1:L$4,#REF!))</f>
        <v>#REF!</v>
      </c>
      <c r="B39" t="e">
        <f>AND(#REF!=1, COUNTIF(Tables!L$1:L$4,#REF!))</f>
        <v>#REF!</v>
      </c>
      <c r="C39" t="e">
        <f>AND(A39,#REF!= 0)</f>
        <v>#REF!</v>
      </c>
      <c r="D39" t="e">
        <f>AND(B39,#REF!= 0)</f>
        <v>#REF!</v>
      </c>
      <c r="E39" t="e">
        <f>isNetPoint(#REF!)</f>
        <v>#VALUE!</v>
      </c>
      <c r="F39" t="e">
        <f>OR(#REF!=1,#REF!= 1)</f>
        <v>#REF!</v>
      </c>
      <c r="G39" t="e">
        <f>IF(#REF!=1,OR(E39="1",E39="3",F39=TRUE),OR(E39="2",E39="3"))</f>
        <v>#REF!</v>
      </c>
      <c r="H39" t="e">
        <f>IF(#REF!=2,OR(E39="1",E39="3",F39=TRUE),OR(E39="2",E39="3"))</f>
        <v>#REF!</v>
      </c>
      <c r="I39" t="e">
        <f>AND(G39=TRUE,#REF!=1)</f>
        <v>#REF!</v>
      </c>
      <c r="J39" t="e">
        <f>AND(H39=TRUE,#REF!=2)</f>
        <v>#REF!</v>
      </c>
      <c r="K39" t="e">
        <f>IF(#REF!=1,K38+1,0)</f>
        <v>#REF!</v>
      </c>
      <c r="L39" t="e">
        <f>IF(#REF!=2,L38+1,0)</f>
        <v>#REF!</v>
      </c>
      <c r="M39" t="e">
        <f>#REF!</f>
        <v>#REF!</v>
      </c>
      <c r="N39" t="e">
        <f>COUNTIFS(#REF!, "=1")</f>
        <v>#REF!</v>
      </c>
      <c r="O39" t="e">
        <f>COUNTIFS(#REF!, "=2")</f>
        <v>#REF!</v>
      </c>
      <c r="P39" t="e">
        <f>#REF!</f>
        <v>#REF!</v>
      </c>
    </row>
    <row r="40" spans="1:16" x14ac:dyDescent="0.25">
      <c r="A40" t="e">
        <f>AND(#REF!=2, COUNTIF(Tables!L$1:L$4,#REF!))</f>
        <v>#REF!</v>
      </c>
      <c r="B40" t="e">
        <f>AND(#REF!=1, COUNTIF(Tables!L$1:L$4,#REF!))</f>
        <v>#REF!</v>
      </c>
      <c r="C40" t="e">
        <f>AND(A40,#REF!= 0)</f>
        <v>#REF!</v>
      </c>
      <c r="D40" t="e">
        <f>AND(B40,#REF!= 0)</f>
        <v>#REF!</v>
      </c>
      <c r="E40" t="e">
        <f>isNetPoint(#REF!)</f>
        <v>#VALUE!</v>
      </c>
      <c r="F40" t="e">
        <f>OR(#REF!=1,#REF!= 1)</f>
        <v>#REF!</v>
      </c>
      <c r="G40" t="e">
        <f>IF(#REF!=1,OR(E40="1",E40="3",F40=TRUE),OR(E40="2",E40="3"))</f>
        <v>#REF!</v>
      </c>
      <c r="H40" t="e">
        <f>IF(#REF!=2,OR(E40="1",E40="3",F40=TRUE),OR(E40="2",E40="3"))</f>
        <v>#REF!</v>
      </c>
      <c r="I40" t="e">
        <f>AND(G40=TRUE,#REF!=1)</f>
        <v>#REF!</v>
      </c>
      <c r="J40" t="e">
        <f>AND(H40=TRUE,#REF!=2)</f>
        <v>#REF!</v>
      </c>
      <c r="K40" t="e">
        <f>IF(#REF!=1,K39+1,0)</f>
        <v>#REF!</v>
      </c>
      <c r="L40" t="e">
        <f>IF(#REF!=2,L39+1,0)</f>
        <v>#REF!</v>
      </c>
      <c r="M40" t="e">
        <f>#REF!</f>
        <v>#REF!</v>
      </c>
      <c r="N40" t="e">
        <f>COUNTIFS(#REF!, "=1")</f>
        <v>#REF!</v>
      </c>
      <c r="O40" t="e">
        <f>COUNTIFS(#REF!, "=2")</f>
        <v>#REF!</v>
      </c>
      <c r="P40" t="e">
        <f>#REF!</f>
        <v>#REF!</v>
      </c>
    </row>
    <row r="41" spans="1:16" x14ac:dyDescent="0.25">
      <c r="A41" t="e">
        <f>AND(#REF!=2, COUNTIF(Tables!L$1:L$4,#REF!))</f>
        <v>#REF!</v>
      </c>
      <c r="B41" t="e">
        <f>AND(#REF!=1, COUNTIF(Tables!L$1:L$4,#REF!))</f>
        <v>#REF!</v>
      </c>
      <c r="C41" t="e">
        <f>AND(A41,#REF!= 0)</f>
        <v>#REF!</v>
      </c>
      <c r="D41" t="e">
        <f>AND(B41,#REF!= 0)</f>
        <v>#REF!</v>
      </c>
      <c r="E41" t="e">
        <f>isNetPoint(#REF!)</f>
        <v>#VALUE!</v>
      </c>
      <c r="F41" t="e">
        <f>OR(#REF!=1,#REF!= 1)</f>
        <v>#REF!</v>
      </c>
      <c r="G41" t="e">
        <f>IF(#REF!=1,OR(E41="1",E41="3",F41=TRUE),OR(E41="2",E41="3"))</f>
        <v>#REF!</v>
      </c>
      <c r="H41" t="e">
        <f>IF(#REF!=2,OR(E41="1",E41="3",F41=TRUE),OR(E41="2",E41="3"))</f>
        <v>#REF!</v>
      </c>
      <c r="I41" t="e">
        <f>AND(G41=TRUE,#REF!=1)</f>
        <v>#REF!</v>
      </c>
      <c r="J41" t="e">
        <f>AND(H41=TRUE,#REF!=2)</f>
        <v>#REF!</v>
      </c>
      <c r="K41" t="e">
        <f>IF(#REF!=1,K40+1,0)</f>
        <v>#REF!</v>
      </c>
      <c r="L41" t="e">
        <f>IF(#REF!=2,L40+1,0)</f>
        <v>#REF!</v>
      </c>
      <c r="M41" t="e">
        <f>#REF!</f>
        <v>#REF!</v>
      </c>
      <c r="N41" t="e">
        <f>COUNTIFS(#REF!, "=1")</f>
        <v>#REF!</v>
      </c>
      <c r="O41" t="e">
        <f>COUNTIFS(#REF!, "=2")</f>
        <v>#REF!</v>
      </c>
      <c r="P41" t="e">
        <f>#REF!</f>
        <v>#REF!</v>
      </c>
    </row>
    <row r="42" spans="1:16" x14ac:dyDescent="0.25">
      <c r="A42" t="e">
        <f>AND(#REF!=2, COUNTIF(Tables!L$1:L$4,#REF!))</f>
        <v>#REF!</v>
      </c>
      <c r="B42" t="e">
        <f>AND(#REF!=1, COUNTIF(Tables!L$1:L$4,#REF!))</f>
        <v>#REF!</v>
      </c>
      <c r="C42" t="e">
        <f>AND(A42,#REF!= 0)</f>
        <v>#REF!</v>
      </c>
      <c r="D42" t="e">
        <f>AND(B42,#REF!= 0)</f>
        <v>#REF!</v>
      </c>
      <c r="E42" t="e">
        <f>isNetPoint(#REF!)</f>
        <v>#VALUE!</v>
      </c>
      <c r="F42" t="e">
        <f>OR(#REF!=1,#REF!= 1)</f>
        <v>#REF!</v>
      </c>
      <c r="G42" t="e">
        <f>IF(#REF!=1,OR(E42="1",E42="3",F42=TRUE),OR(E42="2",E42="3"))</f>
        <v>#REF!</v>
      </c>
      <c r="H42" t="e">
        <f>IF(#REF!=2,OR(E42="1",E42="3",F42=TRUE),OR(E42="2",E42="3"))</f>
        <v>#REF!</v>
      </c>
      <c r="I42" t="e">
        <f>AND(G42=TRUE,#REF!=1)</f>
        <v>#REF!</v>
      </c>
      <c r="J42" t="e">
        <f>AND(H42=TRUE,#REF!=2)</f>
        <v>#REF!</v>
      </c>
      <c r="K42" t="e">
        <f>IF(#REF!=1,K41+1,0)</f>
        <v>#REF!</v>
      </c>
      <c r="L42" t="e">
        <f>IF(#REF!=2,L41+1,0)</f>
        <v>#REF!</v>
      </c>
      <c r="M42" t="e">
        <f>#REF!</f>
        <v>#REF!</v>
      </c>
      <c r="N42" t="e">
        <f>COUNTIFS(#REF!, "=1")</f>
        <v>#REF!</v>
      </c>
      <c r="O42" t="e">
        <f>COUNTIFS(#REF!, "=2")</f>
        <v>#REF!</v>
      </c>
      <c r="P42" t="e">
        <f>#REF!</f>
        <v>#REF!</v>
      </c>
    </row>
    <row r="43" spans="1:16" x14ac:dyDescent="0.25">
      <c r="A43" t="e">
        <f>AND(#REF!=2, COUNTIF(Tables!L$1:L$4,#REF!))</f>
        <v>#REF!</v>
      </c>
      <c r="B43" t="e">
        <f>AND(#REF!=1, COUNTIF(Tables!L$1:L$4,#REF!))</f>
        <v>#REF!</v>
      </c>
      <c r="C43" t="e">
        <f>AND(A43,#REF!= 0)</f>
        <v>#REF!</v>
      </c>
      <c r="D43" t="e">
        <f>AND(B43,#REF!= 0)</f>
        <v>#REF!</v>
      </c>
      <c r="E43" t="e">
        <f>isNetPoint(#REF!)</f>
        <v>#VALUE!</v>
      </c>
      <c r="F43" t="e">
        <f>OR(#REF!=1,#REF!= 1)</f>
        <v>#REF!</v>
      </c>
      <c r="G43" t="e">
        <f>IF(#REF!=1,OR(E43="1",E43="3",F43=TRUE),OR(E43="2",E43="3"))</f>
        <v>#REF!</v>
      </c>
      <c r="H43" t="e">
        <f>IF(#REF!=2,OR(E43="1",E43="3",F43=TRUE),OR(E43="2",E43="3"))</f>
        <v>#REF!</v>
      </c>
      <c r="I43" t="e">
        <f>AND(G43=TRUE,#REF!=1)</f>
        <v>#REF!</v>
      </c>
      <c r="J43" t="e">
        <f>AND(H43=TRUE,#REF!=2)</f>
        <v>#REF!</v>
      </c>
      <c r="K43" t="e">
        <f>IF(#REF!=1,K42+1,0)</f>
        <v>#REF!</v>
      </c>
      <c r="L43" t="e">
        <f>IF(#REF!=2,L42+1,0)</f>
        <v>#REF!</v>
      </c>
      <c r="M43" t="e">
        <f>#REF!</f>
        <v>#REF!</v>
      </c>
      <c r="N43" t="e">
        <f>COUNTIFS(#REF!, "=1")</f>
        <v>#REF!</v>
      </c>
      <c r="O43" t="e">
        <f>COUNTIFS(#REF!, "=2")</f>
        <v>#REF!</v>
      </c>
      <c r="P43" t="e">
        <f>#REF!</f>
        <v>#REF!</v>
      </c>
    </row>
    <row r="44" spans="1:16" x14ac:dyDescent="0.25">
      <c r="A44" t="e">
        <f>AND(#REF!=2, COUNTIF(Tables!L$1:L$4,#REF!))</f>
        <v>#REF!</v>
      </c>
      <c r="B44" t="e">
        <f>AND(#REF!=1, COUNTIF(Tables!L$1:L$4,#REF!))</f>
        <v>#REF!</v>
      </c>
      <c r="C44" t="e">
        <f>AND(A44,#REF!= 0)</f>
        <v>#REF!</v>
      </c>
      <c r="D44" t="e">
        <f>AND(B44,#REF!= 0)</f>
        <v>#REF!</v>
      </c>
      <c r="E44" t="e">
        <f>isNetPoint(#REF!)</f>
        <v>#VALUE!</v>
      </c>
      <c r="F44" t="e">
        <f>OR(#REF!=1,#REF!= 1)</f>
        <v>#REF!</v>
      </c>
      <c r="G44" t="e">
        <f>IF(#REF!=1,OR(E44="1",E44="3",F44=TRUE),OR(E44="2",E44="3"))</f>
        <v>#REF!</v>
      </c>
      <c r="H44" t="e">
        <f>IF(#REF!=2,OR(E44="1",E44="3",F44=TRUE),OR(E44="2",E44="3"))</f>
        <v>#REF!</v>
      </c>
      <c r="I44" t="e">
        <f>AND(G44=TRUE,#REF!=1)</f>
        <v>#REF!</v>
      </c>
      <c r="J44" t="e">
        <f>AND(H44=TRUE,#REF!=2)</f>
        <v>#REF!</v>
      </c>
      <c r="K44" t="e">
        <f>IF(#REF!=1,K43+1,0)</f>
        <v>#REF!</v>
      </c>
      <c r="L44" t="e">
        <f>IF(#REF!=2,L43+1,0)</f>
        <v>#REF!</v>
      </c>
      <c r="M44" t="e">
        <f>#REF!</f>
        <v>#REF!</v>
      </c>
      <c r="N44" t="e">
        <f>COUNTIFS(#REF!, "=1")</f>
        <v>#REF!</v>
      </c>
      <c r="O44" t="e">
        <f>COUNTIFS(#REF!, "=2")</f>
        <v>#REF!</v>
      </c>
      <c r="P44" t="e">
        <f>#REF!</f>
        <v>#REF!</v>
      </c>
    </row>
    <row r="45" spans="1:16" x14ac:dyDescent="0.25">
      <c r="A45" t="e">
        <f>AND(#REF!=2, COUNTIF(Tables!L$1:L$4,#REF!))</f>
        <v>#REF!</v>
      </c>
      <c r="B45" t="e">
        <f>AND(#REF!=1, COUNTIF(Tables!L$1:L$4,#REF!))</f>
        <v>#REF!</v>
      </c>
      <c r="C45" t="e">
        <f>AND(A45,#REF!= 0)</f>
        <v>#REF!</v>
      </c>
      <c r="D45" t="e">
        <f>AND(B45,#REF!= 0)</f>
        <v>#REF!</v>
      </c>
      <c r="E45" t="e">
        <f>isNetPoint(#REF!)</f>
        <v>#VALUE!</v>
      </c>
      <c r="F45" t="e">
        <f>OR(#REF!=1,#REF!= 1)</f>
        <v>#REF!</v>
      </c>
      <c r="G45" t="e">
        <f>IF(#REF!=1,OR(E45="1",E45="3",F45=TRUE),OR(E45="2",E45="3"))</f>
        <v>#REF!</v>
      </c>
      <c r="H45" t="e">
        <f>IF(#REF!=2,OR(E45="1",E45="3",F45=TRUE),OR(E45="2",E45="3"))</f>
        <v>#REF!</v>
      </c>
      <c r="I45" t="e">
        <f>AND(G45=TRUE,#REF!=1)</f>
        <v>#REF!</v>
      </c>
      <c r="J45" t="e">
        <f>AND(H45=TRUE,#REF!=2)</f>
        <v>#REF!</v>
      </c>
      <c r="K45" t="e">
        <f>IF(#REF!=1,K44+1,0)</f>
        <v>#REF!</v>
      </c>
      <c r="L45" t="e">
        <f>IF(#REF!=2,L44+1,0)</f>
        <v>#REF!</v>
      </c>
      <c r="M45" t="e">
        <f>#REF!</f>
        <v>#REF!</v>
      </c>
      <c r="N45" t="e">
        <f>COUNTIFS(#REF!, "=1")</f>
        <v>#REF!</v>
      </c>
      <c r="O45" t="e">
        <f>COUNTIFS(#REF!, "=2")</f>
        <v>#REF!</v>
      </c>
      <c r="P45" t="e">
        <f>#REF!</f>
        <v>#REF!</v>
      </c>
    </row>
    <row r="46" spans="1:16" x14ac:dyDescent="0.25">
      <c r="A46" t="e">
        <f>AND(#REF!=2, COUNTIF(Tables!L$1:L$4,#REF!))</f>
        <v>#REF!</v>
      </c>
      <c r="B46" t="e">
        <f>AND(#REF!=1, COUNTIF(Tables!L$1:L$4,#REF!))</f>
        <v>#REF!</v>
      </c>
      <c r="C46" t="e">
        <f>AND(A46,#REF!= 0)</f>
        <v>#REF!</v>
      </c>
      <c r="D46" t="e">
        <f>AND(B46,#REF!= 0)</f>
        <v>#REF!</v>
      </c>
      <c r="E46" t="e">
        <f>isNetPoint(#REF!)</f>
        <v>#VALUE!</v>
      </c>
      <c r="F46" t="e">
        <f>OR(#REF!=1,#REF!= 1)</f>
        <v>#REF!</v>
      </c>
      <c r="G46" t="e">
        <f>IF(#REF!=1,OR(E46="1",E46="3",F46=TRUE),OR(E46="2",E46="3"))</f>
        <v>#REF!</v>
      </c>
      <c r="H46" t="e">
        <f>IF(#REF!=2,OR(E46="1",E46="3",F46=TRUE),OR(E46="2",E46="3"))</f>
        <v>#REF!</v>
      </c>
      <c r="I46" t="e">
        <f>AND(G46=TRUE,#REF!=1)</f>
        <v>#REF!</v>
      </c>
      <c r="J46" t="e">
        <f>AND(H46=TRUE,#REF!=2)</f>
        <v>#REF!</v>
      </c>
      <c r="K46" t="e">
        <f>IF(#REF!=1,K45+1,0)</f>
        <v>#REF!</v>
      </c>
      <c r="L46" t="e">
        <f>IF(#REF!=2,L45+1,0)</f>
        <v>#REF!</v>
      </c>
      <c r="M46" t="e">
        <f>#REF!</f>
        <v>#REF!</v>
      </c>
      <c r="N46" t="e">
        <f>COUNTIFS(#REF!, "=1")</f>
        <v>#REF!</v>
      </c>
      <c r="O46" t="e">
        <f>COUNTIFS(#REF!, "=2")</f>
        <v>#REF!</v>
      </c>
      <c r="P46" t="e">
        <f>#REF!</f>
        <v>#REF!</v>
      </c>
    </row>
    <row r="47" spans="1:16" x14ac:dyDescent="0.25">
      <c r="A47" t="e">
        <f>AND(#REF!=2, COUNTIF(Tables!L$1:L$4,#REF!))</f>
        <v>#REF!</v>
      </c>
      <c r="B47" t="e">
        <f>AND(#REF!=1, COUNTIF(Tables!L$1:L$4,#REF!))</f>
        <v>#REF!</v>
      </c>
      <c r="C47" t="e">
        <f>AND(A47,#REF!= 0)</f>
        <v>#REF!</v>
      </c>
      <c r="D47" t="e">
        <f>AND(B47,#REF!= 0)</f>
        <v>#REF!</v>
      </c>
      <c r="E47" t="e">
        <f>isNetPoint(#REF!)</f>
        <v>#VALUE!</v>
      </c>
      <c r="F47" t="e">
        <f>OR(#REF!=1,#REF!= 1)</f>
        <v>#REF!</v>
      </c>
      <c r="G47" t="e">
        <f>IF(#REF!=1,OR(E47="1",E47="3",F47=TRUE),OR(E47="2",E47="3"))</f>
        <v>#REF!</v>
      </c>
      <c r="H47" t="e">
        <f>IF(#REF!=2,OR(E47="1",E47="3",F47=TRUE),OR(E47="2",E47="3"))</f>
        <v>#REF!</v>
      </c>
      <c r="I47" t="e">
        <f>AND(G47=TRUE,#REF!=1)</f>
        <v>#REF!</v>
      </c>
      <c r="J47" t="e">
        <f>AND(H47=TRUE,#REF!=2)</f>
        <v>#REF!</v>
      </c>
      <c r="K47" t="e">
        <f>IF(#REF!=1,K46+1,0)</f>
        <v>#REF!</v>
      </c>
      <c r="L47" t="e">
        <f>IF(#REF!=2,L46+1,0)</f>
        <v>#REF!</v>
      </c>
      <c r="M47" t="e">
        <f>#REF!</f>
        <v>#REF!</v>
      </c>
      <c r="N47" t="e">
        <f>COUNTIFS(#REF!, "=1")</f>
        <v>#REF!</v>
      </c>
      <c r="O47" t="e">
        <f>COUNTIFS(#REF!, "=2")</f>
        <v>#REF!</v>
      </c>
      <c r="P47" t="e">
        <f>#REF!</f>
        <v>#REF!</v>
      </c>
    </row>
    <row r="48" spans="1:16" x14ac:dyDescent="0.25">
      <c r="A48" t="e">
        <f>AND(#REF!=2, COUNTIF(Tables!L$1:L$4,#REF!))</f>
        <v>#REF!</v>
      </c>
      <c r="B48" t="e">
        <f>AND(#REF!=1, COUNTIF(Tables!L$1:L$4,#REF!))</f>
        <v>#REF!</v>
      </c>
      <c r="C48" t="e">
        <f>AND(A48,#REF!= 0)</f>
        <v>#REF!</v>
      </c>
      <c r="D48" t="e">
        <f>AND(B48,#REF!= 0)</f>
        <v>#REF!</v>
      </c>
      <c r="E48" t="e">
        <f>isNetPoint(#REF!)</f>
        <v>#VALUE!</v>
      </c>
      <c r="F48" t="e">
        <f>OR(#REF!=1,#REF!= 1)</f>
        <v>#REF!</v>
      </c>
      <c r="G48" t="e">
        <f>IF(#REF!=1,OR(E48="1",E48="3",F48=TRUE),OR(E48="2",E48="3"))</f>
        <v>#REF!</v>
      </c>
      <c r="H48" t="e">
        <f>IF(#REF!=2,OR(E48="1",E48="3",F48=TRUE),OR(E48="2",E48="3"))</f>
        <v>#REF!</v>
      </c>
      <c r="I48" t="e">
        <f>AND(G48=TRUE,#REF!=1)</f>
        <v>#REF!</v>
      </c>
      <c r="J48" t="e">
        <f>AND(H48=TRUE,#REF!=2)</f>
        <v>#REF!</v>
      </c>
      <c r="K48" t="e">
        <f>IF(#REF!=1,K47+1,0)</f>
        <v>#REF!</v>
      </c>
      <c r="L48" t="e">
        <f>IF(#REF!=2,L47+1,0)</f>
        <v>#REF!</v>
      </c>
      <c r="M48" t="e">
        <f>#REF!</f>
        <v>#REF!</v>
      </c>
      <c r="N48" t="e">
        <f>COUNTIFS(#REF!, "=1")</f>
        <v>#REF!</v>
      </c>
      <c r="O48" t="e">
        <f>COUNTIFS(#REF!, "=2")</f>
        <v>#REF!</v>
      </c>
      <c r="P48" t="e">
        <f>#REF!</f>
        <v>#REF!</v>
      </c>
    </row>
    <row r="49" spans="1:16" x14ac:dyDescent="0.25">
      <c r="A49" t="e">
        <f>AND(#REF!=2, COUNTIF(Tables!L$1:L$4,#REF!))</f>
        <v>#REF!</v>
      </c>
      <c r="B49" t="e">
        <f>AND(#REF!=1, COUNTIF(Tables!L$1:L$4,#REF!))</f>
        <v>#REF!</v>
      </c>
      <c r="C49" t="e">
        <f>AND(A49,#REF!= 0)</f>
        <v>#REF!</v>
      </c>
      <c r="D49" t="e">
        <f>AND(B49,#REF!= 0)</f>
        <v>#REF!</v>
      </c>
      <c r="E49" t="e">
        <f>isNetPoint(#REF!)</f>
        <v>#VALUE!</v>
      </c>
      <c r="F49" t="e">
        <f>OR(#REF!=1,#REF!= 1)</f>
        <v>#REF!</v>
      </c>
      <c r="G49" t="e">
        <f>IF(#REF!=1,OR(E49="1",E49="3",F49=TRUE),OR(E49="2",E49="3"))</f>
        <v>#REF!</v>
      </c>
      <c r="H49" t="e">
        <f>IF(#REF!=2,OR(E49="1",E49="3",F49=TRUE),OR(E49="2",E49="3"))</f>
        <v>#REF!</v>
      </c>
      <c r="I49" t="e">
        <f>AND(G49=TRUE,#REF!=1)</f>
        <v>#REF!</v>
      </c>
      <c r="J49" t="e">
        <f>AND(H49=TRUE,#REF!=2)</f>
        <v>#REF!</v>
      </c>
      <c r="K49" t="e">
        <f>IF(#REF!=1,K48+1,0)</f>
        <v>#REF!</v>
      </c>
      <c r="L49" t="e">
        <f>IF(#REF!=2,L48+1,0)</f>
        <v>#REF!</v>
      </c>
      <c r="M49" t="e">
        <f>#REF!</f>
        <v>#REF!</v>
      </c>
      <c r="N49" t="e">
        <f>COUNTIFS(#REF!, "=1")</f>
        <v>#REF!</v>
      </c>
      <c r="O49" t="e">
        <f>COUNTIFS(#REF!, "=2")</f>
        <v>#REF!</v>
      </c>
      <c r="P49" t="e">
        <f>#REF!</f>
        <v>#REF!</v>
      </c>
    </row>
    <row r="50" spans="1:16" x14ac:dyDescent="0.25">
      <c r="A50" t="e">
        <f>AND(#REF!=2, COUNTIF(Tables!L$1:L$4,#REF!))</f>
        <v>#REF!</v>
      </c>
      <c r="B50" t="e">
        <f>AND(#REF!=1, COUNTIF(Tables!L$1:L$4,#REF!))</f>
        <v>#REF!</v>
      </c>
      <c r="C50" t="e">
        <f>AND(A50,#REF!= 0)</f>
        <v>#REF!</v>
      </c>
      <c r="D50" t="e">
        <f>AND(B50,#REF!= 0)</f>
        <v>#REF!</v>
      </c>
      <c r="E50" t="e">
        <f>isNetPoint(#REF!)</f>
        <v>#VALUE!</v>
      </c>
      <c r="F50" t="e">
        <f>OR(#REF!=1,#REF!= 1)</f>
        <v>#REF!</v>
      </c>
      <c r="G50" t="e">
        <f>IF(#REF!=1,OR(E50="1",E50="3",F50=TRUE),OR(E50="2",E50="3"))</f>
        <v>#REF!</v>
      </c>
      <c r="H50" t="e">
        <f>IF(#REF!=2,OR(E50="1",E50="3",F50=TRUE),OR(E50="2",E50="3"))</f>
        <v>#REF!</v>
      </c>
      <c r="I50" t="e">
        <f>AND(G50=TRUE,#REF!=1)</f>
        <v>#REF!</v>
      </c>
      <c r="J50" t="e">
        <f>AND(H50=TRUE,#REF!=2)</f>
        <v>#REF!</v>
      </c>
      <c r="K50" t="e">
        <f>IF(#REF!=1,K49+1,0)</f>
        <v>#REF!</v>
      </c>
      <c r="L50" t="e">
        <f>IF(#REF!=2,L49+1,0)</f>
        <v>#REF!</v>
      </c>
      <c r="M50" t="e">
        <f>#REF!</f>
        <v>#REF!</v>
      </c>
      <c r="N50" t="e">
        <f>COUNTIFS(#REF!, "=1")</f>
        <v>#REF!</v>
      </c>
      <c r="O50" t="e">
        <f>COUNTIFS(#REF!, "=2")</f>
        <v>#REF!</v>
      </c>
      <c r="P50" t="e">
        <f>#REF!</f>
        <v>#REF!</v>
      </c>
    </row>
    <row r="51" spans="1:16" x14ac:dyDescent="0.25">
      <c r="A51" t="e">
        <f>AND(#REF!=2, COUNTIF(Tables!L$1:L$4,#REF!))</f>
        <v>#REF!</v>
      </c>
      <c r="B51" t="e">
        <f>AND(#REF!=1, COUNTIF(Tables!L$1:L$4,#REF!))</f>
        <v>#REF!</v>
      </c>
      <c r="C51" t="e">
        <f>AND(A51,#REF!= 0)</f>
        <v>#REF!</v>
      </c>
      <c r="D51" t="e">
        <f>AND(B51,#REF!= 0)</f>
        <v>#REF!</v>
      </c>
      <c r="E51" t="e">
        <f>isNetPoint(#REF!)</f>
        <v>#VALUE!</v>
      </c>
      <c r="F51" t="e">
        <f>OR(#REF!=1,#REF!= 1)</f>
        <v>#REF!</v>
      </c>
      <c r="G51" t="e">
        <f>IF(#REF!=1,OR(E51="1",E51="3",F51=TRUE),OR(E51="2",E51="3"))</f>
        <v>#REF!</v>
      </c>
      <c r="H51" t="e">
        <f>IF(#REF!=2,OR(E51="1",E51="3",F51=TRUE),OR(E51="2",E51="3"))</f>
        <v>#REF!</v>
      </c>
      <c r="I51" t="e">
        <f>AND(G51=TRUE,#REF!=1)</f>
        <v>#REF!</v>
      </c>
      <c r="J51" t="e">
        <f>AND(H51=TRUE,#REF!=2)</f>
        <v>#REF!</v>
      </c>
      <c r="K51" t="e">
        <f>IF(#REF!=1,K50+1,0)</f>
        <v>#REF!</v>
      </c>
      <c r="L51" t="e">
        <f>IF(#REF!=2,L50+1,0)</f>
        <v>#REF!</v>
      </c>
      <c r="M51" t="e">
        <f>#REF!</f>
        <v>#REF!</v>
      </c>
      <c r="N51" t="e">
        <f>COUNTIFS(#REF!, "=1")</f>
        <v>#REF!</v>
      </c>
      <c r="O51" t="e">
        <f>COUNTIFS(#REF!, "=2")</f>
        <v>#REF!</v>
      </c>
      <c r="P51" t="e">
        <f>#REF!</f>
        <v>#REF!</v>
      </c>
    </row>
    <row r="52" spans="1:16" x14ac:dyDescent="0.25">
      <c r="A52" t="e">
        <f>AND(#REF!=2, COUNTIF(Tables!L$1:L$4,#REF!))</f>
        <v>#REF!</v>
      </c>
      <c r="B52" t="e">
        <f>AND(#REF!=1, COUNTIF(Tables!L$1:L$4,#REF!))</f>
        <v>#REF!</v>
      </c>
      <c r="C52" t="e">
        <f>AND(A52,#REF!= 0)</f>
        <v>#REF!</v>
      </c>
      <c r="D52" t="e">
        <f>AND(B52,#REF!= 0)</f>
        <v>#REF!</v>
      </c>
      <c r="E52" t="e">
        <f>isNetPoint(#REF!)</f>
        <v>#VALUE!</v>
      </c>
      <c r="F52" t="e">
        <f>OR(#REF!=1,#REF!= 1)</f>
        <v>#REF!</v>
      </c>
      <c r="G52" t="e">
        <f>IF(#REF!=1,OR(E52="1",E52="3",F52=TRUE),OR(E52="2",E52="3"))</f>
        <v>#REF!</v>
      </c>
      <c r="H52" t="e">
        <f>IF(#REF!=2,OR(E52="1",E52="3",F52=TRUE),OR(E52="2",E52="3"))</f>
        <v>#REF!</v>
      </c>
      <c r="I52" t="e">
        <f>AND(G52=TRUE,#REF!=1)</f>
        <v>#REF!</v>
      </c>
      <c r="J52" t="e">
        <f>AND(H52=TRUE,#REF!=2)</f>
        <v>#REF!</v>
      </c>
      <c r="K52" t="e">
        <f>IF(#REF!=1,K51+1,0)</f>
        <v>#REF!</v>
      </c>
      <c r="L52" t="e">
        <f>IF(#REF!=2,L51+1,0)</f>
        <v>#REF!</v>
      </c>
      <c r="M52" t="e">
        <f>#REF!</f>
        <v>#REF!</v>
      </c>
      <c r="N52" t="e">
        <f>COUNTIFS(#REF!, "=1")</f>
        <v>#REF!</v>
      </c>
      <c r="O52" t="e">
        <f>COUNTIFS(#REF!, "=2")</f>
        <v>#REF!</v>
      </c>
      <c r="P52" t="e">
        <f>#REF!</f>
        <v>#REF!</v>
      </c>
    </row>
    <row r="53" spans="1:16" x14ac:dyDescent="0.25">
      <c r="A53" t="e">
        <f>AND(#REF!=2, COUNTIF(Tables!L$1:L$4,#REF!))</f>
        <v>#REF!</v>
      </c>
      <c r="B53" t="e">
        <f>AND(#REF!=1, COUNTIF(Tables!L$1:L$4,#REF!))</f>
        <v>#REF!</v>
      </c>
      <c r="C53" t="e">
        <f>AND(A53,#REF!= 0)</f>
        <v>#REF!</v>
      </c>
      <c r="D53" t="e">
        <f>AND(B53,#REF!= 0)</f>
        <v>#REF!</v>
      </c>
      <c r="E53" t="e">
        <f>isNetPoint(#REF!)</f>
        <v>#VALUE!</v>
      </c>
      <c r="F53" t="e">
        <f>OR(#REF!=1,#REF!= 1)</f>
        <v>#REF!</v>
      </c>
      <c r="G53" t="e">
        <f>IF(#REF!=1,OR(E53="1",E53="3",F53=TRUE),OR(E53="2",E53="3"))</f>
        <v>#REF!</v>
      </c>
      <c r="H53" t="e">
        <f>IF(#REF!=2,OR(E53="1",E53="3",F53=TRUE),OR(E53="2",E53="3"))</f>
        <v>#REF!</v>
      </c>
      <c r="I53" t="e">
        <f>AND(G53=TRUE,#REF!=1)</f>
        <v>#REF!</v>
      </c>
      <c r="J53" t="e">
        <f>AND(H53=TRUE,#REF!=2)</f>
        <v>#REF!</v>
      </c>
      <c r="K53" t="e">
        <f>IF(#REF!=1,K52+1,0)</f>
        <v>#REF!</v>
      </c>
      <c r="L53" t="e">
        <f>IF(#REF!=2,L52+1,0)</f>
        <v>#REF!</v>
      </c>
      <c r="M53" t="e">
        <f>#REF!</f>
        <v>#REF!</v>
      </c>
      <c r="N53" t="e">
        <f>COUNTIFS(#REF!, "=1")</f>
        <v>#REF!</v>
      </c>
      <c r="O53" t="e">
        <f>COUNTIFS(#REF!, "=2")</f>
        <v>#REF!</v>
      </c>
      <c r="P53" t="e">
        <f>#REF!</f>
        <v>#REF!</v>
      </c>
    </row>
    <row r="54" spans="1:16" x14ac:dyDescent="0.25">
      <c r="A54" t="e">
        <f>AND(#REF!=2, COUNTIF(Tables!L$1:L$4,#REF!))</f>
        <v>#REF!</v>
      </c>
      <c r="B54" t="e">
        <f>AND(#REF!=1, COUNTIF(Tables!L$1:L$4,#REF!))</f>
        <v>#REF!</v>
      </c>
      <c r="C54" t="e">
        <f>AND(A54,#REF!= 0)</f>
        <v>#REF!</v>
      </c>
      <c r="D54" t="e">
        <f>AND(B54,#REF!= 0)</f>
        <v>#REF!</v>
      </c>
      <c r="E54" t="e">
        <f>isNetPoint(#REF!)</f>
        <v>#VALUE!</v>
      </c>
      <c r="F54" t="e">
        <f>OR(#REF!=1,#REF!= 1)</f>
        <v>#REF!</v>
      </c>
      <c r="G54" t="e">
        <f>IF(#REF!=1,OR(E54="1",E54="3",F54=TRUE),OR(E54="2",E54="3"))</f>
        <v>#REF!</v>
      </c>
      <c r="H54" t="e">
        <f>IF(#REF!=2,OR(E54="1",E54="3",F54=TRUE),OR(E54="2",E54="3"))</f>
        <v>#REF!</v>
      </c>
      <c r="I54" t="e">
        <f>AND(G54=TRUE,#REF!=1)</f>
        <v>#REF!</v>
      </c>
      <c r="J54" t="e">
        <f>AND(H54=TRUE,#REF!=2)</f>
        <v>#REF!</v>
      </c>
      <c r="K54" t="e">
        <f>IF(#REF!=1,K53+1,0)</f>
        <v>#REF!</v>
      </c>
      <c r="L54" t="e">
        <f>IF(#REF!=2,L53+1,0)</f>
        <v>#REF!</v>
      </c>
      <c r="M54" t="e">
        <f>#REF!</f>
        <v>#REF!</v>
      </c>
      <c r="N54" t="e">
        <f>COUNTIFS(#REF!, "=1")</f>
        <v>#REF!</v>
      </c>
      <c r="O54" t="e">
        <f>COUNTIFS(#REF!, "=2")</f>
        <v>#REF!</v>
      </c>
      <c r="P54" t="e">
        <f>#REF!</f>
        <v>#REF!</v>
      </c>
    </row>
    <row r="55" spans="1:16" x14ac:dyDescent="0.25">
      <c r="A55" t="e">
        <f>AND(#REF!=2, COUNTIF(Tables!L$1:L$4,#REF!))</f>
        <v>#REF!</v>
      </c>
      <c r="B55" t="e">
        <f>AND(#REF!=1, COUNTIF(Tables!L$1:L$4,#REF!))</f>
        <v>#REF!</v>
      </c>
      <c r="C55" t="e">
        <f>AND(A55,#REF!= 0)</f>
        <v>#REF!</v>
      </c>
      <c r="D55" t="e">
        <f>AND(B55,#REF!= 0)</f>
        <v>#REF!</v>
      </c>
      <c r="E55" t="e">
        <f>isNetPoint(#REF!)</f>
        <v>#VALUE!</v>
      </c>
      <c r="F55" t="e">
        <f>OR(#REF!=1,#REF!= 1)</f>
        <v>#REF!</v>
      </c>
      <c r="G55" t="e">
        <f>IF(#REF!=1,OR(E55="1",E55="3",F55=TRUE),OR(E55="2",E55="3"))</f>
        <v>#REF!</v>
      </c>
      <c r="H55" t="e">
        <f>IF(#REF!=2,OR(E55="1",E55="3",F55=TRUE),OR(E55="2",E55="3"))</f>
        <v>#REF!</v>
      </c>
      <c r="I55" t="e">
        <f>AND(G55=TRUE,#REF!=1)</f>
        <v>#REF!</v>
      </c>
      <c r="J55" t="e">
        <f>AND(H55=TRUE,#REF!=2)</f>
        <v>#REF!</v>
      </c>
      <c r="K55" t="e">
        <f>IF(#REF!=1,K54+1,0)</f>
        <v>#REF!</v>
      </c>
      <c r="L55" t="e">
        <f>IF(#REF!=2,L54+1,0)</f>
        <v>#REF!</v>
      </c>
      <c r="M55" t="e">
        <f>#REF!</f>
        <v>#REF!</v>
      </c>
      <c r="N55" t="e">
        <f>COUNTIFS(#REF!, "=1")</f>
        <v>#REF!</v>
      </c>
      <c r="O55" t="e">
        <f>COUNTIFS(#REF!, "=2")</f>
        <v>#REF!</v>
      </c>
      <c r="P55" t="e">
        <f>#REF!</f>
        <v>#REF!</v>
      </c>
    </row>
    <row r="56" spans="1:16" x14ac:dyDescent="0.25">
      <c r="A56" t="e">
        <f>AND(#REF!=2, COUNTIF(Tables!L$1:L$4,#REF!))</f>
        <v>#REF!</v>
      </c>
      <c r="B56" t="e">
        <f>AND(#REF!=1, COUNTIF(Tables!L$1:L$4,#REF!))</f>
        <v>#REF!</v>
      </c>
      <c r="C56" t="e">
        <f>AND(A56,#REF!= 0)</f>
        <v>#REF!</v>
      </c>
      <c r="D56" t="e">
        <f>AND(B56,#REF!= 0)</f>
        <v>#REF!</v>
      </c>
      <c r="E56" t="e">
        <f>isNetPoint(#REF!)</f>
        <v>#VALUE!</v>
      </c>
      <c r="F56" t="e">
        <f>OR(#REF!=1,#REF!= 1)</f>
        <v>#REF!</v>
      </c>
      <c r="G56" t="e">
        <f>IF(#REF!=1,OR(E56="1",E56="3",F56=TRUE),OR(E56="2",E56="3"))</f>
        <v>#REF!</v>
      </c>
      <c r="H56" t="e">
        <f>IF(#REF!=2,OR(E56="1",E56="3",F56=TRUE),OR(E56="2",E56="3"))</f>
        <v>#REF!</v>
      </c>
      <c r="I56" t="e">
        <f>AND(G56=TRUE,#REF!=1)</f>
        <v>#REF!</v>
      </c>
      <c r="J56" t="e">
        <f>AND(H56=TRUE,#REF!=2)</f>
        <v>#REF!</v>
      </c>
      <c r="K56" t="e">
        <f>IF(#REF!=1,K55+1,0)</f>
        <v>#REF!</v>
      </c>
      <c r="L56" t="e">
        <f>IF(#REF!=2,L55+1,0)</f>
        <v>#REF!</v>
      </c>
      <c r="M56" t="e">
        <f>#REF!</f>
        <v>#REF!</v>
      </c>
      <c r="N56" t="e">
        <f>COUNTIFS(#REF!, "=1")</f>
        <v>#REF!</v>
      </c>
      <c r="O56" t="e">
        <f>COUNTIFS(#REF!, "=2")</f>
        <v>#REF!</v>
      </c>
      <c r="P56" t="e">
        <f>#REF!</f>
        <v>#REF!</v>
      </c>
    </row>
    <row r="57" spans="1:16" x14ac:dyDescent="0.25">
      <c r="A57" t="e">
        <f>AND(#REF!=2, COUNTIF(Tables!L$1:L$4,#REF!))</f>
        <v>#REF!</v>
      </c>
      <c r="B57" t="e">
        <f>AND(#REF!=1, COUNTIF(Tables!L$1:L$4,#REF!))</f>
        <v>#REF!</v>
      </c>
      <c r="C57" t="e">
        <f>AND(A57,#REF!= 0)</f>
        <v>#REF!</v>
      </c>
      <c r="D57" t="e">
        <f>AND(B57,#REF!= 0)</f>
        <v>#REF!</v>
      </c>
      <c r="E57" t="e">
        <f>isNetPoint(#REF!)</f>
        <v>#VALUE!</v>
      </c>
      <c r="F57" t="e">
        <f>OR(#REF!=1,#REF!= 1)</f>
        <v>#REF!</v>
      </c>
      <c r="G57" t="e">
        <f>IF(#REF!=1,OR(E57="1",E57="3",F57=TRUE),OR(E57="2",E57="3"))</f>
        <v>#REF!</v>
      </c>
      <c r="H57" t="e">
        <f>IF(#REF!=2,OR(E57="1",E57="3",F57=TRUE),OR(E57="2",E57="3"))</f>
        <v>#REF!</v>
      </c>
      <c r="I57" t="e">
        <f>AND(G57=TRUE,#REF!=1)</f>
        <v>#REF!</v>
      </c>
      <c r="J57" t="e">
        <f>AND(H57=TRUE,#REF!=2)</f>
        <v>#REF!</v>
      </c>
      <c r="K57" t="e">
        <f>IF(#REF!=1,K56+1,0)</f>
        <v>#REF!</v>
      </c>
      <c r="L57" t="e">
        <f>IF(#REF!=2,L56+1,0)</f>
        <v>#REF!</v>
      </c>
      <c r="M57" t="e">
        <f>#REF!</f>
        <v>#REF!</v>
      </c>
      <c r="N57" t="e">
        <f>COUNTIFS(#REF!, "=1")</f>
        <v>#REF!</v>
      </c>
      <c r="O57" t="e">
        <f>COUNTIFS(#REF!, "=2")</f>
        <v>#REF!</v>
      </c>
      <c r="P57" t="e">
        <f>#REF!</f>
        <v>#REF!</v>
      </c>
    </row>
    <row r="58" spans="1:16" x14ac:dyDescent="0.25">
      <c r="A58" t="e">
        <f>AND(#REF!=2, COUNTIF(Tables!L$1:L$4,#REF!))</f>
        <v>#REF!</v>
      </c>
      <c r="B58" t="e">
        <f>AND(#REF!=1, COUNTIF(Tables!L$1:L$4,#REF!))</f>
        <v>#REF!</v>
      </c>
      <c r="C58" t="e">
        <f>AND(A58,#REF!= 0)</f>
        <v>#REF!</v>
      </c>
      <c r="D58" t="e">
        <f>AND(B58,#REF!= 0)</f>
        <v>#REF!</v>
      </c>
      <c r="E58" t="e">
        <f>isNetPoint(#REF!)</f>
        <v>#VALUE!</v>
      </c>
      <c r="F58" t="e">
        <f>OR(#REF!=1,#REF!= 1)</f>
        <v>#REF!</v>
      </c>
      <c r="G58" t="e">
        <f>IF(#REF!=1,OR(E58="1",E58="3",F58=TRUE),OR(E58="2",E58="3"))</f>
        <v>#REF!</v>
      </c>
      <c r="H58" t="e">
        <f>IF(#REF!=2,OR(E58="1",E58="3",F58=TRUE),OR(E58="2",E58="3"))</f>
        <v>#REF!</v>
      </c>
      <c r="I58" t="e">
        <f>AND(G58=TRUE,#REF!=1)</f>
        <v>#REF!</v>
      </c>
      <c r="J58" t="e">
        <f>AND(H58=TRUE,#REF!=2)</f>
        <v>#REF!</v>
      </c>
      <c r="K58" t="e">
        <f>IF(#REF!=1,K57+1,0)</f>
        <v>#REF!</v>
      </c>
      <c r="L58" t="e">
        <f>IF(#REF!=2,L57+1,0)</f>
        <v>#REF!</v>
      </c>
      <c r="M58" t="e">
        <f>#REF!</f>
        <v>#REF!</v>
      </c>
      <c r="N58" t="e">
        <f>COUNTIFS(#REF!, "=1")</f>
        <v>#REF!</v>
      </c>
      <c r="O58" t="e">
        <f>COUNTIFS(#REF!, "=2")</f>
        <v>#REF!</v>
      </c>
      <c r="P58" t="e">
        <f>#REF!</f>
        <v>#REF!</v>
      </c>
    </row>
    <row r="59" spans="1:16" x14ac:dyDescent="0.25">
      <c r="A59" t="e">
        <f>AND(#REF!=2, COUNTIF(Tables!L$1:L$4,#REF!))</f>
        <v>#REF!</v>
      </c>
      <c r="B59" t="e">
        <f>AND(#REF!=1, COUNTIF(Tables!L$1:L$4,#REF!))</f>
        <v>#REF!</v>
      </c>
      <c r="C59" t="e">
        <f>AND(A59,#REF!= 0)</f>
        <v>#REF!</v>
      </c>
      <c r="D59" t="e">
        <f>AND(B59,#REF!= 0)</f>
        <v>#REF!</v>
      </c>
      <c r="E59" t="e">
        <f>isNetPoint(#REF!)</f>
        <v>#VALUE!</v>
      </c>
      <c r="F59" t="e">
        <f>OR(#REF!=1,#REF!= 1)</f>
        <v>#REF!</v>
      </c>
      <c r="G59" t="e">
        <f>IF(#REF!=1,OR(E59="1",E59="3",F59=TRUE),OR(E59="2",E59="3"))</f>
        <v>#REF!</v>
      </c>
      <c r="H59" t="e">
        <f>IF(#REF!=2,OR(E59="1",E59="3",F59=TRUE),OR(E59="2",E59="3"))</f>
        <v>#REF!</v>
      </c>
      <c r="I59" t="e">
        <f>AND(G59=TRUE,#REF!=1)</f>
        <v>#REF!</v>
      </c>
      <c r="J59" t="e">
        <f>AND(H59=TRUE,#REF!=2)</f>
        <v>#REF!</v>
      </c>
      <c r="K59" t="e">
        <f>IF(#REF!=1,K58+1,0)</f>
        <v>#REF!</v>
      </c>
      <c r="L59" t="e">
        <f>IF(#REF!=2,L58+1,0)</f>
        <v>#REF!</v>
      </c>
      <c r="M59" t="e">
        <f>#REF!</f>
        <v>#REF!</v>
      </c>
      <c r="N59" t="e">
        <f>COUNTIFS(#REF!, "=1")</f>
        <v>#REF!</v>
      </c>
      <c r="O59" t="e">
        <f>COUNTIFS(#REF!, "=2")</f>
        <v>#REF!</v>
      </c>
      <c r="P59" t="e">
        <f>#REF!</f>
        <v>#REF!</v>
      </c>
    </row>
    <row r="60" spans="1:16" x14ac:dyDescent="0.25">
      <c r="A60" t="e">
        <f>AND(#REF!=2, COUNTIF(Tables!L$1:L$4,#REF!))</f>
        <v>#REF!</v>
      </c>
      <c r="B60" t="e">
        <f>AND(#REF!=1, COUNTIF(Tables!L$1:L$4,#REF!))</f>
        <v>#REF!</v>
      </c>
      <c r="C60" t="e">
        <f>AND(A60,#REF!= 0)</f>
        <v>#REF!</v>
      </c>
      <c r="D60" t="e">
        <f>AND(B60,#REF!= 0)</f>
        <v>#REF!</v>
      </c>
      <c r="E60" t="e">
        <f>isNetPoint(#REF!)</f>
        <v>#VALUE!</v>
      </c>
      <c r="F60" t="e">
        <f>OR(#REF!=1,#REF!= 1)</f>
        <v>#REF!</v>
      </c>
      <c r="G60" t="e">
        <f>IF(#REF!=1,OR(E60="1",E60="3",F60=TRUE),OR(E60="2",E60="3"))</f>
        <v>#REF!</v>
      </c>
      <c r="H60" t="e">
        <f>IF(#REF!=2,OR(E60="1",E60="3",F60=TRUE),OR(E60="2",E60="3"))</f>
        <v>#REF!</v>
      </c>
      <c r="I60" t="e">
        <f>AND(G60=TRUE,#REF!=1)</f>
        <v>#REF!</v>
      </c>
      <c r="J60" t="e">
        <f>AND(H60=TRUE,#REF!=2)</f>
        <v>#REF!</v>
      </c>
      <c r="K60" t="e">
        <f>IF(#REF!=1,K59+1,0)</f>
        <v>#REF!</v>
      </c>
      <c r="L60" t="e">
        <f>IF(#REF!=2,L59+1,0)</f>
        <v>#REF!</v>
      </c>
      <c r="M60" t="e">
        <f>#REF!</f>
        <v>#REF!</v>
      </c>
      <c r="N60" t="e">
        <f>COUNTIFS(#REF!, "=1")</f>
        <v>#REF!</v>
      </c>
      <c r="O60" t="e">
        <f>COUNTIFS(#REF!, "=2")</f>
        <v>#REF!</v>
      </c>
      <c r="P60" t="e">
        <f>#REF!</f>
        <v>#REF!</v>
      </c>
    </row>
    <row r="61" spans="1:16" x14ac:dyDescent="0.25">
      <c r="A61" t="e">
        <f>AND(#REF!=2, COUNTIF(Tables!L$1:L$4,#REF!))</f>
        <v>#REF!</v>
      </c>
      <c r="B61" t="e">
        <f>AND(#REF!=1, COUNTIF(Tables!L$1:L$4,#REF!))</f>
        <v>#REF!</v>
      </c>
      <c r="C61" t="e">
        <f>AND(A61,#REF!= 0)</f>
        <v>#REF!</v>
      </c>
      <c r="D61" t="e">
        <f>AND(B61,#REF!= 0)</f>
        <v>#REF!</v>
      </c>
      <c r="E61" t="e">
        <f>isNetPoint(#REF!)</f>
        <v>#VALUE!</v>
      </c>
      <c r="F61" t="e">
        <f>OR(#REF!=1,#REF!= 1)</f>
        <v>#REF!</v>
      </c>
      <c r="G61" t="e">
        <f>IF(#REF!=1,OR(E61="1",E61="3",F61=TRUE),OR(E61="2",E61="3"))</f>
        <v>#REF!</v>
      </c>
      <c r="H61" t="e">
        <f>IF(#REF!=2,OR(E61="1",E61="3",F61=TRUE),OR(E61="2",E61="3"))</f>
        <v>#REF!</v>
      </c>
      <c r="I61" t="e">
        <f>AND(G61=TRUE,#REF!=1)</f>
        <v>#REF!</v>
      </c>
      <c r="J61" t="e">
        <f>AND(H61=TRUE,#REF!=2)</f>
        <v>#REF!</v>
      </c>
      <c r="K61" t="e">
        <f>IF(#REF!=1,K60+1,0)</f>
        <v>#REF!</v>
      </c>
      <c r="L61" t="e">
        <f>IF(#REF!=2,L60+1,0)</f>
        <v>#REF!</v>
      </c>
      <c r="M61" t="e">
        <f>#REF!</f>
        <v>#REF!</v>
      </c>
      <c r="N61" t="e">
        <f>COUNTIFS(#REF!, "=1")</f>
        <v>#REF!</v>
      </c>
      <c r="O61" t="e">
        <f>COUNTIFS(#REF!, "=2")</f>
        <v>#REF!</v>
      </c>
      <c r="P61" t="e">
        <f>#REF!</f>
        <v>#REF!</v>
      </c>
    </row>
    <row r="62" spans="1:16" x14ac:dyDescent="0.25">
      <c r="A62" t="e">
        <f>AND(#REF!=2, COUNTIF(Tables!L$1:L$4,#REF!))</f>
        <v>#REF!</v>
      </c>
      <c r="B62" t="e">
        <f>AND(#REF!=1, COUNTIF(Tables!L$1:L$4,#REF!))</f>
        <v>#REF!</v>
      </c>
      <c r="C62" t="e">
        <f>AND(A62,#REF!= 0)</f>
        <v>#REF!</v>
      </c>
      <c r="D62" t="e">
        <f>AND(B62,#REF!= 0)</f>
        <v>#REF!</v>
      </c>
      <c r="E62" t="e">
        <f>isNetPoint(#REF!)</f>
        <v>#VALUE!</v>
      </c>
      <c r="F62" t="e">
        <f>OR(#REF!=1,#REF!= 1)</f>
        <v>#REF!</v>
      </c>
      <c r="G62" t="e">
        <f>IF(#REF!=1,OR(E62="1",E62="3",F62=TRUE),OR(E62="2",E62="3"))</f>
        <v>#REF!</v>
      </c>
      <c r="H62" t="e">
        <f>IF(#REF!=2,OR(E62="1",E62="3",F62=TRUE),OR(E62="2",E62="3"))</f>
        <v>#REF!</v>
      </c>
      <c r="I62" t="e">
        <f>AND(G62=TRUE,#REF!=1)</f>
        <v>#REF!</v>
      </c>
      <c r="J62" t="e">
        <f>AND(H62=TRUE,#REF!=2)</f>
        <v>#REF!</v>
      </c>
      <c r="K62" t="e">
        <f>IF(#REF!=1,K61+1,0)</f>
        <v>#REF!</v>
      </c>
      <c r="L62" t="e">
        <f>IF(#REF!=2,L61+1,0)</f>
        <v>#REF!</v>
      </c>
      <c r="M62" t="e">
        <f>#REF!</f>
        <v>#REF!</v>
      </c>
      <c r="N62" t="e">
        <f>COUNTIFS(#REF!, "=1")</f>
        <v>#REF!</v>
      </c>
      <c r="O62" t="e">
        <f>COUNTIFS(#REF!, "=2")</f>
        <v>#REF!</v>
      </c>
      <c r="P62" t="e">
        <f>#REF!</f>
        <v>#REF!</v>
      </c>
    </row>
    <row r="63" spans="1:16" x14ac:dyDescent="0.25">
      <c r="A63" t="e">
        <f>AND(#REF!=2, COUNTIF(Tables!L$1:L$4,#REF!))</f>
        <v>#REF!</v>
      </c>
      <c r="B63" t="e">
        <f>AND(#REF!=1, COUNTIF(Tables!L$1:L$4,#REF!))</f>
        <v>#REF!</v>
      </c>
      <c r="C63" t="e">
        <f>AND(A63,#REF!= 0)</f>
        <v>#REF!</v>
      </c>
      <c r="D63" t="e">
        <f>AND(B63,#REF!= 0)</f>
        <v>#REF!</v>
      </c>
      <c r="E63" t="e">
        <f>isNetPoint(#REF!)</f>
        <v>#VALUE!</v>
      </c>
      <c r="F63" t="e">
        <f>OR(#REF!=1,#REF!= 1)</f>
        <v>#REF!</v>
      </c>
      <c r="G63" t="e">
        <f>IF(#REF!=1,OR(E63="1",E63="3",F63=TRUE),OR(E63="2",E63="3"))</f>
        <v>#REF!</v>
      </c>
      <c r="H63" t="e">
        <f>IF(#REF!=2,OR(E63="1",E63="3",F63=TRUE),OR(E63="2",E63="3"))</f>
        <v>#REF!</v>
      </c>
      <c r="I63" t="e">
        <f>AND(G63=TRUE,#REF!=1)</f>
        <v>#REF!</v>
      </c>
      <c r="J63" t="e">
        <f>AND(H63=TRUE,#REF!=2)</f>
        <v>#REF!</v>
      </c>
      <c r="K63" t="e">
        <f>IF(#REF!=1,K62+1,0)</f>
        <v>#REF!</v>
      </c>
      <c r="L63" t="e">
        <f>IF(#REF!=2,L62+1,0)</f>
        <v>#REF!</v>
      </c>
      <c r="M63" t="e">
        <f>#REF!</f>
        <v>#REF!</v>
      </c>
      <c r="N63" t="e">
        <f>COUNTIFS(#REF!, "=1")</f>
        <v>#REF!</v>
      </c>
      <c r="O63" t="e">
        <f>COUNTIFS(#REF!, "=2")</f>
        <v>#REF!</v>
      </c>
      <c r="P63" t="e">
        <f>#REF!</f>
        <v>#REF!</v>
      </c>
    </row>
    <row r="64" spans="1:16" x14ac:dyDescent="0.25">
      <c r="A64" t="e">
        <f>AND(#REF!=2, COUNTIF(Tables!L$1:L$4,#REF!))</f>
        <v>#REF!</v>
      </c>
      <c r="B64" t="e">
        <f>AND(#REF!=1, COUNTIF(Tables!L$1:L$4,#REF!))</f>
        <v>#REF!</v>
      </c>
      <c r="C64" t="e">
        <f>AND(A64,#REF!= 0)</f>
        <v>#REF!</v>
      </c>
      <c r="D64" t="e">
        <f>AND(B64,#REF!= 0)</f>
        <v>#REF!</v>
      </c>
      <c r="E64" t="e">
        <f>isNetPoint(#REF!)</f>
        <v>#VALUE!</v>
      </c>
      <c r="F64" t="e">
        <f>OR(#REF!=1,#REF!= 1)</f>
        <v>#REF!</v>
      </c>
      <c r="G64" t="e">
        <f>IF(#REF!=1,OR(E64="1",E64="3",F64=TRUE),OR(E64="2",E64="3"))</f>
        <v>#REF!</v>
      </c>
      <c r="H64" t="e">
        <f>IF(#REF!=2,OR(E64="1",E64="3",F64=TRUE),OR(E64="2",E64="3"))</f>
        <v>#REF!</v>
      </c>
      <c r="I64" t="e">
        <f>AND(G64=TRUE,#REF!=1)</f>
        <v>#REF!</v>
      </c>
      <c r="J64" t="e">
        <f>AND(H64=TRUE,#REF!=2)</f>
        <v>#REF!</v>
      </c>
      <c r="K64" t="e">
        <f>IF(#REF!=1,K63+1,0)</f>
        <v>#REF!</v>
      </c>
      <c r="L64" t="e">
        <f>IF(#REF!=2,L63+1,0)</f>
        <v>#REF!</v>
      </c>
      <c r="M64" t="e">
        <f>#REF!</f>
        <v>#REF!</v>
      </c>
      <c r="N64" t="e">
        <f>COUNTIFS(#REF!, "=1")</f>
        <v>#REF!</v>
      </c>
      <c r="O64" t="e">
        <f>COUNTIFS(#REF!, "=2")</f>
        <v>#REF!</v>
      </c>
      <c r="P64" t="e">
        <f>#REF!</f>
        <v>#REF!</v>
      </c>
    </row>
    <row r="65" spans="1:16" x14ac:dyDescent="0.25">
      <c r="A65" t="e">
        <f>AND(#REF!=2, COUNTIF(Tables!L$1:L$4,#REF!))</f>
        <v>#REF!</v>
      </c>
      <c r="B65" t="e">
        <f>AND(#REF!=1, COUNTIF(Tables!L$1:L$4,#REF!))</f>
        <v>#REF!</v>
      </c>
      <c r="C65" t="e">
        <f>AND(A65,#REF!= 0)</f>
        <v>#REF!</v>
      </c>
      <c r="D65" t="e">
        <f>AND(B65,#REF!= 0)</f>
        <v>#REF!</v>
      </c>
      <c r="E65" t="e">
        <f>isNetPoint(#REF!)</f>
        <v>#VALUE!</v>
      </c>
      <c r="F65" t="e">
        <f>OR(#REF!=1,#REF!= 1)</f>
        <v>#REF!</v>
      </c>
      <c r="G65" t="e">
        <f>IF(#REF!=1,OR(E65="1",E65="3",F65=TRUE),OR(E65="2",E65="3"))</f>
        <v>#REF!</v>
      </c>
      <c r="H65" t="e">
        <f>IF(#REF!=2,OR(E65="1",E65="3",F65=TRUE),OR(E65="2",E65="3"))</f>
        <v>#REF!</v>
      </c>
      <c r="I65" t="e">
        <f>AND(G65=TRUE,#REF!=1)</f>
        <v>#REF!</v>
      </c>
      <c r="J65" t="e">
        <f>AND(H65=TRUE,#REF!=2)</f>
        <v>#REF!</v>
      </c>
      <c r="K65" t="e">
        <f>IF(#REF!=1,K64+1,0)</f>
        <v>#REF!</v>
      </c>
      <c r="L65" t="e">
        <f>IF(#REF!=2,L64+1,0)</f>
        <v>#REF!</v>
      </c>
      <c r="M65" t="e">
        <f>#REF!</f>
        <v>#REF!</v>
      </c>
      <c r="N65" t="e">
        <f>COUNTIFS(#REF!, "=1")</f>
        <v>#REF!</v>
      </c>
      <c r="O65" t="e">
        <f>COUNTIFS(#REF!, "=2")</f>
        <v>#REF!</v>
      </c>
      <c r="P65" t="e">
        <f>#REF!</f>
        <v>#REF!</v>
      </c>
    </row>
    <row r="66" spans="1:16" x14ac:dyDescent="0.25">
      <c r="A66" t="e">
        <f>AND(#REF!=2, COUNTIF(Tables!L$1:L$4,#REF!))</f>
        <v>#REF!</v>
      </c>
      <c r="B66" t="e">
        <f>AND(#REF!=1, COUNTIF(Tables!L$1:L$4,#REF!))</f>
        <v>#REF!</v>
      </c>
      <c r="C66" t="e">
        <f>AND(A66,#REF!= 0)</f>
        <v>#REF!</v>
      </c>
      <c r="D66" t="e">
        <f>AND(B66,#REF!= 0)</f>
        <v>#REF!</v>
      </c>
      <c r="E66" t="e">
        <f>isNetPoint(#REF!)</f>
        <v>#VALUE!</v>
      </c>
      <c r="F66" t="e">
        <f>OR(#REF!=1,#REF!= 1)</f>
        <v>#REF!</v>
      </c>
      <c r="G66" t="e">
        <f>IF(#REF!=1,OR(E66="1",E66="3",F66=TRUE),OR(E66="2",E66="3"))</f>
        <v>#REF!</v>
      </c>
      <c r="H66" t="e">
        <f>IF(#REF!=2,OR(E66="1",E66="3",F66=TRUE),OR(E66="2",E66="3"))</f>
        <v>#REF!</v>
      </c>
      <c r="I66" t="e">
        <f>AND(G66=TRUE,#REF!=1)</f>
        <v>#REF!</v>
      </c>
      <c r="J66" t="e">
        <f>AND(H66=TRUE,#REF!=2)</f>
        <v>#REF!</v>
      </c>
      <c r="K66" t="e">
        <f>IF(#REF!=1,K65+1,0)</f>
        <v>#REF!</v>
      </c>
      <c r="L66" t="e">
        <f>IF(#REF!=2,L65+1,0)</f>
        <v>#REF!</v>
      </c>
      <c r="M66" t="e">
        <f>#REF!</f>
        <v>#REF!</v>
      </c>
      <c r="N66" t="e">
        <f>COUNTIFS(#REF!, "=1")</f>
        <v>#REF!</v>
      </c>
      <c r="O66" t="e">
        <f>COUNTIFS(#REF!, "=2")</f>
        <v>#REF!</v>
      </c>
      <c r="P66" t="e">
        <f>#REF!</f>
        <v>#REF!</v>
      </c>
    </row>
    <row r="67" spans="1:16" x14ac:dyDescent="0.25">
      <c r="A67" t="e">
        <f>AND(#REF!=2, COUNTIF(Tables!L$1:L$4,#REF!))</f>
        <v>#REF!</v>
      </c>
      <c r="B67" t="e">
        <f>AND(#REF!=1, COUNTIF(Tables!L$1:L$4,#REF!))</f>
        <v>#REF!</v>
      </c>
      <c r="C67" t="e">
        <f>AND(A67,#REF!= 0)</f>
        <v>#REF!</v>
      </c>
      <c r="D67" t="e">
        <f>AND(B67,#REF!= 0)</f>
        <v>#REF!</v>
      </c>
      <c r="E67" t="e">
        <f>isNetPoint(#REF!)</f>
        <v>#VALUE!</v>
      </c>
      <c r="F67" t="e">
        <f>OR(#REF!=1,#REF!= 1)</f>
        <v>#REF!</v>
      </c>
      <c r="G67" t="e">
        <f>IF(#REF!=1,OR(E67="1",E67="3",F67=TRUE),OR(E67="2",E67="3"))</f>
        <v>#REF!</v>
      </c>
      <c r="H67" t="e">
        <f>IF(#REF!=2,OR(E67="1",E67="3",F67=TRUE),OR(E67="2",E67="3"))</f>
        <v>#REF!</v>
      </c>
      <c r="I67" t="e">
        <f>AND(G67=TRUE,#REF!=1)</f>
        <v>#REF!</v>
      </c>
      <c r="J67" t="e">
        <f>AND(H67=TRUE,#REF!=2)</f>
        <v>#REF!</v>
      </c>
      <c r="K67" t="e">
        <f>IF(#REF!=1,K66+1,0)</f>
        <v>#REF!</v>
      </c>
      <c r="L67" t="e">
        <f>IF(#REF!=2,L66+1,0)</f>
        <v>#REF!</v>
      </c>
      <c r="M67" t="e">
        <f>#REF!</f>
        <v>#REF!</v>
      </c>
      <c r="N67" t="e">
        <f>COUNTIFS(#REF!, "=1")</f>
        <v>#REF!</v>
      </c>
      <c r="O67" t="e">
        <f>COUNTIFS(#REF!, "=2")</f>
        <v>#REF!</v>
      </c>
      <c r="P67" t="e">
        <f>#REF!</f>
        <v>#REF!</v>
      </c>
    </row>
    <row r="68" spans="1:16" x14ac:dyDescent="0.25">
      <c r="A68" t="e">
        <f>AND(#REF!=2, COUNTIF(Tables!L$1:L$4,#REF!))</f>
        <v>#REF!</v>
      </c>
      <c r="B68" t="e">
        <f>AND(#REF!=1, COUNTIF(Tables!L$1:L$4,#REF!))</f>
        <v>#REF!</v>
      </c>
      <c r="C68" t="e">
        <f>AND(A68,#REF!= 0)</f>
        <v>#REF!</v>
      </c>
      <c r="D68" t="e">
        <f>AND(B68,#REF!= 0)</f>
        <v>#REF!</v>
      </c>
      <c r="E68" t="e">
        <f>isNetPoint(#REF!)</f>
        <v>#VALUE!</v>
      </c>
      <c r="F68" t="e">
        <f>OR(#REF!=1,#REF!= 1)</f>
        <v>#REF!</v>
      </c>
      <c r="G68" t="e">
        <f>IF(#REF!=1,OR(E68="1",E68="3",F68=TRUE),OR(E68="2",E68="3"))</f>
        <v>#REF!</v>
      </c>
      <c r="H68" t="e">
        <f>IF(#REF!=2,OR(E68="1",E68="3",F68=TRUE),OR(E68="2",E68="3"))</f>
        <v>#REF!</v>
      </c>
      <c r="I68" t="e">
        <f>AND(G68=TRUE,#REF!=1)</f>
        <v>#REF!</v>
      </c>
      <c r="J68" t="e">
        <f>AND(H68=TRUE,#REF!=2)</f>
        <v>#REF!</v>
      </c>
      <c r="K68" t="e">
        <f>IF(#REF!=1,K67+1,0)</f>
        <v>#REF!</v>
      </c>
      <c r="L68" t="e">
        <f>IF(#REF!=2,L67+1,0)</f>
        <v>#REF!</v>
      </c>
      <c r="M68" t="e">
        <f>#REF!</f>
        <v>#REF!</v>
      </c>
      <c r="N68" t="e">
        <f>COUNTIFS(#REF!, "=1")</f>
        <v>#REF!</v>
      </c>
      <c r="O68" t="e">
        <f>COUNTIFS(#REF!, "=2")</f>
        <v>#REF!</v>
      </c>
      <c r="P68" t="e">
        <f>#REF!</f>
        <v>#REF!</v>
      </c>
    </row>
    <row r="69" spans="1:16" x14ac:dyDescent="0.25">
      <c r="A69" t="e">
        <f>AND(#REF!=2, COUNTIF(Tables!L$1:L$4,#REF!))</f>
        <v>#REF!</v>
      </c>
      <c r="B69" t="e">
        <f>AND(#REF!=1, COUNTIF(Tables!L$1:L$4,#REF!))</f>
        <v>#REF!</v>
      </c>
      <c r="C69" t="e">
        <f>AND(A69,#REF!= 0)</f>
        <v>#REF!</v>
      </c>
      <c r="D69" t="e">
        <f>AND(B69,#REF!= 0)</f>
        <v>#REF!</v>
      </c>
      <c r="E69" t="e">
        <f>isNetPoint(#REF!)</f>
        <v>#VALUE!</v>
      </c>
      <c r="F69" t="e">
        <f>OR(#REF!=1,#REF!= 1)</f>
        <v>#REF!</v>
      </c>
      <c r="G69" t="e">
        <f>IF(#REF!=1,OR(E69="1",E69="3",F69=TRUE),OR(E69="2",E69="3"))</f>
        <v>#REF!</v>
      </c>
      <c r="H69" t="e">
        <f>IF(#REF!=2,OR(E69="1",E69="3",F69=TRUE),OR(E69="2",E69="3"))</f>
        <v>#REF!</v>
      </c>
      <c r="I69" t="e">
        <f>AND(G69=TRUE,#REF!=1)</f>
        <v>#REF!</v>
      </c>
      <c r="J69" t="e">
        <f>AND(H69=TRUE,#REF!=2)</f>
        <v>#REF!</v>
      </c>
      <c r="K69" t="e">
        <f>IF(#REF!=1,K68+1,0)</f>
        <v>#REF!</v>
      </c>
      <c r="L69" t="e">
        <f>IF(#REF!=2,L68+1,0)</f>
        <v>#REF!</v>
      </c>
      <c r="M69" t="e">
        <f>#REF!</f>
        <v>#REF!</v>
      </c>
      <c r="N69" t="e">
        <f>COUNTIFS(#REF!, "=1")</f>
        <v>#REF!</v>
      </c>
      <c r="O69" t="e">
        <f>COUNTIFS(#REF!, "=2")</f>
        <v>#REF!</v>
      </c>
      <c r="P69" t="e">
        <f>#REF!</f>
        <v>#REF!</v>
      </c>
    </row>
    <row r="70" spans="1:16" x14ac:dyDescent="0.25">
      <c r="A70" t="e">
        <f>AND(#REF!=2, COUNTIF(Tables!L$1:L$4,#REF!))</f>
        <v>#REF!</v>
      </c>
      <c r="B70" t="e">
        <f>AND(#REF!=1, COUNTIF(Tables!L$1:L$4,#REF!))</f>
        <v>#REF!</v>
      </c>
      <c r="C70" t="e">
        <f>AND(A70,#REF!= 0)</f>
        <v>#REF!</v>
      </c>
      <c r="D70" t="e">
        <f>AND(B70,#REF!= 0)</f>
        <v>#REF!</v>
      </c>
      <c r="E70" t="e">
        <f>isNetPoint(#REF!)</f>
        <v>#VALUE!</v>
      </c>
      <c r="F70" t="e">
        <f>OR(#REF!=1,#REF!= 1)</f>
        <v>#REF!</v>
      </c>
      <c r="G70" t="e">
        <f>IF(#REF!=1,OR(E70="1",E70="3",F70=TRUE),OR(E70="2",E70="3"))</f>
        <v>#REF!</v>
      </c>
      <c r="H70" t="e">
        <f>IF(#REF!=2,OR(E70="1",E70="3",F70=TRUE),OR(E70="2",E70="3"))</f>
        <v>#REF!</v>
      </c>
      <c r="I70" t="e">
        <f>AND(G70=TRUE,#REF!=1)</f>
        <v>#REF!</v>
      </c>
      <c r="J70" t="e">
        <f>AND(H70=TRUE,#REF!=2)</f>
        <v>#REF!</v>
      </c>
      <c r="K70" t="e">
        <f>IF(#REF!=1,K69+1,0)</f>
        <v>#REF!</v>
      </c>
      <c r="L70" t="e">
        <f>IF(#REF!=2,L69+1,0)</f>
        <v>#REF!</v>
      </c>
      <c r="M70" t="e">
        <f>#REF!</f>
        <v>#REF!</v>
      </c>
      <c r="N70" t="e">
        <f>COUNTIFS(#REF!, "=1")</f>
        <v>#REF!</v>
      </c>
      <c r="O70" t="e">
        <f>COUNTIFS(#REF!, "=2")</f>
        <v>#REF!</v>
      </c>
      <c r="P70" t="e">
        <f>#REF!</f>
        <v>#REF!</v>
      </c>
    </row>
    <row r="71" spans="1:16" x14ac:dyDescent="0.25">
      <c r="A71" t="e">
        <f>AND(#REF!=2, COUNTIF(Tables!L$1:L$4,#REF!))</f>
        <v>#REF!</v>
      </c>
      <c r="B71" t="e">
        <f>AND(#REF!=1, COUNTIF(Tables!L$1:L$4,#REF!))</f>
        <v>#REF!</v>
      </c>
      <c r="C71" t="e">
        <f>AND(A71,#REF!= 0)</f>
        <v>#REF!</v>
      </c>
      <c r="D71" t="e">
        <f>AND(B71,#REF!= 0)</f>
        <v>#REF!</v>
      </c>
      <c r="E71" t="e">
        <f>isNetPoint(#REF!)</f>
        <v>#VALUE!</v>
      </c>
      <c r="F71" t="e">
        <f>OR(#REF!=1,#REF!= 1)</f>
        <v>#REF!</v>
      </c>
      <c r="G71" t="e">
        <f>IF(#REF!=1,OR(E71="1",E71="3",F71=TRUE),OR(E71="2",E71="3"))</f>
        <v>#REF!</v>
      </c>
      <c r="H71" t="e">
        <f>IF(#REF!=2,OR(E71="1",E71="3",F71=TRUE),OR(E71="2",E71="3"))</f>
        <v>#REF!</v>
      </c>
      <c r="I71" t="e">
        <f>AND(G71=TRUE,#REF!=1)</f>
        <v>#REF!</v>
      </c>
      <c r="J71" t="e">
        <f>AND(H71=TRUE,#REF!=2)</f>
        <v>#REF!</v>
      </c>
      <c r="K71" t="e">
        <f>IF(#REF!=1,K70+1,0)</f>
        <v>#REF!</v>
      </c>
      <c r="L71" t="e">
        <f>IF(#REF!=2,L70+1,0)</f>
        <v>#REF!</v>
      </c>
      <c r="M71" t="e">
        <f>#REF!</f>
        <v>#REF!</v>
      </c>
      <c r="N71" t="e">
        <f>COUNTIFS(#REF!, "=1")</f>
        <v>#REF!</v>
      </c>
      <c r="O71" t="e">
        <f>COUNTIFS(#REF!, "=2")</f>
        <v>#REF!</v>
      </c>
      <c r="P71" t="e">
        <f>#REF!</f>
        <v>#REF!</v>
      </c>
    </row>
    <row r="72" spans="1:16" x14ac:dyDescent="0.25">
      <c r="A72" t="e">
        <f>AND(#REF!=2, COUNTIF(Tables!L$1:L$4,#REF!))</f>
        <v>#REF!</v>
      </c>
      <c r="B72" t="e">
        <f>AND(#REF!=1, COUNTIF(Tables!L$1:L$4,#REF!))</f>
        <v>#REF!</v>
      </c>
      <c r="C72" t="e">
        <f>AND(A72,#REF!= 0)</f>
        <v>#REF!</v>
      </c>
      <c r="D72" t="e">
        <f>AND(B72,#REF!= 0)</f>
        <v>#REF!</v>
      </c>
      <c r="E72" t="e">
        <f>isNetPoint(#REF!)</f>
        <v>#VALUE!</v>
      </c>
      <c r="F72" t="e">
        <f>OR(#REF!=1,#REF!= 1)</f>
        <v>#REF!</v>
      </c>
      <c r="G72" t="e">
        <f>IF(#REF!=1,OR(E72="1",E72="3",F72=TRUE),OR(E72="2",E72="3"))</f>
        <v>#REF!</v>
      </c>
      <c r="H72" t="e">
        <f>IF(#REF!=2,OR(E72="1",E72="3",F72=TRUE),OR(E72="2",E72="3"))</f>
        <v>#REF!</v>
      </c>
      <c r="I72" t="e">
        <f>AND(G72=TRUE,#REF!=1)</f>
        <v>#REF!</v>
      </c>
      <c r="J72" t="e">
        <f>AND(H72=TRUE,#REF!=2)</f>
        <v>#REF!</v>
      </c>
      <c r="K72" t="e">
        <f>IF(#REF!=1,K71+1,0)</f>
        <v>#REF!</v>
      </c>
      <c r="L72" t="e">
        <f>IF(#REF!=2,L71+1,0)</f>
        <v>#REF!</v>
      </c>
      <c r="M72" t="e">
        <f>#REF!</f>
        <v>#REF!</v>
      </c>
      <c r="N72" t="e">
        <f>COUNTIFS(#REF!, "=1")</f>
        <v>#REF!</v>
      </c>
      <c r="O72" t="e">
        <f>COUNTIFS(#REF!, "=2")</f>
        <v>#REF!</v>
      </c>
      <c r="P72" t="e">
        <f>#REF!</f>
        <v>#REF!</v>
      </c>
    </row>
    <row r="73" spans="1:16" x14ac:dyDescent="0.25">
      <c r="A73" t="e">
        <f>AND(#REF!=2, COUNTIF(Tables!L$1:L$4,#REF!))</f>
        <v>#REF!</v>
      </c>
      <c r="B73" t="e">
        <f>AND(#REF!=1, COUNTIF(Tables!L$1:L$4,#REF!))</f>
        <v>#REF!</v>
      </c>
      <c r="C73" t="e">
        <f>AND(A73,#REF!= 0)</f>
        <v>#REF!</v>
      </c>
      <c r="D73" t="e">
        <f>AND(B73,#REF!= 0)</f>
        <v>#REF!</v>
      </c>
      <c r="E73" t="e">
        <f>isNetPoint(#REF!)</f>
        <v>#VALUE!</v>
      </c>
      <c r="F73" t="e">
        <f>OR(#REF!=1,#REF!= 1)</f>
        <v>#REF!</v>
      </c>
      <c r="G73" t="e">
        <f>IF(#REF!=1,OR(E73="1",E73="3",F73=TRUE),OR(E73="2",E73="3"))</f>
        <v>#REF!</v>
      </c>
      <c r="H73" t="e">
        <f>IF(#REF!=2,OR(E73="1",E73="3",F73=TRUE),OR(E73="2",E73="3"))</f>
        <v>#REF!</v>
      </c>
      <c r="I73" t="e">
        <f>AND(G73=TRUE,#REF!=1)</f>
        <v>#REF!</v>
      </c>
      <c r="J73" t="e">
        <f>AND(H73=TRUE,#REF!=2)</f>
        <v>#REF!</v>
      </c>
      <c r="K73" t="e">
        <f>IF(#REF!=1,K72+1,0)</f>
        <v>#REF!</v>
      </c>
      <c r="L73" t="e">
        <f>IF(#REF!=2,L72+1,0)</f>
        <v>#REF!</v>
      </c>
      <c r="M73" t="e">
        <f>#REF!</f>
        <v>#REF!</v>
      </c>
      <c r="N73" t="e">
        <f>COUNTIFS(#REF!, "=1")</f>
        <v>#REF!</v>
      </c>
      <c r="O73" t="e">
        <f>COUNTIFS(#REF!, "=2")</f>
        <v>#REF!</v>
      </c>
      <c r="P73" t="e">
        <f>#REF!</f>
        <v>#REF!</v>
      </c>
    </row>
    <row r="74" spans="1:16" x14ac:dyDescent="0.25">
      <c r="A74" t="e">
        <f>AND(#REF!=2, COUNTIF(Tables!L$1:L$4,#REF!))</f>
        <v>#REF!</v>
      </c>
      <c r="B74" t="e">
        <f>AND(#REF!=1, COUNTIF(Tables!L$1:L$4,#REF!))</f>
        <v>#REF!</v>
      </c>
      <c r="C74" t="e">
        <f>AND(A74,#REF!= 0)</f>
        <v>#REF!</v>
      </c>
      <c r="D74" t="e">
        <f>AND(B74,#REF!= 0)</f>
        <v>#REF!</v>
      </c>
      <c r="E74" t="e">
        <f>isNetPoint(#REF!)</f>
        <v>#VALUE!</v>
      </c>
      <c r="F74" t="e">
        <f>OR(#REF!=1,#REF!= 1)</f>
        <v>#REF!</v>
      </c>
      <c r="G74" t="e">
        <f>IF(#REF!=1,OR(E74="1",E74="3",F74=TRUE),OR(E74="2",E74="3"))</f>
        <v>#REF!</v>
      </c>
      <c r="H74" t="e">
        <f>IF(#REF!=2,OR(E74="1",E74="3",F74=TRUE),OR(E74="2",E74="3"))</f>
        <v>#REF!</v>
      </c>
      <c r="I74" t="e">
        <f>AND(G74=TRUE,#REF!=1)</f>
        <v>#REF!</v>
      </c>
      <c r="J74" t="e">
        <f>AND(H74=TRUE,#REF!=2)</f>
        <v>#REF!</v>
      </c>
      <c r="K74" t="e">
        <f>IF(#REF!=1,K73+1,0)</f>
        <v>#REF!</v>
      </c>
      <c r="L74" t="e">
        <f>IF(#REF!=2,L73+1,0)</f>
        <v>#REF!</v>
      </c>
      <c r="M74" t="e">
        <f>#REF!</f>
        <v>#REF!</v>
      </c>
      <c r="N74" t="e">
        <f>COUNTIFS(#REF!, "=1")</f>
        <v>#REF!</v>
      </c>
      <c r="O74" t="e">
        <f>COUNTIFS(#REF!, "=2")</f>
        <v>#REF!</v>
      </c>
      <c r="P74" t="e">
        <f>#REF!</f>
        <v>#REF!</v>
      </c>
    </row>
    <row r="75" spans="1:16" x14ac:dyDescent="0.25">
      <c r="A75" t="e">
        <f>AND(#REF!=2, COUNTIF(Tables!L$1:L$4,#REF!))</f>
        <v>#REF!</v>
      </c>
      <c r="B75" t="e">
        <f>AND(#REF!=1, COUNTIF(Tables!L$1:L$4,#REF!))</f>
        <v>#REF!</v>
      </c>
      <c r="C75" t="e">
        <f>AND(A75,#REF!= 0)</f>
        <v>#REF!</v>
      </c>
      <c r="D75" t="e">
        <f>AND(B75,#REF!= 0)</f>
        <v>#REF!</v>
      </c>
      <c r="E75" t="e">
        <f>isNetPoint(#REF!)</f>
        <v>#VALUE!</v>
      </c>
      <c r="F75" t="e">
        <f>OR(#REF!=1,#REF!= 1)</f>
        <v>#REF!</v>
      </c>
      <c r="G75" t="e">
        <f>IF(#REF!=1,OR(E75="1",E75="3",F75=TRUE),OR(E75="2",E75="3"))</f>
        <v>#REF!</v>
      </c>
      <c r="H75" t="e">
        <f>IF(#REF!=2,OR(E75="1",E75="3",F75=TRUE),OR(E75="2",E75="3"))</f>
        <v>#REF!</v>
      </c>
      <c r="I75" t="e">
        <f>AND(G75=TRUE,#REF!=1)</f>
        <v>#REF!</v>
      </c>
      <c r="J75" t="e">
        <f>AND(H75=TRUE,#REF!=2)</f>
        <v>#REF!</v>
      </c>
      <c r="K75" t="e">
        <f>IF(#REF!=1,K74+1,0)</f>
        <v>#REF!</v>
      </c>
      <c r="L75" t="e">
        <f>IF(#REF!=2,L74+1,0)</f>
        <v>#REF!</v>
      </c>
      <c r="M75" t="e">
        <f>#REF!</f>
        <v>#REF!</v>
      </c>
      <c r="N75" t="e">
        <f>COUNTIFS(#REF!, "=1")</f>
        <v>#REF!</v>
      </c>
      <c r="O75" t="e">
        <f>COUNTIFS(#REF!, "=2")</f>
        <v>#REF!</v>
      </c>
      <c r="P75" t="e">
        <f>#REF!</f>
        <v>#REF!</v>
      </c>
    </row>
    <row r="76" spans="1:16" x14ac:dyDescent="0.25">
      <c r="A76" t="e">
        <f>AND(#REF!=2, COUNTIF(Tables!L$1:L$4,#REF!))</f>
        <v>#REF!</v>
      </c>
      <c r="B76" t="e">
        <f>AND(#REF!=1, COUNTIF(Tables!L$1:L$4,#REF!))</f>
        <v>#REF!</v>
      </c>
      <c r="C76" t="e">
        <f>AND(A76,#REF!= 0)</f>
        <v>#REF!</v>
      </c>
      <c r="D76" t="e">
        <f>AND(B76,#REF!= 0)</f>
        <v>#REF!</v>
      </c>
      <c r="E76" t="e">
        <f>isNetPoint(#REF!)</f>
        <v>#VALUE!</v>
      </c>
      <c r="F76" t="e">
        <f>OR(#REF!=1,#REF!= 1)</f>
        <v>#REF!</v>
      </c>
      <c r="G76" t="e">
        <f>IF(#REF!=1,OR(E76="1",E76="3",F76=TRUE),OR(E76="2",E76="3"))</f>
        <v>#REF!</v>
      </c>
      <c r="H76" t="e">
        <f>IF(#REF!=2,OR(E76="1",E76="3",F76=TRUE),OR(E76="2",E76="3"))</f>
        <v>#REF!</v>
      </c>
      <c r="I76" t="e">
        <f>AND(G76=TRUE,#REF!=1)</f>
        <v>#REF!</v>
      </c>
      <c r="J76" t="e">
        <f>AND(H76=TRUE,#REF!=2)</f>
        <v>#REF!</v>
      </c>
      <c r="K76" t="e">
        <f>IF(#REF!=1,K75+1,0)</f>
        <v>#REF!</v>
      </c>
      <c r="L76" t="e">
        <f>IF(#REF!=2,L75+1,0)</f>
        <v>#REF!</v>
      </c>
      <c r="M76" t="e">
        <f>#REF!</f>
        <v>#REF!</v>
      </c>
      <c r="N76" t="e">
        <f>COUNTIFS(#REF!, "=1")</f>
        <v>#REF!</v>
      </c>
      <c r="O76" t="e">
        <f>COUNTIFS(#REF!, "=2")</f>
        <v>#REF!</v>
      </c>
      <c r="P76" t="e">
        <f>#REF!</f>
        <v>#REF!</v>
      </c>
    </row>
    <row r="77" spans="1:16" x14ac:dyDescent="0.25">
      <c r="A77" t="e">
        <f>AND(#REF!=2, COUNTIF(Tables!L$1:L$4,#REF!))</f>
        <v>#REF!</v>
      </c>
      <c r="B77" t="e">
        <f>AND(#REF!=1, COUNTIF(Tables!L$1:L$4,#REF!))</f>
        <v>#REF!</v>
      </c>
      <c r="C77" t="e">
        <f>AND(A77,#REF!= 0)</f>
        <v>#REF!</v>
      </c>
      <c r="D77" t="e">
        <f>AND(B77,#REF!= 0)</f>
        <v>#REF!</v>
      </c>
      <c r="E77" t="e">
        <f>isNetPoint(#REF!)</f>
        <v>#VALUE!</v>
      </c>
      <c r="F77" t="e">
        <f>OR(#REF!=1,#REF!= 1)</f>
        <v>#REF!</v>
      </c>
      <c r="G77" t="e">
        <f>IF(#REF!=1,OR(E77="1",E77="3",F77=TRUE),OR(E77="2",E77="3"))</f>
        <v>#REF!</v>
      </c>
      <c r="H77" t="e">
        <f>IF(#REF!=2,OR(E77="1",E77="3",F77=TRUE),OR(E77="2",E77="3"))</f>
        <v>#REF!</v>
      </c>
      <c r="I77" t="e">
        <f>AND(G77=TRUE,#REF!=1)</f>
        <v>#REF!</v>
      </c>
      <c r="J77" t="e">
        <f>AND(H77=TRUE,#REF!=2)</f>
        <v>#REF!</v>
      </c>
      <c r="K77" t="e">
        <f>IF(#REF!=1,K76+1,0)</f>
        <v>#REF!</v>
      </c>
      <c r="L77" t="e">
        <f>IF(#REF!=2,L76+1,0)</f>
        <v>#REF!</v>
      </c>
      <c r="M77" t="e">
        <f>#REF!</f>
        <v>#REF!</v>
      </c>
      <c r="N77" t="e">
        <f>COUNTIFS(#REF!, "=1")</f>
        <v>#REF!</v>
      </c>
      <c r="O77" t="e">
        <f>COUNTIFS(#REF!, "=2")</f>
        <v>#REF!</v>
      </c>
      <c r="P77" t="e">
        <f>#REF!</f>
        <v>#REF!</v>
      </c>
    </row>
    <row r="78" spans="1:16" x14ac:dyDescent="0.25">
      <c r="A78" t="e">
        <f>AND(#REF!=2, COUNTIF(Tables!L$1:L$4,#REF!))</f>
        <v>#REF!</v>
      </c>
      <c r="B78" t="e">
        <f>AND(#REF!=1, COUNTIF(Tables!L$1:L$4,#REF!))</f>
        <v>#REF!</v>
      </c>
      <c r="C78" t="e">
        <f>AND(A78,#REF!= 0)</f>
        <v>#REF!</v>
      </c>
      <c r="D78" t="e">
        <f>AND(B78,#REF!= 0)</f>
        <v>#REF!</v>
      </c>
      <c r="E78" t="e">
        <f>isNetPoint(#REF!)</f>
        <v>#VALUE!</v>
      </c>
      <c r="F78" t="e">
        <f>OR(#REF!=1,#REF!= 1)</f>
        <v>#REF!</v>
      </c>
      <c r="G78" t="e">
        <f>IF(#REF!=1,OR(E78="1",E78="3",F78=TRUE),OR(E78="2",E78="3"))</f>
        <v>#REF!</v>
      </c>
      <c r="H78" t="e">
        <f>IF(#REF!=2,OR(E78="1",E78="3",F78=TRUE),OR(E78="2",E78="3"))</f>
        <v>#REF!</v>
      </c>
      <c r="I78" t="e">
        <f>AND(G78=TRUE,#REF!=1)</f>
        <v>#REF!</v>
      </c>
      <c r="J78" t="e">
        <f>AND(H78=TRUE,#REF!=2)</f>
        <v>#REF!</v>
      </c>
      <c r="K78" t="e">
        <f>IF(#REF!=1,K77+1,0)</f>
        <v>#REF!</v>
      </c>
      <c r="L78" t="e">
        <f>IF(#REF!=2,L77+1,0)</f>
        <v>#REF!</v>
      </c>
      <c r="M78" t="e">
        <f>#REF!</f>
        <v>#REF!</v>
      </c>
      <c r="N78" t="e">
        <f>COUNTIFS(#REF!, "=1")</f>
        <v>#REF!</v>
      </c>
      <c r="O78" t="e">
        <f>COUNTIFS(#REF!, "=2")</f>
        <v>#REF!</v>
      </c>
      <c r="P78" t="e">
        <f>#REF!</f>
        <v>#REF!</v>
      </c>
    </row>
    <row r="79" spans="1:16" x14ac:dyDescent="0.25">
      <c r="A79" t="e">
        <f>AND(#REF!=2, COUNTIF(Tables!L$1:L$4,#REF!))</f>
        <v>#REF!</v>
      </c>
      <c r="B79" t="e">
        <f>AND(#REF!=1, COUNTIF(Tables!L$1:L$4,#REF!))</f>
        <v>#REF!</v>
      </c>
      <c r="C79" t="e">
        <f>AND(A79,#REF!= 0)</f>
        <v>#REF!</v>
      </c>
      <c r="D79" t="e">
        <f>AND(B79,#REF!= 0)</f>
        <v>#REF!</v>
      </c>
      <c r="E79" t="e">
        <f>isNetPoint(#REF!)</f>
        <v>#VALUE!</v>
      </c>
      <c r="F79" t="e">
        <f>OR(#REF!=1,#REF!= 1)</f>
        <v>#REF!</v>
      </c>
      <c r="G79" t="e">
        <f>IF(#REF!=1,OR(E79="1",E79="3",F79=TRUE),OR(E79="2",E79="3"))</f>
        <v>#REF!</v>
      </c>
      <c r="H79" t="e">
        <f>IF(#REF!=2,OR(E79="1",E79="3",F79=TRUE),OR(E79="2",E79="3"))</f>
        <v>#REF!</v>
      </c>
      <c r="I79" t="e">
        <f>AND(G79=TRUE,#REF!=1)</f>
        <v>#REF!</v>
      </c>
      <c r="J79" t="e">
        <f>AND(H79=TRUE,#REF!=2)</f>
        <v>#REF!</v>
      </c>
      <c r="K79" t="e">
        <f>IF(#REF!=1,K78+1,0)</f>
        <v>#REF!</v>
      </c>
      <c r="L79" t="e">
        <f>IF(#REF!=2,L78+1,0)</f>
        <v>#REF!</v>
      </c>
      <c r="M79" t="e">
        <f>#REF!</f>
        <v>#REF!</v>
      </c>
      <c r="N79" t="e">
        <f>COUNTIFS(#REF!, "=1")</f>
        <v>#REF!</v>
      </c>
      <c r="O79" t="e">
        <f>COUNTIFS(#REF!, "=2")</f>
        <v>#REF!</v>
      </c>
      <c r="P79" t="e">
        <f>#REF!</f>
        <v>#REF!</v>
      </c>
    </row>
    <row r="80" spans="1:16" x14ac:dyDescent="0.25">
      <c r="A80" t="e">
        <f>AND(#REF!=2, COUNTIF(Tables!L$1:L$4,#REF!))</f>
        <v>#REF!</v>
      </c>
      <c r="B80" t="e">
        <f>AND(#REF!=1, COUNTIF(Tables!L$1:L$4,#REF!))</f>
        <v>#REF!</v>
      </c>
      <c r="C80" t="e">
        <f>AND(A80,#REF!= 0)</f>
        <v>#REF!</v>
      </c>
      <c r="D80" t="e">
        <f>AND(B80,#REF!= 0)</f>
        <v>#REF!</v>
      </c>
      <c r="E80" t="e">
        <f>isNetPoint(#REF!)</f>
        <v>#VALUE!</v>
      </c>
      <c r="F80" t="e">
        <f>OR(#REF!=1,#REF!= 1)</f>
        <v>#REF!</v>
      </c>
      <c r="G80" t="e">
        <f>IF(#REF!=1,OR(E80="1",E80="3",F80=TRUE),OR(E80="2",E80="3"))</f>
        <v>#REF!</v>
      </c>
      <c r="H80" t="e">
        <f>IF(#REF!=2,OR(E80="1",E80="3",F80=TRUE),OR(E80="2",E80="3"))</f>
        <v>#REF!</v>
      </c>
      <c r="I80" t="e">
        <f>AND(G80=TRUE,#REF!=1)</f>
        <v>#REF!</v>
      </c>
      <c r="J80" t="e">
        <f>AND(H80=TRUE,#REF!=2)</f>
        <v>#REF!</v>
      </c>
      <c r="K80" t="e">
        <f>IF(#REF!=1,K79+1,0)</f>
        <v>#REF!</v>
      </c>
      <c r="L80" t="e">
        <f>IF(#REF!=2,L79+1,0)</f>
        <v>#REF!</v>
      </c>
      <c r="M80" t="e">
        <f>#REF!</f>
        <v>#REF!</v>
      </c>
      <c r="N80" t="e">
        <f>COUNTIFS(#REF!, "=1")</f>
        <v>#REF!</v>
      </c>
      <c r="O80" t="e">
        <f>COUNTIFS(#REF!, "=2")</f>
        <v>#REF!</v>
      </c>
      <c r="P80" t="e">
        <f>#REF!</f>
        <v>#REF!</v>
      </c>
    </row>
    <row r="81" spans="1:16" x14ac:dyDescent="0.25">
      <c r="A81" t="e">
        <f>AND(#REF!=2, COUNTIF(Tables!L$1:L$4,#REF!))</f>
        <v>#REF!</v>
      </c>
      <c r="B81" t="e">
        <f>AND(#REF!=1, COUNTIF(Tables!L$1:L$4,#REF!))</f>
        <v>#REF!</v>
      </c>
      <c r="C81" t="e">
        <f>AND(A81,#REF!= 0)</f>
        <v>#REF!</v>
      </c>
      <c r="D81" t="e">
        <f>AND(B81,#REF!= 0)</f>
        <v>#REF!</v>
      </c>
      <c r="E81" t="e">
        <f>isNetPoint(#REF!)</f>
        <v>#VALUE!</v>
      </c>
      <c r="F81" t="e">
        <f>OR(#REF!=1,#REF!= 1)</f>
        <v>#REF!</v>
      </c>
      <c r="G81" t="e">
        <f>IF(#REF!=1,OR(E81="1",E81="3",F81=TRUE),OR(E81="2",E81="3"))</f>
        <v>#REF!</v>
      </c>
      <c r="H81" t="e">
        <f>IF(#REF!=2,OR(E81="1",E81="3",F81=TRUE),OR(E81="2",E81="3"))</f>
        <v>#REF!</v>
      </c>
      <c r="I81" t="e">
        <f>AND(G81=TRUE,#REF!=1)</f>
        <v>#REF!</v>
      </c>
      <c r="J81" t="e">
        <f>AND(H81=TRUE,#REF!=2)</f>
        <v>#REF!</v>
      </c>
      <c r="K81" t="e">
        <f>IF(#REF!=1,K80+1,0)</f>
        <v>#REF!</v>
      </c>
      <c r="L81" t="e">
        <f>IF(#REF!=2,L80+1,0)</f>
        <v>#REF!</v>
      </c>
      <c r="M81" t="e">
        <f>#REF!</f>
        <v>#REF!</v>
      </c>
      <c r="N81" t="e">
        <f>COUNTIFS(#REF!, "=1")</f>
        <v>#REF!</v>
      </c>
      <c r="O81" t="e">
        <f>COUNTIFS(#REF!, "=2")</f>
        <v>#REF!</v>
      </c>
      <c r="P81" t="e">
        <f>#REF!</f>
        <v>#REF!</v>
      </c>
    </row>
    <row r="82" spans="1:16" x14ac:dyDescent="0.25">
      <c r="A82" t="e">
        <f>AND(#REF!=2, COUNTIF(Tables!L$1:L$4,#REF!))</f>
        <v>#REF!</v>
      </c>
      <c r="B82" t="e">
        <f>AND(#REF!=1, COUNTIF(Tables!L$1:L$4,#REF!))</f>
        <v>#REF!</v>
      </c>
      <c r="C82" t="e">
        <f>AND(A82,#REF!= 0)</f>
        <v>#REF!</v>
      </c>
      <c r="D82" t="e">
        <f>AND(B82,#REF!= 0)</f>
        <v>#REF!</v>
      </c>
      <c r="E82" t="e">
        <f>isNetPoint(#REF!)</f>
        <v>#VALUE!</v>
      </c>
      <c r="F82" t="e">
        <f>OR(#REF!=1,#REF!= 1)</f>
        <v>#REF!</v>
      </c>
      <c r="G82" t="e">
        <f>IF(#REF!=1,OR(E82="1",E82="3",F82=TRUE),OR(E82="2",E82="3"))</f>
        <v>#REF!</v>
      </c>
      <c r="H82" t="e">
        <f>IF(#REF!=2,OR(E82="1",E82="3",F82=TRUE),OR(E82="2",E82="3"))</f>
        <v>#REF!</v>
      </c>
      <c r="I82" t="e">
        <f>AND(G82=TRUE,#REF!=1)</f>
        <v>#REF!</v>
      </c>
      <c r="J82" t="e">
        <f>AND(H82=TRUE,#REF!=2)</f>
        <v>#REF!</v>
      </c>
      <c r="K82" t="e">
        <f>IF(#REF!=1,K81+1,0)</f>
        <v>#REF!</v>
      </c>
      <c r="L82" t="e">
        <f>IF(#REF!=2,L81+1,0)</f>
        <v>#REF!</v>
      </c>
      <c r="M82" t="e">
        <f>#REF!</f>
        <v>#REF!</v>
      </c>
      <c r="N82" t="e">
        <f>COUNTIFS(#REF!, "=1")</f>
        <v>#REF!</v>
      </c>
      <c r="O82" t="e">
        <f>COUNTIFS(#REF!, "=2")</f>
        <v>#REF!</v>
      </c>
      <c r="P82" t="e">
        <f>#REF!</f>
        <v>#REF!</v>
      </c>
    </row>
    <row r="83" spans="1:16" x14ac:dyDescent="0.25">
      <c r="A83" t="e">
        <f>AND(#REF!=2, COUNTIF(Tables!L$1:L$4,#REF!))</f>
        <v>#REF!</v>
      </c>
      <c r="B83" t="e">
        <f>AND(#REF!=1, COUNTIF(Tables!L$1:L$4,#REF!))</f>
        <v>#REF!</v>
      </c>
      <c r="C83" t="e">
        <f>AND(A83,#REF!= 0)</f>
        <v>#REF!</v>
      </c>
      <c r="D83" t="e">
        <f>AND(B83,#REF!= 0)</f>
        <v>#REF!</v>
      </c>
      <c r="E83" t="e">
        <f>isNetPoint(#REF!)</f>
        <v>#VALUE!</v>
      </c>
      <c r="F83" t="e">
        <f>OR(#REF!=1,#REF!= 1)</f>
        <v>#REF!</v>
      </c>
      <c r="G83" t="e">
        <f>IF(#REF!=1,OR(E83="1",E83="3",F83=TRUE),OR(E83="2",E83="3"))</f>
        <v>#REF!</v>
      </c>
      <c r="H83" t="e">
        <f>IF(#REF!=2,OR(E83="1",E83="3",F83=TRUE),OR(E83="2",E83="3"))</f>
        <v>#REF!</v>
      </c>
      <c r="I83" t="e">
        <f>AND(G83=TRUE,#REF!=1)</f>
        <v>#REF!</v>
      </c>
      <c r="J83" t="e">
        <f>AND(H83=TRUE,#REF!=2)</f>
        <v>#REF!</v>
      </c>
      <c r="K83" t="e">
        <f>IF(#REF!=1,K82+1,0)</f>
        <v>#REF!</v>
      </c>
      <c r="L83" t="e">
        <f>IF(#REF!=2,L82+1,0)</f>
        <v>#REF!</v>
      </c>
      <c r="M83" t="e">
        <f>#REF!</f>
        <v>#REF!</v>
      </c>
      <c r="N83" t="e">
        <f>COUNTIFS(#REF!, "=1")</f>
        <v>#REF!</v>
      </c>
      <c r="O83" t="e">
        <f>COUNTIFS(#REF!, "=2")</f>
        <v>#REF!</v>
      </c>
      <c r="P83" t="e">
        <f>#REF!</f>
        <v>#REF!</v>
      </c>
    </row>
    <row r="84" spans="1:16" x14ac:dyDescent="0.25">
      <c r="A84" t="e">
        <f>AND(#REF!=2, COUNTIF(Tables!L$1:L$4,#REF!))</f>
        <v>#REF!</v>
      </c>
      <c r="B84" t="e">
        <f>AND(#REF!=1, COUNTIF(Tables!L$1:L$4,#REF!))</f>
        <v>#REF!</v>
      </c>
      <c r="C84" t="e">
        <f>AND(A84,#REF!= 0)</f>
        <v>#REF!</v>
      </c>
      <c r="D84" t="e">
        <f>AND(B84,#REF!= 0)</f>
        <v>#REF!</v>
      </c>
      <c r="E84" t="e">
        <f>isNetPoint(#REF!)</f>
        <v>#VALUE!</v>
      </c>
      <c r="F84" t="e">
        <f>OR(#REF!=1,#REF!= 1)</f>
        <v>#REF!</v>
      </c>
      <c r="G84" t="e">
        <f>IF(#REF!=1,OR(E84="1",E84="3",F84=TRUE),OR(E84="2",E84="3"))</f>
        <v>#REF!</v>
      </c>
      <c r="H84" t="e">
        <f>IF(#REF!=2,OR(E84="1",E84="3",F84=TRUE),OR(E84="2",E84="3"))</f>
        <v>#REF!</v>
      </c>
      <c r="I84" t="e">
        <f>AND(G84=TRUE,#REF!=1)</f>
        <v>#REF!</v>
      </c>
      <c r="J84" t="e">
        <f>AND(H84=TRUE,#REF!=2)</f>
        <v>#REF!</v>
      </c>
      <c r="K84" t="e">
        <f>IF(#REF!=1,K83+1,0)</f>
        <v>#REF!</v>
      </c>
      <c r="L84" t="e">
        <f>IF(#REF!=2,L83+1,0)</f>
        <v>#REF!</v>
      </c>
      <c r="M84" t="e">
        <f>#REF!</f>
        <v>#REF!</v>
      </c>
      <c r="N84" t="e">
        <f>COUNTIFS(#REF!, "=1")</f>
        <v>#REF!</v>
      </c>
      <c r="O84" t="e">
        <f>COUNTIFS(#REF!, "=2")</f>
        <v>#REF!</v>
      </c>
      <c r="P84" t="e">
        <f>#REF!</f>
        <v>#REF!</v>
      </c>
    </row>
    <row r="85" spans="1:16" x14ac:dyDescent="0.25">
      <c r="A85" t="e">
        <f>AND(#REF!=2, COUNTIF(Tables!L$1:L$4,#REF!))</f>
        <v>#REF!</v>
      </c>
      <c r="B85" t="e">
        <f>AND(#REF!=1, COUNTIF(Tables!L$1:L$4,#REF!))</f>
        <v>#REF!</v>
      </c>
      <c r="C85" t="e">
        <f>AND(A85,#REF!= 0)</f>
        <v>#REF!</v>
      </c>
      <c r="D85" t="e">
        <f>AND(B85,#REF!= 0)</f>
        <v>#REF!</v>
      </c>
      <c r="E85" t="e">
        <f>isNetPoint(#REF!)</f>
        <v>#VALUE!</v>
      </c>
      <c r="F85" t="e">
        <f>OR(#REF!=1,#REF!= 1)</f>
        <v>#REF!</v>
      </c>
      <c r="G85" t="e">
        <f>IF(#REF!=1,OR(E85="1",E85="3",F85=TRUE),OR(E85="2",E85="3"))</f>
        <v>#REF!</v>
      </c>
      <c r="H85" t="e">
        <f>IF(#REF!=2,OR(E85="1",E85="3",F85=TRUE),OR(E85="2",E85="3"))</f>
        <v>#REF!</v>
      </c>
      <c r="I85" t="e">
        <f>AND(G85=TRUE,#REF!=1)</f>
        <v>#REF!</v>
      </c>
      <c r="J85" t="e">
        <f>AND(H85=TRUE,#REF!=2)</f>
        <v>#REF!</v>
      </c>
      <c r="K85" t="e">
        <f>IF(#REF!=1,K84+1,0)</f>
        <v>#REF!</v>
      </c>
      <c r="L85" t="e">
        <f>IF(#REF!=2,L84+1,0)</f>
        <v>#REF!</v>
      </c>
      <c r="M85" t="e">
        <f>#REF!</f>
        <v>#REF!</v>
      </c>
      <c r="N85" t="e">
        <f>COUNTIFS(#REF!, "=1")</f>
        <v>#REF!</v>
      </c>
      <c r="O85" t="e">
        <f>COUNTIFS(#REF!, "=2")</f>
        <v>#REF!</v>
      </c>
      <c r="P85" t="e">
        <f>#REF!</f>
        <v>#REF!</v>
      </c>
    </row>
    <row r="86" spans="1:16" x14ac:dyDescent="0.25">
      <c r="A86" t="e">
        <f>AND(#REF!=2, COUNTIF(Tables!L$1:L$4,#REF!))</f>
        <v>#REF!</v>
      </c>
      <c r="B86" t="e">
        <f>AND(#REF!=1, COUNTIF(Tables!L$1:L$4,#REF!))</f>
        <v>#REF!</v>
      </c>
      <c r="C86" t="e">
        <f>AND(A86,#REF!= 0)</f>
        <v>#REF!</v>
      </c>
      <c r="D86" t="e">
        <f>AND(B86,#REF!= 0)</f>
        <v>#REF!</v>
      </c>
      <c r="E86" t="e">
        <f>isNetPoint(#REF!)</f>
        <v>#VALUE!</v>
      </c>
      <c r="F86" t="e">
        <f>OR(#REF!=1,#REF!= 1)</f>
        <v>#REF!</v>
      </c>
      <c r="G86" t="e">
        <f>IF(#REF!=1,OR(E86="1",E86="3",F86=TRUE),OR(E86="2",E86="3"))</f>
        <v>#REF!</v>
      </c>
      <c r="H86" t="e">
        <f>IF(#REF!=2,OR(E86="1",E86="3",F86=TRUE),OR(E86="2",E86="3"))</f>
        <v>#REF!</v>
      </c>
      <c r="I86" t="e">
        <f>AND(G86=TRUE,#REF!=1)</f>
        <v>#REF!</v>
      </c>
      <c r="J86" t="e">
        <f>AND(H86=TRUE,#REF!=2)</f>
        <v>#REF!</v>
      </c>
      <c r="K86" t="e">
        <f>IF(#REF!=1,K85+1,0)</f>
        <v>#REF!</v>
      </c>
      <c r="L86" t="e">
        <f>IF(#REF!=2,L85+1,0)</f>
        <v>#REF!</v>
      </c>
      <c r="M86" t="e">
        <f>#REF!</f>
        <v>#REF!</v>
      </c>
      <c r="N86" t="e">
        <f>COUNTIFS(#REF!, "=1")</f>
        <v>#REF!</v>
      </c>
      <c r="O86" t="e">
        <f>COUNTIFS(#REF!, "=2")</f>
        <v>#REF!</v>
      </c>
      <c r="P86" t="e">
        <f>#REF!</f>
        <v>#REF!</v>
      </c>
    </row>
    <row r="87" spans="1:16" x14ac:dyDescent="0.25">
      <c r="A87" t="e">
        <f>AND(#REF!=2, COUNTIF(Tables!L$1:L$4,#REF!))</f>
        <v>#REF!</v>
      </c>
      <c r="B87" t="e">
        <f>AND(#REF!=1, COUNTIF(Tables!L$1:L$4,#REF!))</f>
        <v>#REF!</v>
      </c>
      <c r="C87" t="e">
        <f>AND(A87,#REF!= 0)</f>
        <v>#REF!</v>
      </c>
      <c r="D87" t="e">
        <f>AND(B87,#REF!= 0)</f>
        <v>#REF!</v>
      </c>
      <c r="E87" t="e">
        <f>isNetPoint(#REF!)</f>
        <v>#VALUE!</v>
      </c>
      <c r="F87" t="e">
        <f>OR(#REF!=1,#REF!= 1)</f>
        <v>#REF!</v>
      </c>
      <c r="G87" t="e">
        <f>IF(#REF!=1,OR(E87="1",E87="3",F87=TRUE),OR(E87="2",E87="3"))</f>
        <v>#REF!</v>
      </c>
      <c r="H87" t="e">
        <f>IF(#REF!=2,OR(E87="1",E87="3",F87=TRUE),OR(E87="2",E87="3"))</f>
        <v>#REF!</v>
      </c>
      <c r="I87" t="e">
        <f>AND(G87=TRUE,#REF!=1)</f>
        <v>#REF!</v>
      </c>
      <c r="J87" t="e">
        <f>AND(H87=TRUE,#REF!=2)</f>
        <v>#REF!</v>
      </c>
      <c r="K87" t="e">
        <f>IF(#REF!=1,K86+1,0)</f>
        <v>#REF!</v>
      </c>
      <c r="L87" t="e">
        <f>IF(#REF!=2,L86+1,0)</f>
        <v>#REF!</v>
      </c>
      <c r="M87" t="e">
        <f>#REF!</f>
        <v>#REF!</v>
      </c>
      <c r="N87" t="e">
        <f>COUNTIFS(#REF!, "=1")</f>
        <v>#REF!</v>
      </c>
      <c r="O87" t="e">
        <f>COUNTIFS(#REF!, "=2")</f>
        <v>#REF!</v>
      </c>
      <c r="P87" t="e">
        <f>#REF!</f>
        <v>#REF!</v>
      </c>
    </row>
    <row r="88" spans="1:16" x14ac:dyDescent="0.25">
      <c r="A88" t="e">
        <f>AND(#REF!=2, COUNTIF(Tables!L$1:L$4,#REF!))</f>
        <v>#REF!</v>
      </c>
      <c r="B88" t="e">
        <f>AND(#REF!=1, COUNTIF(Tables!L$1:L$4,#REF!))</f>
        <v>#REF!</v>
      </c>
      <c r="C88" t="e">
        <f>AND(A88,#REF!= 0)</f>
        <v>#REF!</v>
      </c>
      <c r="D88" t="e">
        <f>AND(B88,#REF!= 0)</f>
        <v>#REF!</v>
      </c>
      <c r="E88" t="e">
        <f>isNetPoint(#REF!)</f>
        <v>#VALUE!</v>
      </c>
      <c r="F88" t="e">
        <f>OR(#REF!=1,#REF!= 1)</f>
        <v>#REF!</v>
      </c>
      <c r="G88" t="e">
        <f>IF(#REF!=1,OR(E88="1",E88="3",F88=TRUE),OR(E88="2",E88="3"))</f>
        <v>#REF!</v>
      </c>
      <c r="H88" t="e">
        <f>IF(#REF!=2,OR(E88="1",E88="3",F88=TRUE),OR(E88="2",E88="3"))</f>
        <v>#REF!</v>
      </c>
      <c r="I88" t="e">
        <f>AND(G88=TRUE,#REF!=1)</f>
        <v>#REF!</v>
      </c>
      <c r="J88" t="e">
        <f>AND(H88=TRUE,#REF!=2)</f>
        <v>#REF!</v>
      </c>
      <c r="K88" t="e">
        <f>IF(#REF!=1,K87+1,0)</f>
        <v>#REF!</v>
      </c>
      <c r="L88" t="e">
        <f>IF(#REF!=2,L87+1,0)</f>
        <v>#REF!</v>
      </c>
      <c r="M88" t="e">
        <f>#REF!</f>
        <v>#REF!</v>
      </c>
      <c r="N88" t="e">
        <f>COUNTIFS(#REF!, "=1")</f>
        <v>#REF!</v>
      </c>
      <c r="O88" t="e">
        <f>COUNTIFS(#REF!, "=2")</f>
        <v>#REF!</v>
      </c>
      <c r="P88" t="e">
        <f>#REF!</f>
        <v>#REF!</v>
      </c>
    </row>
    <row r="89" spans="1:16" x14ac:dyDescent="0.25">
      <c r="A89" t="e">
        <f>AND(#REF!=2, COUNTIF(Tables!L$1:L$4,#REF!))</f>
        <v>#REF!</v>
      </c>
      <c r="B89" t="e">
        <f>AND(#REF!=1, COUNTIF(Tables!L$1:L$4,#REF!))</f>
        <v>#REF!</v>
      </c>
      <c r="C89" t="e">
        <f>AND(A89,#REF!= 0)</f>
        <v>#REF!</v>
      </c>
      <c r="D89" t="e">
        <f>AND(B89,#REF!= 0)</f>
        <v>#REF!</v>
      </c>
      <c r="E89" t="e">
        <f>isNetPoint(#REF!)</f>
        <v>#VALUE!</v>
      </c>
      <c r="F89" t="e">
        <f>OR(#REF!=1,#REF!= 1)</f>
        <v>#REF!</v>
      </c>
      <c r="G89" t="e">
        <f>IF(#REF!=1,OR(E89="1",E89="3",F89=TRUE),OR(E89="2",E89="3"))</f>
        <v>#REF!</v>
      </c>
      <c r="H89" t="e">
        <f>IF(#REF!=2,OR(E89="1",E89="3",F89=TRUE),OR(E89="2",E89="3"))</f>
        <v>#REF!</v>
      </c>
      <c r="I89" t="e">
        <f>AND(G89=TRUE,#REF!=1)</f>
        <v>#REF!</v>
      </c>
      <c r="J89" t="e">
        <f>AND(H89=TRUE,#REF!=2)</f>
        <v>#REF!</v>
      </c>
      <c r="K89" t="e">
        <f>IF(#REF!=1,K88+1,0)</f>
        <v>#REF!</v>
      </c>
      <c r="L89" t="e">
        <f>IF(#REF!=2,L88+1,0)</f>
        <v>#REF!</v>
      </c>
      <c r="M89" t="e">
        <f>#REF!</f>
        <v>#REF!</v>
      </c>
      <c r="N89" t="e">
        <f>COUNTIFS(#REF!, "=1")</f>
        <v>#REF!</v>
      </c>
      <c r="O89" t="e">
        <f>COUNTIFS(#REF!, "=2")</f>
        <v>#REF!</v>
      </c>
      <c r="P89" t="e">
        <f>#REF!</f>
        <v>#REF!</v>
      </c>
    </row>
    <row r="90" spans="1:16" x14ac:dyDescent="0.25">
      <c r="A90" t="e">
        <f>AND(#REF!=2, COUNTIF(Tables!L$1:L$4,#REF!))</f>
        <v>#REF!</v>
      </c>
      <c r="B90" t="e">
        <f>AND(#REF!=1, COUNTIF(Tables!L$1:L$4,#REF!))</f>
        <v>#REF!</v>
      </c>
      <c r="C90" t="e">
        <f>AND(A90,#REF!= 0)</f>
        <v>#REF!</v>
      </c>
      <c r="D90" t="e">
        <f>AND(B90,#REF!= 0)</f>
        <v>#REF!</v>
      </c>
      <c r="E90" t="e">
        <f>isNetPoint(#REF!)</f>
        <v>#VALUE!</v>
      </c>
      <c r="F90" t="e">
        <f>OR(#REF!=1,#REF!= 1)</f>
        <v>#REF!</v>
      </c>
      <c r="G90" t="e">
        <f>IF(#REF!=1,OR(E90="1",E90="3",F90=TRUE),OR(E90="2",E90="3"))</f>
        <v>#REF!</v>
      </c>
      <c r="H90" t="e">
        <f>IF(#REF!=2,OR(E90="1",E90="3",F90=TRUE),OR(E90="2",E90="3"))</f>
        <v>#REF!</v>
      </c>
      <c r="I90" t="e">
        <f>AND(G90=TRUE,#REF!=1)</f>
        <v>#REF!</v>
      </c>
      <c r="J90" t="e">
        <f>AND(H90=TRUE,#REF!=2)</f>
        <v>#REF!</v>
      </c>
      <c r="K90" t="e">
        <f>IF(#REF!=1,K89+1,0)</f>
        <v>#REF!</v>
      </c>
      <c r="L90" t="e">
        <f>IF(#REF!=2,L89+1,0)</f>
        <v>#REF!</v>
      </c>
      <c r="M90" t="e">
        <f>#REF!</f>
        <v>#REF!</v>
      </c>
      <c r="N90" t="e">
        <f>COUNTIFS(#REF!, "=1")</f>
        <v>#REF!</v>
      </c>
      <c r="O90" t="e">
        <f>COUNTIFS(#REF!, "=2")</f>
        <v>#REF!</v>
      </c>
      <c r="P90" t="e">
        <f>#REF!</f>
        <v>#REF!</v>
      </c>
    </row>
    <row r="91" spans="1:16" x14ac:dyDescent="0.25">
      <c r="A91" t="e">
        <f>AND(#REF!=2, COUNTIF(Tables!L$1:L$4,#REF!))</f>
        <v>#REF!</v>
      </c>
      <c r="B91" t="e">
        <f>AND(#REF!=1, COUNTIF(Tables!L$1:L$4,#REF!))</f>
        <v>#REF!</v>
      </c>
      <c r="C91" t="e">
        <f>AND(A91,#REF!= 0)</f>
        <v>#REF!</v>
      </c>
      <c r="D91" t="e">
        <f>AND(B91,#REF!= 0)</f>
        <v>#REF!</v>
      </c>
      <c r="E91" t="e">
        <f>isNetPoint(#REF!)</f>
        <v>#VALUE!</v>
      </c>
      <c r="F91" t="e">
        <f>OR(#REF!=1,#REF!= 1)</f>
        <v>#REF!</v>
      </c>
      <c r="G91" t="e">
        <f>IF(#REF!=1,OR(E91="1",E91="3",F91=TRUE),OR(E91="2",E91="3"))</f>
        <v>#REF!</v>
      </c>
      <c r="H91" t="e">
        <f>IF(#REF!=2,OR(E91="1",E91="3",F91=TRUE),OR(E91="2",E91="3"))</f>
        <v>#REF!</v>
      </c>
      <c r="I91" t="e">
        <f>AND(G91=TRUE,#REF!=1)</f>
        <v>#REF!</v>
      </c>
      <c r="J91" t="e">
        <f>AND(H91=TRUE,#REF!=2)</f>
        <v>#REF!</v>
      </c>
      <c r="K91" t="e">
        <f>IF(#REF!=1,K90+1,0)</f>
        <v>#REF!</v>
      </c>
      <c r="L91" t="e">
        <f>IF(#REF!=2,L90+1,0)</f>
        <v>#REF!</v>
      </c>
      <c r="M91" t="e">
        <f>#REF!</f>
        <v>#REF!</v>
      </c>
      <c r="N91" t="e">
        <f>COUNTIFS(#REF!, "=1")</f>
        <v>#REF!</v>
      </c>
      <c r="O91" t="e">
        <f>COUNTIFS(#REF!, "=2")</f>
        <v>#REF!</v>
      </c>
      <c r="P91" t="e">
        <f>#REF!</f>
        <v>#REF!</v>
      </c>
    </row>
    <row r="92" spans="1:16" x14ac:dyDescent="0.25">
      <c r="A92" t="e">
        <f>AND(#REF!=2, COUNTIF(Tables!L$1:L$4,#REF!))</f>
        <v>#REF!</v>
      </c>
      <c r="B92" t="e">
        <f>AND(#REF!=1, COUNTIF(Tables!L$1:L$4,#REF!))</f>
        <v>#REF!</v>
      </c>
      <c r="C92" t="e">
        <f>AND(A92,#REF!= 0)</f>
        <v>#REF!</v>
      </c>
      <c r="D92" t="e">
        <f>AND(B92,#REF!= 0)</f>
        <v>#REF!</v>
      </c>
      <c r="E92" t="e">
        <f>isNetPoint(#REF!)</f>
        <v>#VALUE!</v>
      </c>
      <c r="F92" t="e">
        <f>OR(#REF!=1,#REF!= 1)</f>
        <v>#REF!</v>
      </c>
      <c r="G92" t="e">
        <f>IF(#REF!=1,OR(E92="1",E92="3",F92=TRUE),OR(E92="2",E92="3"))</f>
        <v>#REF!</v>
      </c>
      <c r="H92" t="e">
        <f>IF(#REF!=2,OR(E92="1",E92="3",F92=TRUE),OR(E92="2",E92="3"))</f>
        <v>#REF!</v>
      </c>
      <c r="I92" t="e">
        <f>AND(G92=TRUE,#REF!=1)</f>
        <v>#REF!</v>
      </c>
      <c r="J92" t="e">
        <f>AND(H92=TRUE,#REF!=2)</f>
        <v>#REF!</v>
      </c>
      <c r="K92" t="e">
        <f>IF(#REF!=1,K91+1,0)</f>
        <v>#REF!</v>
      </c>
      <c r="L92" t="e">
        <f>IF(#REF!=2,L91+1,0)</f>
        <v>#REF!</v>
      </c>
      <c r="M92" t="e">
        <f>#REF!</f>
        <v>#REF!</v>
      </c>
      <c r="N92" t="e">
        <f>COUNTIFS(#REF!, "=1")</f>
        <v>#REF!</v>
      </c>
      <c r="O92" t="e">
        <f>COUNTIFS(#REF!, "=2")</f>
        <v>#REF!</v>
      </c>
      <c r="P92" t="e">
        <f>#REF!</f>
        <v>#REF!</v>
      </c>
    </row>
    <row r="93" spans="1:16" x14ac:dyDescent="0.25">
      <c r="A93" t="e">
        <f>AND(#REF!=2, COUNTIF(Tables!L$1:L$4,#REF!))</f>
        <v>#REF!</v>
      </c>
      <c r="B93" t="e">
        <f>AND(#REF!=1, COUNTIF(Tables!L$1:L$4,#REF!))</f>
        <v>#REF!</v>
      </c>
      <c r="C93" t="e">
        <f>AND(A93,#REF!= 0)</f>
        <v>#REF!</v>
      </c>
      <c r="D93" t="e">
        <f>AND(B93,#REF!= 0)</f>
        <v>#REF!</v>
      </c>
      <c r="E93" t="e">
        <f>isNetPoint(#REF!)</f>
        <v>#VALUE!</v>
      </c>
      <c r="F93" t="e">
        <f>OR(#REF!=1,#REF!= 1)</f>
        <v>#REF!</v>
      </c>
      <c r="G93" t="e">
        <f>IF(#REF!=1,OR(E93="1",E93="3",F93=TRUE),OR(E93="2",E93="3"))</f>
        <v>#REF!</v>
      </c>
      <c r="H93" t="e">
        <f>IF(#REF!=2,OR(E93="1",E93="3",F93=TRUE),OR(E93="2",E93="3"))</f>
        <v>#REF!</v>
      </c>
      <c r="I93" t="e">
        <f>AND(G93=TRUE,#REF!=1)</f>
        <v>#REF!</v>
      </c>
      <c r="J93" t="e">
        <f>AND(H93=TRUE,#REF!=2)</f>
        <v>#REF!</v>
      </c>
      <c r="K93" t="e">
        <f>IF(#REF!=1,K92+1,0)</f>
        <v>#REF!</v>
      </c>
      <c r="L93" t="e">
        <f>IF(#REF!=2,L92+1,0)</f>
        <v>#REF!</v>
      </c>
      <c r="M93" t="e">
        <f>#REF!</f>
        <v>#REF!</v>
      </c>
      <c r="N93" t="e">
        <f>COUNTIFS(#REF!, "=1")</f>
        <v>#REF!</v>
      </c>
      <c r="O93" t="e">
        <f>COUNTIFS(#REF!, "=2")</f>
        <v>#REF!</v>
      </c>
      <c r="P93" t="e">
        <f>#REF!</f>
        <v>#REF!</v>
      </c>
    </row>
    <row r="94" spans="1:16" x14ac:dyDescent="0.25">
      <c r="A94" t="e">
        <f>AND(#REF!=2, COUNTIF(Tables!L$1:L$4,#REF!))</f>
        <v>#REF!</v>
      </c>
      <c r="B94" t="e">
        <f>AND(#REF!=1, COUNTIF(Tables!L$1:L$4,#REF!))</f>
        <v>#REF!</v>
      </c>
      <c r="C94" t="e">
        <f>AND(A94,#REF!= 0)</f>
        <v>#REF!</v>
      </c>
      <c r="D94" t="e">
        <f>AND(B94,#REF!= 0)</f>
        <v>#REF!</v>
      </c>
      <c r="E94" t="e">
        <f>isNetPoint(#REF!)</f>
        <v>#VALUE!</v>
      </c>
      <c r="F94" t="e">
        <f>OR(#REF!=1,#REF!= 1)</f>
        <v>#REF!</v>
      </c>
      <c r="G94" t="e">
        <f>IF(#REF!=1,OR(E94="1",E94="3",F94=TRUE),OR(E94="2",E94="3"))</f>
        <v>#REF!</v>
      </c>
      <c r="H94" t="e">
        <f>IF(#REF!=2,OR(E94="1",E94="3",F94=TRUE),OR(E94="2",E94="3"))</f>
        <v>#REF!</v>
      </c>
      <c r="I94" t="e">
        <f>AND(G94=TRUE,#REF!=1)</f>
        <v>#REF!</v>
      </c>
      <c r="J94" t="e">
        <f>AND(H94=TRUE,#REF!=2)</f>
        <v>#REF!</v>
      </c>
      <c r="K94" t="e">
        <f>IF(#REF!=1,K93+1,0)</f>
        <v>#REF!</v>
      </c>
      <c r="L94" t="e">
        <f>IF(#REF!=2,L93+1,0)</f>
        <v>#REF!</v>
      </c>
      <c r="M94" t="e">
        <f>#REF!</f>
        <v>#REF!</v>
      </c>
      <c r="N94" t="e">
        <f>COUNTIFS(#REF!, "=1")</f>
        <v>#REF!</v>
      </c>
      <c r="O94" t="e">
        <f>COUNTIFS(#REF!, "=2")</f>
        <v>#REF!</v>
      </c>
      <c r="P94" t="e">
        <f>#REF!</f>
        <v>#REF!</v>
      </c>
    </row>
    <row r="95" spans="1:16" x14ac:dyDescent="0.25">
      <c r="A95" t="e">
        <f>AND(#REF!=2, COUNTIF(Tables!L$1:L$4,#REF!))</f>
        <v>#REF!</v>
      </c>
      <c r="B95" t="e">
        <f>AND(#REF!=1, COUNTIF(Tables!L$1:L$4,#REF!))</f>
        <v>#REF!</v>
      </c>
      <c r="C95" t="e">
        <f>AND(A95,#REF!= 0)</f>
        <v>#REF!</v>
      </c>
      <c r="D95" t="e">
        <f>AND(B95,#REF!= 0)</f>
        <v>#REF!</v>
      </c>
      <c r="E95" t="e">
        <f>isNetPoint(#REF!)</f>
        <v>#VALUE!</v>
      </c>
      <c r="F95" t="e">
        <f>OR(#REF!=1,#REF!= 1)</f>
        <v>#REF!</v>
      </c>
      <c r="G95" t="e">
        <f>IF(#REF!=1,OR(E95="1",E95="3",F95=TRUE),OR(E95="2",E95="3"))</f>
        <v>#REF!</v>
      </c>
      <c r="H95" t="e">
        <f>IF(#REF!=2,OR(E95="1",E95="3",F95=TRUE),OR(E95="2",E95="3"))</f>
        <v>#REF!</v>
      </c>
      <c r="I95" t="e">
        <f>AND(G95=TRUE,#REF!=1)</f>
        <v>#REF!</v>
      </c>
      <c r="J95" t="e">
        <f>AND(H95=TRUE,#REF!=2)</f>
        <v>#REF!</v>
      </c>
      <c r="K95" t="e">
        <f>IF(#REF!=1,K94+1,0)</f>
        <v>#REF!</v>
      </c>
      <c r="L95" t="e">
        <f>IF(#REF!=2,L94+1,0)</f>
        <v>#REF!</v>
      </c>
      <c r="M95" t="e">
        <f>#REF!</f>
        <v>#REF!</v>
      </c>
      <c r="N95" t="e">
        <f>COUNTIFS(#REF!, "=1")</f>
        <v>#REF!</v>
      </c>
      <c r="O95" t="e">
        <f>COUNTIFS(#REF!, "=2")</f>
        <v>#REF!</v>
      </c>
      <c r="P95" t="e">
        <f>#REF!</f>
        <v>#REF!</v>
      </c>
    </row>
    <row r="96" spans="1:16" x14ac:dyDescent="0.25">
      <c r="A96" t="e">
        <f>AND(#REF!=2, COUNTIF(Tables!L$1:L$4,#REF!))</f>
        <v>#REF!</v>
      </c>
      <c r="B96" t="e">
        <f>AND(#REF!=1, COUNTIF(Tables!L$1:L$4,#REF!))</f>
        <v>#REF!</v>
      </c>
      <c r="C96" t="e">
        <f>AND(A96,#REF!= 0)</f>
        <v>#REF!</v>
      </c>
      <c r="D96" t="e">
        <f>AND(B96,#REF!= 0)</f>
        <v>#REF!</v>
      </c>
      <c r="E96" t="e">
        <f>isNetPoint(#REF!)</f>
        <v>#VALUE!</v>
      </c>
      <c r="F96" t="e">
        <f>OR(#REF!=1,#REF!= 1)</f>
        <v>#REF!</v>
      </c>
      <c r="G96" t="e">
        <f>IF(#REF!=1,OR(E96="1",E96="3",F96=TRUE),OR(E96="2",E96="3"))</f>
        <v>#REF!</v>
      </c>
      <c r="H96" t="e">
        <f>IF(#REF!=2,OR(E96="1",E96="3",F96=TRUE),OR(E96="2",E96="3"))</f>
        <v>#REF!</v>
      </c>
      <c r="I96" t="e">
        <f>AND(G96=TRUE,#REF!=1)</f>
        <v>#REF!</v>
      </c>
      <c r="J96" t="e">
        <f>AND(H96=TRUE,#REF!=2)</f>
        <v>#REF!</v>
      </c>
      <c r="K96" t="e">
        <f>IF(#REF!=1,K95+1,0)</f>
        <v>#REF!</v>
      </c>
      <c r="L96" t="e">
        <f>IF(#REF!=2,L95+1,0)</f>
        <v>#REF!</v>
      </c>
      <c r="M96" t="e">
        <f>#REF!</f>
        <v>#REF!</v>
      </c>
      <c r="N96" t="e">
        <f>COUNTIFS(#REF!, "=1")</f>
        <v>#REF!</v>
      </c>
      <c r="O96" t="e">
        <f>COUNTIFS(#REF!, "=2")</f>
        <v>#REF!</v>
      </c>
      <c r="P96" t="e">
        <f>#REF!</f>
        <v>#REF!</v>
      </c>
    </row>
    <row r="97" spans="1:16" x14ac:dyDescent="0.25">
      <c r="A97" t="e">
        <f>AND(#REF!=2, COUNTIF(Tables!L$1:L$4,#REF!))</f>
        <v>#REF!</v>
      </c>
      <c r="B97" t="e">
        <f>AND(#REF!=1, COUNTIF(Tables!L$1:L$4,#REF!))</f>
        <v>#REF!</v>
      </c>
      <c r="C97" t="e">
        <f>AND(A97,#REF!= 0)</f>
        <v>#REF!</v>
      </c>
      <c r="D97" t="e">
        <f>AND(B97,#REF!= 0)</f>
        <v>#REF!</v>
      </c>
      <c r="E97" t="e">
        <f>isNetPoint(#REF!)</f>
        <v>#VALUE!</v>
      </c>
      <c r="F97" t="e">
        <f>OR(#REF!=1,#REF!= 1)</f>
        <v>#REF!</v>
      </c>
      <c r="G97" t="e">
        <f>IF(#REF!=1,OR(E97="1",E97="3",F97=TRUE),OR(E97="2",E97="3"))</f>
        <v>#REF!</v>
      </c>
      <c r="H97" t="e">
        <f>IF(#REF!=2,OR(E97="1",E97="3",F97=TRUE),OR(E97="2",E97="3"))</f>
        <v>#REF!</v>
      </c>
      <c r="I97" t="e">
        <f>AND(G97=TRUE,#REF!=1)</f>
        <v>#REF!</v>
      </c>
      <c r="J97" t="e">
        <f>AND(H97=TRUE,#REF!=2)</f>
        <v>#REF!</v>
      </c>
      <c r="K97" t="e">
        <f>IF(#REF!=1,K96+1,0)</f>
        <v>#REF!</v>
      </c>
      <c r="L97" t="e">
        <f>IF(#REF!=2,L96+1,0)</f>
        <v>#REF!</v>
      </c>
      <c r="M97" t="e">
        <f>#REF!</f>
        <v>#REF!</v>
      </c>
      <c r="N97" t="e">
        <f>COUNTIFS(#REF!, "=1")</f>
        <v>#REF!</v>
      </c>
      <c r="O97" t="e">
        <f>COUNTIFS(#REF!, "=2")</f>
        <v>#REF!</v>
      </c>
      <c r="P97" t="e">
        <f>#REF!</f>
        <v>#REF!</v>
      </c>
    </row>
    <row r="98" spans="1:16" x14ac:dyDescent="0.25">
      <c r="A98" t="e">
        <f>AND(#REF!=2, COUNTIF(Tables!L$1:L$4,#REF!))</f>
        <v>#REF!</v>
      </c>
      <c r="B98" t="e">
        <f>AND(#REF!=1, COUNTIF(Tables!L$1:L$4,#REF!))</f>
        <v>#REF!</v>
      </c>
      <c r="C98" t="e">
        <f>AND(A98,#REF!= 0)</f>
        <v>#REF!</v>
      </c>
      <c r="D98" t="e">
        <f>AND(B98,#REF!= 0)</f>
        <v>#REF!</v>
      </c>
      <c r="E98" t="e">
        <f>isNetPoint(#REF!)</f>
        <v>#VALUE!</v>
      </c>
      <c r="F98" t="e">
        <f>OR(#REF!=1,#REF!= 1)</f>
        <v>#REF!</v>
      </c>
      <c r="G98" t="e">
        <f>IF(#REF!=1,OR(E98="1",E98="3",F98=TRUE),OR(E98="2",E98="3"))</f>
        <v>#REF!</v>
      </c>
      <c r="H98" t="e">
        <f>IF(#REF!=2,OR(E98="1",E98="3",F98=TRUE),OR(E98="2",E98="3"))</f>
        <v>#REF!</v>
      </c>
      <c r="I98" t="e">
        <f>AND(G98=TRUE,#REF!=1)</f>
        <v>#REF!</v>
      </c>
      <c r="J98" t="e">
        <f>AND(H98=TRUE,#REF!=2)</f>
        <v>#REF!</v>
      </c>
      <c r="K98" t="e">
        <f>IF(#REF!=1,K97+1,0)</f>
        <v>#REF!</v>
      </c>
      <c r="L98" t="e">
        <f>IF(#REF!=2,L97+1,0)</f>
        <v>#REF!</v>
      </c>
      <c r="M98" t="e">
        <f>#REF!</f>
        <v>#REF!</v>
      </c>
      <c r="N98" t="e">
        <f>COUNTIFS(#REF!, "=1")</f>
        <v>#REF!</v>
      </c>
      <c r="O98" t="e">
        <f>COUNTIFS(#REF!, "=2")</f>
        <v>#REF!</v>
      </c>
      <c r="P98" t="e">
        <f>#REF!</f>
        <v>#REF!</v>
      </c>
    </row>
    <row r="99" spans="1:16" x14ac:dyDescent="0.25">
      <c r="A99" t="e">
        <f>AND(#REF!=2, COUNTIF(Tables!L$1:L$4,#REF!))</f>
        <v>#REF!</v>
      </c>
      <c r="B99" t="e">
        <f>AND(#REF!=1, COUNTIF(Tables!L$1:L$4,#REF!))</f>
        <v>#REF!</v>
      </c>
      <c r="C99" t="e">
        <f>AND(A99,#REF!= 0)</f>
        <v>#REF!</v>
      </c>
      <c r="D99" t="e">
        <f>AND(B99,#REF!= 0)</f>
        <v>#REF!</v>
      </c>
      <c r="E99" t="e">
        <f>isNetPoint(#REF!)</f>
        <v>#VALUE!</v>
      </c>
      <c r="F99" t="e">
        <f>OR(#REF!=1,#REF!= 1)</f>
        <v>#REF!</v>
      </c>
      <c r="G99" t="e">
        <f>IF(#REF!=1,OR(E99="1",E99="3",F99=TRUE),OR(E99="2",E99="3"))</f>
        <v>#REF!</v>
      </c>
      <c r="H99" t="e">
        <f>IF(#REF!=2,OR(E99="1",E99="3",F99=TRUE),OR(E99="2",E99="3"))</f>
        <v>#REF!</v>
      </c>
      <c r="I99" t="e">
        <f>AND(G99=TRUE,#REF!=1)</f>
        <v>#REF!</v>
      </c>
      <c r="J99" t="e">
        <f>AND(H99=TRUE,#REF!=2)</f>
        <v>#REF!</v>
      </c>
      <c r="K99" t="e">
        <f>IF(#REF!=1,K98+1,0)</f>
        <v>#REF!</v>
      </c>
      <c r="L99" t="e">
        <f>IF(#REF!=2,L98+1,0)</f>
        <v>#REF!</v>
      </c>
      <c r="M99" t="e">
        <f>#REF!</f>
        <v>#REF!</v>
      </c>
      <c r="N99" t="e">
        <f>COUNTIFS(#REF!, "=1")</f>
        <v>#REF!</v>
      </c>
      <c r="O99" t="e">
        <f>COUNTIFS(#REF!, "=2")</f>
        <v>#REF!</v>
      </c>
      <c r="P99" t="e">
        <f>#REF!</f>
        <v>#REF!</v>
      </c>
    </row>
    <row r="100" spans="1:16" x14ac:dyDescent="0.25">
      <c r="A100" t="e">
        <f>AND(#REF!=2, COUNTIF(Tables!L$1:L$4,#REF!))</f>
        <v>#REF!</v>
      </c>
      <c r="B100" t="e">
        <f>AND(#REF!=1, COUNTIF(Tables!L$1:L$4,#REF!))</f>
        <v>#REF!</v>
      </c>
      <c r="C100" t="e">
        <f>AND(A100,#REF!= 0)</f>
        <v>#REF!</v>
      </c>
      <c r="D100" t="e">
        <f>AND(B100,#REF!= 0)</f>
        <v>#REF!</v>
      </c>
      <c r="E100" t="e">
        <f>isNetPoint(#REF!)</f>
        <v>#VALUE!</v>
      </c>
      <c r="F100" t="e">
        <f>OR(#REF!=1,#REF!= 1)</f>
        <v>#REF!</v>
      </c>
      <c r="G100" t="e">
        <f>IF(#REF!=1,OR(E100="1",E100="3",F100=TRUE),OR(E100="2",E100="3"))</f>
        <v>#REF!</v>
      </c>
      <c r="H100" t="e">
        <f>IF(#REF!=2,OR(E100="1",E100="3",F100=TRUE),OR(E100="2",E100="3"))</f>
        <v>#REF!</v>
      </c>
      <c r="I100" t="e">
        <f>AND(G100=TRUE,#REF!=1)</f>
        <v>#REF!</v>
      </c>
      <c r="J100" t="e">
        <f>AND(H100=TRUE,#REF!=2)</f>
        <v>#REF!</v>
      </c>
      <c r="K100" t="e">
        <f>IF(#REF!=1,K99+1,0)</f>
        <v>#REF!</v>
      </c>
      <c r="L100" t="e">
        <f>IF(#REF!=2,L99+1,0)</f>
        <v>#REF!</v>
      </c>
      <c r="M100" t="e">
        <f>#REF!</f>
        <v>#REF!</v>
      </c>
      <c r="N100" t="e">
        <f>COUNTIFS(#REF!, "=1")</f>
        <v>#REF!</v>
      </c>
      <c r="O100" t="e">
        <f>COUNTIFS(#REF!, "=2")</f>
        <v>#REF!</v>
      </c>
      <c r="P100" t="e">
        <f>#REF!</f>
        <v>#REF!</v>
      </c>
    </row>
    <row r="101" spans="1:16" x14ac:dyDescent="0.25">
      <c r="A101" t="e">
        <f>AND(#REF!=2, COUNTIF(Tables!L$1:L$4,#REF!))</f>
        <v>#REF!</v>
      </c>
      <c r="B101" t="e">
        <f>AND(#REF!=1, COUNTIF(Tables!L$1:L$4,#REF!))</f>
        <v>#REF!</v>
      </c>
      <c r="C101" t="e">
        <f>AND(A101,#REF!= 0)</f>
        <v>#REF!</v>
      </c>
      <c r="D101" t="e">
        <f>AND(B101,#REF!= 0)</f>
        <v>#REF!</v>
      </c>
      <c r="E101" t="e">
        <f>isNetPoint(#REF!)</f>
        <v>#VALUE!</v>
      </c>
      <c r="F101" t="e">
        <f>OR(#REF!=1,#REF!= 1)</f>
        <v>#REF!</v>
      </c>
      <c r="G101" t="e">
        <f>IF(#REF!=1,OR(E101="1",E101="3",F101=TRUE),OR(E101="2",E101="3"))</f>
        <v>#REF!</v>
      </c>
      <c r="H101" t="e">
        <f>IF(#REF!=2,OR(E101="1",E101="3",F101=TRUE),OR(E101="2",E101="3"))</f>
        <v>#REF!</v>
      </c>
      <c r="I101" t="e">
        <f>AND(G101=TRUE,#REF!=1)</f>
        <v>#REF!</v>
      </c>
      <c r="J101" t="e">
        <f>AND(H101=TRUE,#REF!=2)</f>
        <v>#REF!</v>
      </c>
      <c r="K101" t="e">
        <f>IF(#REF!=1,K100+1,0)</f>
        <v>#REF!</v>
      </c>
      <c r="L101" t="e">
        <f>IF(#REF!=2,L100+1,0)</f>
        <v>#REF!</v>
      </c>
      <c r="M101" t="e">
        <f>#REF!</f>
        <v>#REF!</v>
      </c>
      <c r="N101" t="e">
        <f>COUNTIFS(#REF!, "=1")</f>
        <v>#REF!</v>
      </c>
      <c r="O101" t="e">
        <f>COUNTIFS(#REF!, "=2")</f>
        <v>#REF!</v>
      </c>
      <c r="P101" t="e">
        <f>#REF!</f>
        <v>#REF!</v>
      </c>
    </row>
    <row r="102" spans="1:16" x14ac:dyDescent="0.25">
      <c r="A102" t="e">
        <f>AND(#REF!=2, COUNTIF(Tables!L$1:L$4,#REF!))</f>
        <v>#REF!</v>
      </c>
      <c r="B102" t="e">
        <f>AND(#REF!=1, COUNTIF(Tables!L$1:L$4,#REF!))</f>
        <v>#REF!</v>
      </c>
      <c r="C102" t="e">
        <f>AND(A102,#REF!= 0)</f>
        <v>#REF!</v>
      </c>
      <c r="D102" t="e">
        <f>AND(B102,#REF!= 0)</f>
        <v>#REF!</v>
      </c>
      <c r="E102" t="e">
        <f>isNetPoint(#REF!)</f>
        <v>#VALUE!</v>
      </c>
      <c r="F102" t="e">
        <f>OR(#REF!=1,#REF!= 1)</f>
        <v>#REF!</v>
      </c>
      <c r="G102" t="e">
        <f>IF(#REF!=1,OR(E102="1",E102="3",F102=TRUE),OR(E102="2",E102="3"))</f>
        <v>#REF!</v>
      </c>
      <c r="H102" t="e">
        <f>IF(#REF!=2,OR(E102="1",E102="3",F102=TRUE),OR(E102="2",E102="3"))</f>
        <v>#REF!</v>
      </c>
      <c r="I102" t="e">
        <f>AND(G102=TRUE,#REF!=1)</f>
        <v>#REF!</v>
      </c>
      <c r="J102" t="e">
        <f>AND(H102=TRUE,#REF!=2)</f>
        <v>#REF!</v>
      </c>
      <c r="K102" t="e">
        <f>IF(#REF!=1,K101+1,0)</f>
        <v>#REF!</v>
      </c>
      <c r="L102" t="e">
        <f>IF(#REF!=2,L101+1,0)</f>
        <v>#REF!</v>
      </c>
      <c r="M102" t="e">
        <f>#REF!</f>
        <v>#REF!</v>
      </c>
      <c r="N102" t="e">
        <f>COUNTIFS(#REF!, "=1")</f>
        <v>#REF!</v>
      </c>
      <c r="O102" t="e">
        <f>COUNTIFS(#REF!, "=2")</f>
        <v>#REF!</v>
      </c>
      <c r="P102" t="e">
        <f>#REF!</f>
        <v>#REF!</v>
      </c>
    </row>
    <row r="103" spans="1:16" x14ac:dyDescent="0.25">
      <c r="A103" t="e">
        <f>AND(#REF!=2, COUNTIF(Tables!L$1:L$4,#REF!))</f>
        <v>#REF!</v>
      </c>
      <c r="B103" t="e">
        <f>AND(#REF!=1, COUNTIF(Tables!L$1:L$4,#REF!))</f>
        <v>#REF!</v>
      </c>
      <c r="C103" t="e">
        <f>AND(A103,#REF!= 0)</f>
        <v>#REF!</v>
      </c>
      <c r="D103" t="e">
        <f>AND(B103,#REF!= 0)</f>
        <v>#REF!</v>
      </c>
      <c r="E103" t="e">
        <f>isNetPoint(#REF!)</f>
        <v>#VALUE!</v>
      </c>
      <c r="F103" t="e">
        <f>OR(#REF!=1,#REF!= 1)</f>
        <v>#REF!</v>
      </c>
      <c r="G103" t="e">
        <f>IF(#REF!=1,OR(E103="1",E103="3",F103=TRUE),OR(E103="2",E103="3"))</f>
        <v>#REF!</v>
      </c>
      <c r="H103" t="e">
        <f>IF(#REF!=2,OR(E103="1",E103="3",F103=TRUE),OR(E103="2",E103="3"))</f>
        <v>#REF!</v>
      </c>
      <c r="I103" t="e">
        <f>AND(G103=TRUE,#REF!=1)</f>
        <v>#REF!</v>
      </c>
      <c r="J103" t="e">
        <f>AND(H103=TRUE,#REF!=2)</f>
        <v>#REF!</v>
      </c>
      <c r="K103" t="e">
        <f>IF(#REF!=1,K102+1,0)</f>
        <v>#REF!</v>
      </c>
      <c r="L103" t="e">
        <f>IF(#REF!=2,L102+1,0)</f>
        <v>#REF!</v>
      </c>
      <c r="M103" t="e">
        <f>#REF!</f>
        <v>#REF!</v>
      </c>
      <c r="N103" t="e">
        <f>COUNTIFS(#REF!, "=1")</f>
        <v>#REF!</v>
      </c>
      <c r="O103" t="e">
        <f>COUNTIFS(#REF!, "=2")</f>
        <v>#REF!</v>
      </c>
      <c r="P103" t="e">
        <f>#REF!</f>
        <v>#REF!</v>
      </c>
    </row>
    <row r="104" spans="1:16" x14ac:dyDescent="0.25">
      <c r="A104" t="e">
        <f>AND(#REF!=2, COUNTIF(Tables!L$1:L$4,#REF!))</f>
        <v>#REF!</v>
      </c>
      <c r="B104" t="e">
        <f>AND(#REF!=1, COUNTIF(Tables!L$1:L$4,#REF!))</f>
        <v>#REF!</v>
      </c>
      <c r="C104" t="e">
        <f>AND(A104,#REF!= 0)</f>
        <v>#REF!</v>
      </c>
      <c r="D104" t="e">
        <f>AND(B104,#REF!= 0)</f>
        <v>#REF!</v>
      </c>
      <c r="E104" t="e">
        <f>isNetPoint(#REF!)</f>
        <v>#VALUE!</v>
      </c>
      <c r="F104" t="e">
        <f>OR(#REF!=1,#REF!= 1)</f>
        <v>#REF!</v>
      </c>
      <c r="G104" t="e">
        <f>IF(#REF!=1,OR(E104="1",E104="3",F104=TRUE),OR(E104="2",E104="3"))</f>
        <v>#REF!</v>
      </c>
      <c r="H104" t="e">
        <f>IF(#REF!=2,OR(E104="1",E104="3",F104=TRUE),OR(E104="2",E104="3"))</f>
        <v>#REF!</v>
      </c>
      <c r="I104" t="e">
        <f>AND(G104=TRUE,#REF!=1)</f>
        <v>#REF!</v>
      </c>
      <c r="J104" t="e">
        <f>AND(H104=TRUE,#REF!=2)</f>
        <v>#REF!</v>
      </c>
      <c r="K104" t="e">
        <f>IF(#REF!=1,K103+1,0)</f>
        <v>#REF!</v>
      </c>
      <c r="L104" t="e">
        <f>IF(#REF!=2,L103+1,0)</f>
        <v>#REF!</v>
      </c>
      <c r="M104" t="e">
        <f>#REF!</f>
        <v>#REF!</v>
      </c>
      <c r="N104" t="e">
        <f>COUNTIFS(#REF!, "=1")</f>
        <v>#REF!</v>
      </c>
      <c r="O104" t="e">
        <f>COUNTIFS(#REF!, "=2")</f>
        <v>#REF!</v>
      </c>
      <c r="P104" t="e">
        <f>#REF!</f>
        <v>#REF!</v>
      </c>
    </row>
    <row r="105" spans="1:16" x14ac:dyDescent="0.25">
      <c r="A105" t="e">
        <f>AND(#REF!=2, COUNTIF(Tables!L$1:L$4,#REF!))</f>
        <v>#REF!</v>
      </c>
      <c r="B105" t="e">
        <f>AND(#REF!=1, COUNTIF(Tables!L$1:L$4,#REF!))</f>
        <v>#REF!</v>
      </c>
      <c r="C105" t="e">
        <f>AND(A105,#REF!= 0)</f>
        <v>#REF!</v>
      </c>
      <c r="D105" t="e">
        <f>AND(B105,#REF!= 0)</f>
        <v>#REF!</v>
      </c>
      <c r="E105" t="e">
        <f>isNetPoint(#REF!)</f>
        <v>#VALUE!</v>
      </c>
      <c r="F105" t="e">
        <f>OR(#REF!=1,#REF!= 1)</f>
        <v>#REF!</v>
      </c>
      <c r="G105" t="e">
        <f>IF(#REF!=1,OR(E105="1",E105="3",F105=TRUE),OR(E105="2",E105="3"))</f>
        <v>#REF!</v>
      </c>
      <c r="H105" t="e">
        <f>IF(#REF!=2,OR(E105="1",E105="3",F105=TRUE),OR(E105="2",E105="3"))</f>
        <v>#REF!</v>
      </c>
      <c r="I105" t="e">
        <f>AND(G105=TRUE,#REF!=1)</f>
        <v>#REF!</v>
      </c>
      <c r="J105" t="e">
        <f>AND(H105=TRUE,#REF!=2)</f>
        <v>#REF!</v>
      </c>
      <c r="K105" t="e">
        <f>IF(#REF!=1,K104+1,0)</f>
        <v>#REF!</v>
      </c>
      <c r="L105" t="e">
        <f>IF(#REF!=2,L104+1,0)</f>
        <v>#REF!</v>
      </c>
      <c r="M105" t="e">
        <f>#REF!</f>
        <v>#REF!</v>
      </c>
      <c r="N105" t="e">
        <f>COUNTIFS(#REF!, "=1")</f>
        <v>#REF!</v>
      </c>
      <c r="O105" t="e">
        <f>COUNTIFS(#REF!, "=2")</f>
        <v>#REF!</v>
      </c>
      <c r="P105" t="e">
        <f>#REF!</f>
        <v>#REF!</v>
      </c>
    </row>
    <row r="106" spans="1:16" x14ac:dyDescent="0.25">
      <c r="A106" t="e">
        <f>AND(#REF!=2, COUNTIF(Tables!L$1:L$4,#REF!))</f>
        <v>#REF!</v>
      </c>
      <c r="B106" t="e">
        <f>AND(#REF!=1, COUNTIF(Tables!L$1:L$4,#REF!))</f>
        <v>#REF!</v>
      </c>
      <c r="C106" t="e">
        <f>AND(A106,#REF!= 0)</f>
        <v>#REF!</v>
      </c>
      <c r="D106" t="e">
        <f>AND(B106,#REF!= 0)</f>
        <v>#REF!</v>
      </c>
      <c r="E106" t="e">
        <f>isNetPoint(#REF!)</f>
        <v>#VALUE!</v>
      </c>
      <c r="F106" t="e">
        <f>OR(#REF!=1,#REF!= 1)</f>
        <v>#REF!</v>
      </c>
      <c r="G106" t="e">
        <f>IF(#REF!=1,OR(E106="1",E106="3",F106=TRUE),OR(E106="2",E106="3"))</f>
        <v>#REF!</v>
      </c>
      <c r="H106" t="e">
        <f>IF(#REF!=2,OR(E106="1",E106="3",F106=TRUE),OR(E106="2",E106="3"))</f>
        <v>#REF!</v>
      </c>
      <c r="I106" t="e">
        <f>AND(G106=TRUE,#REF!=1)</f>
        <v>#REF!</v>
      </c>
      <c r="J106" t="e">
        <f>AND(H106=TRUE,#REF!=2)</f>
        <v>#REF!</v>
      </c>
      <c r="K106" t="e">
        <f>IF(#REF!=1,K105+1,0)</f>
        <v>#REF!</v>
      </c>
      <c r="L106" t="e">
        <f>IF(#REF!=2,L105+1,0)</f>
        <v>#REF!</v>
      </c>
      <c r="M106" t="e">
        <f>#REF!</f>
        <v>#REF!</v>
      </c>
      <c r="N106" t="e">
        <f>COUNTIFS(#REF!, "=1")</f>
        <v>#REF!</v>
      </c>
      <c r="O106" t="e">
        <f>COUNTIFS(#REF!, "=2")</f>
        <v>#REF!</v>
      </c>
      <c r="P106" t="e">
        <f>#REF!</f>
        <v>#REF!</v>
      </c>
    </row>
    <row r="107" spans="1:16" x14ac:dyDescent="0.25">
      <c r="A107" t="e">
        <f>AND(#REF!=2, COUNTIF(Tables!L$1:L$4,#REF!))</f>
        <v>#REF!</v>
      </c>
      <c r="B107" t="e">
        <f>AND(#REF!=1, COUNTIF(Tables!L$1:L$4,#REF!))</f>
        <v>#REF!</v>
      </c>
      <c r="C107" t="e">
        <f>AND(A107,#REF!= 0)</f>
        <v>#REF!</v>
      </c>
      <c r="D107" t="e">
        <f>AND(B107,#REF!= 0)</f>
        <v>#REF!</v>
      </c>
      <c r="E107" t="e">
        <f>isNetPoint(#REF!)</f>
        <v>#VALUE!</v>
      </c>
      <c r="F107" t="e">
        <f>OR(#REF!=1,#REF!= 1)</f>
        <v>#REF!</v>
      </c>
      <c r="G107" t="e">
        <f>IF(#REF!=1,OR(E107="1",E107="3",F107=TRUE),OR(E107="2",E107="3"))</f>
        <v>#REF!</v>
      </c>
      <c r="H107" t="e">
        <f>IF(#REF!=2,OR(E107="1",E107="3",F107=TRUE),OR(E107="2",E107="3"))</f>
        <v>#REF!</v>
      </c>
      <c r="I107" t="e">
        <f>AND(G107=TRUE,#REF!=1)</f>
        <v>#REF!</v>
      </c>
      <c r="J107" t="e">
        <f>AND(H107=TRUE,#REF!=2)</f>
        <v>#REF!</v>
      </c>
      <c r="K107" t="e">
        <f>IF(#REF!=1,K106+1,0)</f>
        <v>#REF!</v>
      </c>
      <c r="L107" t="e">
        <f>IF(#REF!=2,L106+1,0)</f>
        <v>#REF!</v>
      </c>
      <c r="M107" t="e">
        <f>#REF!</f>
        <v>#REF!</v>
      </c>
      <c r="N107" t="e">
        <f>COUNTIFS(#REF!, "=1")</f>
        <v>#REF!</v>
      </c>
      <c r="O107" t="e">
        <f>COUNTIFS(#REF!, "=2")</f>
        <v>#REF!</v>
      </c>
      <c r="P107" t="e">
        <f>#REF!</f>
        <v>#REF!</v>
      </c>
    </row>
    <row r="108" spans="1:16" x14ac:dyDescent="0.25">
      <c r="A108" t="e">
        <f>AND(#REF!=2, COUNTIF(Tables!L$1:L$4,#REF!))</f>
        <v>#REF!</v>
      </c>
      <c r="B108" t="e">
        <f>AND(#REF!=1, COUNTIF(Tables!L$1:L$4,#REF!))</f>
        <v>#REF!</v>
      </c>
      <c r="C108" t="e">
        <f>AND(A108,#REF!= 0)</f>
        <v>#REF!</v>
      </c>
      <c r="D108" t="e">
        <f>AND(B108,#REF!= 0)</f>
        <v>#REF!</v>
      </c>
      <c r="E108" t="e">
        <f>isNetPoint(#REF!)</f>
        <v>#VALUE!</v>
      </c>
      <c r="F108" t="e">
        <f>OR(#REF!=1,#REF!= 1)</f>
        <v>#REF!</v>
      </c>
      <c r="G108" t="e">
        <f>IF(#REF!=1,OR(E108="1",E108="3",F108=TRUE),OR(E108="2",E108="3"))</f>
        <v>#REF!</v>
      </c>
      <c r="H108" t="e">
        <f>IF(#REF!=2,OR(E108="1",E108="3",F108=TRUE),OR(E108="2",E108="3"))</f>
        <v>#REF!</v>
      </c>
      <c r="I108" t="e">
        <f>AND(G108=TRUE,#REF!=1)</f>
        <v>#REF!</v>
      </c>
      <c r="J108" t="e">
        <f>AND(H108=TRUE,#REF!=2)</f>
        <v>#REF!</v>
      </c>
      <c r="K108" t="e">
        <f>IF(#REF!=1,K107+1,0)</f>
        <v>#REF!</v>
      </c>
      <c r="L108" t="e">
        <f>IF(#REF!=2,L107+1,0)</f>
        <v>#REF!</v>
      </c>
      <c r="M108" t="e">
        <f>#REF!</f>
        <v>#REF!</v>
      </c>
      <c r="N108" t="e">
        <f>COUNTIFS(#REF!, "=1")</f>
        <v>#REF!</v>
      </c>
      <c r="O108" t="e">
        <f>COUNTIFS(#REF!, "=2")</f>
        <v>#REF!</v>
      </c>
      <c r="P108" t="e">
        <f>#REF!</f>
        <v>#REF!</v>
      </c>
    </row>
    <row r="109" spans="1:16" x14ac:dyDescent="0.25">
      <c r="A109" t="e">
        <f>AND(#REF!=2, COUNTIF(Tables!L$1:L$4,#REF!))</f>
        <v>#REF!</v>
      </c>
      <c r="B109" t="e">
        <f>AND(#REF!=1, COUNTIF(Tables!L$1:L$4,#REF!))</f>
        <v>#REF!</v>
      </c>
      <c r="C109" t="e">
        <f>AND(A109,#REF!= 0)</f>
        <v>#REF!</v>
      </c>
      <c r="D109" t="e">
        <f>AND(B109,#REF!= 0)</f>
        <v>#REF!</v>
      </c>
      <c r="E109" t="e">
        <f>isNetPoint(#REF!)</f>
        <v>#VALUE!</v>
      </c>
      <c r="F109" t="e">
        <f>OR(#REF!=1,#REF!= 1)</f>
        <v>#REF!</v>
      </c>
      <c r="G109" t="e">
        <f>IF(#REF!=1,OR(E109="1",E109="3",F109=TRUE),OR(E109="2",E109="3"))</f>
        <v>#REF!</v>
      </c>
      <c r="H109" t="e">
        <f>IF(#REF!=2,OR(E109="1",E109="3",F109=TRUE),OR(E109="2",E109="3"))</f>
        <v>#REF!</v>
      </c>
      <c r="I109" t="e">
        <f>AND(G109=TRUE,#REF!=1)</f>
        <v>#REF!</v>
      </c>
      <c r="J109" t="e">
        <f>AND(H109=TRUE,#REF!=2)</f>
        <v>#REF!</v>
      </c>
      <c r="K109" t="e">
        <f>IF(#REF!=1,K108+1,0)</f>
        <v>#REF!</v>
      </c>
      <c r="L109" t="e">
        <f>IF(#REF!=2,L108+1,0)</f>
        <v>#REF!</v>
      </c>
      <c r="M109" t="e">
        <f>#REF!</f>
        <v>#REF!</v>
      </c>
      <c r="N109" t="e">
        <f>COUNTIFS(#REF!, "=1")</f>
        <v>#REF!</v>
      </c>
      <c r="O109" t="e">
        <f>COUNTIFS(#REF!, "=2")</f>
        <v>#REF!</v>
      </c>
      <c r="P109" t="e">
        <f>#REF!</f>
        <v>#REF!</v>
      </c>
    </row>
    <row r="110" spans="1:16" x14ac:dyDescent="0.25">
      <c r="A110" t="e">
        <f>AND(#REF!=2, COUNTIF(Tables!L$1:L$4,#REF!))</f>
        <v>#REF!</v>
      </c>
      <c r="B110" t="e">
        <f>AND(#REF!=1, COUNTIF(Tables!L$1:L$4,#REF!))</f>
        <v>#REF!</v>
      </c>
      <c r="C110" t="e">
        <f>AND(A110,#REF!= 0)</f>
        <v>#REF!</v>
      </c>
      <c r="D110" t="e">
        <f>AND(B110,#REF!= 0)</f>
        <v>#REF!</v>
      </c>
      <c r="E110" t="e">
        <f>isNetPoint(#REF!)</f>
        <v>#VALUE!</v>
      </c>
      <c r="F110" t="e">
        <f>OR(#REF!=1,#REF!= 1)</f>
        <v>#REF!</v>
      </c>
      <c r="G110" t="e">
        <f>IF(#REF!=1,OR(E110="1",E110="3",F110=TRUE),OR(E110="2",E110="3"))</f>
        <v>#REF!</v>
      </c>
      <c r="H110" t="e">
        <f>IF(#REF!=2,OR(E110="1",E110="3",F110=TRUE),OR(E110="2",E110="3"))</f>
        <v>#REF!</v>
      </c>
      <c r="I110" t="e">
        <f>AND(G110=TRUE,#REF!=1)</f>
        <v>#REF!</v>
      </c>
      <c r="J110" t="e">
        <f>AND(H110=TRUE,#REF!=2)</f>
        <v>#REF!</v>
      </c>
      <c r="K110" t="e">
        <f>IF(#REF!=1,K109+1,0)</f>
        <v>#REF!</v>
      </c>
      <c r="L110" t="e">
        <f>IF(#REF!=2,L109+1,0)</f>
        <v>#REF!</v>
      </c>
      <c r="M110" t="e">
        <f>#REF!</f>
        <v>#REF!</v>
      </c>
      <c r="N110" t="e">
        <f>COUNTIFS(#REF!, "=1")</f>
        <v>#REF!</v>
      </c>
      <c r="O110" t="e">
        <f>COUNTIFS(#REF!, "=2")</f>
        <v>#REF!</v>
      </c>
      <c r="P110" t="e">
        <f>#REF!</f>
        <v>#REF!</v>
      </c>
    </row>
    <row r="111" spans="1:16" x14ac:dyDescent="0.25">
      <c r="A111" t="e">
        <f>AND(#REF!=2, COUNTIF(Tables!L$1:L$4,#REF!))</f>
        <v>#REF!</v>
      </c>
      <c r="B111" t="e">
        <f>AND(#REF!=1, COUNTIF(Tables!L$1:L$4,#REF!))</f>
        <v>#REF!</v>
      </c>
      <c r="C111" t="e">
        <f>AND(A111,#REF!= 0)</f>
        <v>#REF!</v>
      </c>
      <c r="D111" t="e">
        <f>AND(B111,#REF!= 0)</f>
        <v>#REF!</v>
      </c>
      <c r="E111" t="e">
        <f>isNetPoint(#REF!)</f>
        <v>#VALUE!</v>
      </c>
      <c r="F111" t="e">
        <f>OR(#REF!=1,#REF!= 1)</f>
        <v>#REF!</v>
      </c>
      <c r="G111" t="e">
        <f>IF(#REF!=1,OR(E111="1",E111="3",F111=TRUE),OR(E111="2",E111="3"))</f>
        <v>#REF!</v>
      </c>
      <c r="H111" t="e">
        <f>IF(#REF!=2,OR(E111="1",E111="3",F111=TRUE),OR(E111="2",E111="3"))</f>
        <v>#REF!</v>
      </c>
      <c r="I111" t="e">
        <f>AND(G111=TRUE,#REF!=1)</f>
        <v>#REF!</v>
      </c>
      <c r="J111" t="e">
        <f>AND(H111=TRUE,#REF!=2)</f>
        <v>#REF!</v>
      </c>
      <c r="K111" t="e">
        <f>IF(#REF!=1,K110+1,0)</f>
        <v>#REF!</v>
      </c>
      <c r="L111" t="e">
        <f>IF(#REF!=2,L110+1,0)</f>
        <v>#REF!</v>
      </c>
      <c r="M111" t="e">
        <f>#REF!</f>
        <v>#REF!</v>
      </c>
      <c r="N111" t="e">
        <f>COUNTIFS(#REF!, "=1")</f>
        <v>#REF!</v>
      </c>
      <c r="O111" t="e">
        <f>COUNTIFS(#REF!, "=2")</f>
        <v>#REF!</v>
      </c>
      <c r="P111" t="e">
        <f>#REF!</f>
        <v>#REF!</v>
      </c>
    </row>
    <row r="112" spans="1:16" x14ac:dyDescent="0.25">
      <c r="A112" t="e">
        <f>AND(#REF!=2, COUNTIF(Tables!L$1:L$4,#REF!))</f>
        <v>#REF!</v>
      </c>
      <c r="B112" t="e">
        <f>AND(#REF!=1, COUNTIF(Tables!L$1:L$4,#REF!))</f>
        <v>#REF!</v>
      </c>
      <c r="C112" t="e">
        <f>AND(A112,#REF!= 0)</f>
        <v>#REF!</v>
      </c>
      <c r="D112" t="e">
        <f>AND(B112,#REF!= 0)</f>
        <v>#REF!</v>
      </c>
      <c r="E112" t="e">
        <f>isNetPoint(#REF!)</f>
        <v>#VALUE!</v>
      </c>
      <c r="F112" t="e">
        <f>OR(#REF!=1,#REF!= 1)</f>
        <v>#REF!</v>
      </c>
      <c r="G112" t="e">
        <f>IF(#REF!=1,OR(E112="1",E112="3",F112=TRUE),OR(E112="2",E112="3"))</f>
        <v>#REF!</v>
      </c>
      <c r="H112" t="e">
        <f>IF(#REF!=2,OR(E112="1",E112="3",F112=TRUE),OR(E112="2",E112="3"))</f>
        <v>#REF!</v>
      </c>
      <c r="I112" t="e">
        <f>AND(G112=TRUE,#REF!=1)</f>
        <v>#REF!</v>
      </c>
      <c r="J112" t="e">
        <f>AND(H112=TRUE,#REF!=2)</f>
        <v>#REF!</v>
      </c>
      <c r="K112" t="e">
        <f>IF(#REF!=1,K111+1,0)</f>
        <v>#REF!</v>
      </c>
      <c r="L112" t="e">
        <f>IF(#REF!=2,L111+1,0)</f>
        <v>#REF!</v>
      </c>
      <c r="M112" t="e">
        <f>#REF!</f>
        <v>#REF!</v>
      </c>
      <c r="N112" t="e">
        <f>COUNTIFS(#REF!, "=1")</f>
        <v>#REF!</v>
      </c>
      <c r="O112" t="e">
        <f>COUNTIFS(#REF!, "=2")</f>
        <v>#REF!</v>
      </c>
      <c r="P112" t="e">
        <f>#REF!</f>
        <v>#REF!</v>
      </c>
    </row>
    <row r="113" spans="1:16" x14ac:dyDescent="0.25">
      <c r="A113" t="e">
        <f>AND(#REF!=2, COUNTIF(Tables!L$1:L$4,#REF!))</f>
        <v>#REF!</v>
      </c>
      <c r="B113" t="e">
        <f>AND(#REF!=1, COUNTIF(Tables!L$1:L$4,#REF!))</f>
        <v>#REF!</v>
      </c>
      <c r="C113" t="e">
        <f>AND(A113,#REF!= 0)</f>
        <v>#REF!</v>
      </c>
      <c r="D113" t="e">
        <f>AND(B113,#REF!= 0)</f>
        <v>#REF!</v>
      </c>
      <c r="E113" t="e">
        <f>isNetPoint(#REF!)</f>
        <v>#VALUE!</v>
      </c>
      <c r="F113" t="e">
        <f>OR(#REF!=1,#REF!= 1)</f>
        <v>#REF!</v>
      </c>
      <c r="G113" t="e">
        <f>IF(#REF!=1,OR(E113="1",E113="3",F113=TRUE),OR(E113="2",E113="3"))</f>
        <v>#REF!</v>
      </c>
      <c r="H113" t="e">
        <f>IF(#REF!=2,OR(E113="1",E113="3",F113=TRUE),OR(E113="2",E113="3"))</f>
        <v>#REF!</v>
      </c>
      <c r="I113" t="e">
        <f>AND(G113=TRUE,#REF!=1)</f>
        <v>#REF!</v>
      </c>
      <c r="J113" t="e">
        <f>AND(H113=TRUE,#REF!=2)</f>
        <v>#REF!</v>
      </c>
      <c r="K113" t="e">
        <f>IF(#REF!=1,K112+1,0)</f>
        <v>#REF!</v>
      </c>
      <c r="L113" t="e">
        <f>IF(#REF!=2,L112+1,0)</f>
        <v>#REF!</v>
      </c>
      <c r="M113" t="e">
        <f>#REF!</f>
        <v>#REF!</v>
      </c>
      <c r="N113" t="e">
        <f>COUNTIFS(#REF!, "=1")</f>
        <v>#REF!</v>
      </c>
      <c r="O113" t="e">
        <f>COUNTIFS(#REF!, "=2")</f>
        <v>#REF!</v>
      </c>
      <c r="P113" t="e">
        <f>#REF!</f>
        <v>#REF!</v>
      </c>
    </row>
    <row r="114" spans="1:16" x14ac:dyDescent="0.25">
      <c r="A114" t="e">
        <f>AND(#REF!=2, COUNTIF(Tables!L$1:L$4,#REF!))</f>
        <v>#REF!</v>
      </c>
      <c r="B114" t="e">
        <f>AND(#REF!=1, COUNTIF(Tables!L$1:L$4,#REF!))</f>
        <v>#REF!</v>
      </c>
      <c r="C114" t="e">
        <f>AND(A114,#REF!= 0)</f>
        <v>#REF!</v>
      </c>
      <c r="D114" t="e">
        <f>AND(B114,#REF!= 0)</f>
        <v>#REF!</v>
      </c>
      <c r="E114" t="e">
        <f>isNetPoint(#REF!)</f>
        <v>#VALUE!</v>
      </c>
      <c r="F114" t="e">
        <f>OR(#REF!=1,#REF!= 1)</f>
        <v>#REF!</v>
      </c>
      <c r="G114" t="e">
        <f>IF(#REF!=1,OR(E114="1",E114="3",F114=TRUE),OR(E114="2",E114="3"))</f>
        <v>#REF!</v>
      </c>
      <c r="H114" t="e">
        <f>IF(#REF!=2,OR(E114="1",E114="3",F114=TRUE),OR(E114="2",E114="3"))</f>
        <v>#REF!</v>
      </c>
      <c r="I114" t="e">
        <f>AND(G114=TRUE,#REF!=1)</f>
        <v>#REF!</v>
      </c>
      <c r="J114" t="e">
        <f>AND(H114=TRUE,#REF!=2)</f>
        <v>#REF!</v>
      </c>
      <c r="K114" t="e">
        <f>IF(#REF!=1,K113+1,0)</f>
        <v>#REF!</v>
      </c>
      <c r="L114" t="e">
        <f>IF(#REF!=2,L113+1,0)</f>
        <v>#REF!</v>
      </c>
      <c r="M114" t="e">
        <f>#REF!</f>
        <v>#REF!</v>
      </c>
      <c r="N114" t="e">
        <f>COUNTIFS(#REF!, "=1")</f>
        <v>#REF!</v>
      </c>
      <c r="O114" t="e">
        <f>COUNTIFS(#REF!, "=2")</f>
        <v>#REF!</v>
      </c>
      <c r="P114" t="e">
        <f>#REF!</f>
        <v>#REF!</v>
      </c>
    </row>
    <row r="115" spans="1:16" x14ac:dyDescent="0.25">
      <c r="A115" t="e">
        <f>AND(#REF!=2, COUNTIF(Tables!L$1:L$4,#REF!))</f>
        <v>#REF!</v>
      </c>
      <c r="B115" t="e">
        <f>AND(#REF!=1, COUNTIF(Tables!L$1:L$4,#REF!))</f>
        <v>#REF!</v>
      </c>
      <c r="C115" t="e">
        <f>AND(A115,#REF!= 0)</f>
        <v>#REF!</v>
      </c>
      <c r="D115" t="e">
        <f>AND(B115,#REF!= 0)</f>
        <v>#REF!</v>
      </c>
      <c r="E115" t="e">
        <f>isNetPoint(#REF!)</f>
        <v>#VALUE!</v>
      </c>
      <c r="F115" t="e">
        <f>OR(#REF!=1,#REF!= 1)</f>
        <v>#REF!</v>
      </c>
      <c r="G115" t="e">
        <f>IF(#REF!=1,OR(E115="1",E115="3",F115=TRUE),OR(E115="2",E115="3"))</f>
        <v>#REF!</v>
      </c>
      <c r="H115" t="e">
        <f>IF(#REF!=2,OR(E115="1",E115="3",F115=TRUE),OR(E115="2",E115="3"))</f>
        <v>#REF!</v>
      </c>
      <c r="I115" t="e">
        <f>AND(G115=TRUE,#REF!=1)</f>
        <v>#REF!</v>
      </c>
      <c r="J115" t="e">
        <f>AND(H115=TRUE,#REF!=2)</f>
        <v>#REF!</v>
      </c>
      <c r="K115" t="e">
        <f>IF(#REF!=1,K114+1,0)</f>
        <v>#REF!</v>
      </c>
      <c r="L115" t="e">
        <f>IF(#REF!=2,L114+1,0)</f>
        <v>#REF!</v>
      </c>
      <c r="M115" t="e">
        <f>#REF!</f>
        <v>#REF!</v>
      </c>
      <c r="N115" t="e">
        <f>COUNTIFS(#REF!, "=1")</f>
        <v>#REF!</v>
      </c>
      <c r="O115" t="e">
        <f>COUNTIFS(#REF!, "=2")</f>
        <v>#REF!</v>
      </c>
      <c r="P115" t="e">
        <f>#REF!</f>
        <v>#REF!</v>
      </c>
    </row>
    <row r="116" spans="1:16" x14ac:dyDescent="0.25">
      <c r="A116" t="e">
        <f>AND(#REF!=2, COUNTIF(Tables!L$1:L$4,#REF!))</f>
        <v>#REF!</v>
      </c>
      <c r="B116" t="e">
        <f>AND(#REF!=1, COUNTIF(Tables!L$1:L$4,#REF!))</f>
        <v>#REF!</v>
      </c>
      <c r="C116" t="e">
        <f>AND(A116,#REF!= 0)</f>
        <v>#REF!</v>
      </c>
      <c r="D116" t="e">
        <f>AND(B116,#REF!= 0)</f>
        <v>#REF!</v>
      </c>
      <c r="E116" t="e">
        <f>isNetPoint(#REF!)</f>
        <v>#VALUE!</v>
      </c>
      <c r="F116" t="e">
        <f>OR(#REF!=1,#REF!= 1)</f>
        <v>#REF!</v>
      </c>
      <c r="G116" t="e">
        <f>IF(#REF!=1,OR(E116="1",E116="3",F116=TRUE),OR(E116="2",E116="3"))</f>
        <v>#REF!</v>
      </c>
      <c r="H116" t="e">
        <f>IF(#REF!=2,OR(E116="1",E116="3",F116=TRUE),OR(E116="2",E116="3"))</f>
        <v>#REF!</v>
      </c>
      <c r="I116" t="e">
        <f>AND(G116=TRUE,#REF!=1)</f>
        <v>#REF!</v>
      </c>
      <c r="J116" t="e">
        <f>AND(H116=TRUE,#REF!=2)</f>
        <v>#REF!</v>
      </c>
      <c r="K116" t="e">
        <f>IF(#REF!=1,K115+1,0)</f>
        <v>#REF!</v>
      </c>
      <c r="L116" t="e">
        <f>IF(#REF!=2,L115+1,0)</f>
        <v>#REF!</v>
      </c>
      <c r="M116" t="e">
        <f>#REF!</f>
        <v>#REF!</v>
      </c>
      <c r="N116" t="e">
        <f>COUNTIFS(#REF!, "=1")</f>
        <v>#REF!</v>
      </c>
      <c r="O116" t="e">
        <f>COUNTIFS(#REF!, "=2")</f>
        <v>#REF!</v>
      </c>
      <c r="P116" t="e">
        <f>#REF!</f>
        <v>#REF!</v>
      </c>
    </row>
    <row r="117" spans="1:16" x14ac:dyDescent="0.25">
      <c r="A117" t="e">
        <f>AND(#REF!=2, COUNTIF(Tables!L$1:L$4,#REF!))</f>
        <v>#REF!</v>
      </c>
      <c r="B117" t="e">
        <f>AND(#REF!=1, COUNTIF(Tables!L$1:L$4,#REF!))</f>
        <v>#REF!</v>
      </c>
      <c r="C117" t="e">
        <f>AND(A117,#REF!= 0)</f>
        <v>#REF!</v>
      </c>
      <c r="D117" t="e">
        <f>AND(B117,#REF!= 0)</f>
        <v>#REF!</v>
      </c>
      <c r="E117" t="e">
        <f>isNetPoint(#REF!)</f>
        <v>#VALUE!</v>
      </c>
      <c r="F117" t="e">
        <f>OR(#REF!=1,#REF!= 1)</f>
        <v>#REF!</v>
      </c>
      <c r="G117" t="e">
        <f>IF(#REF!=1,OR(E117="1",E117="3",F117=TRUE),OR(E117="2",E117="3"))</f>
        <v>#REF!</v>
      </c>
      <c r="H117" t="e">
        <f>IF(#REF!=2,OR(E117="1",E117="3",F117=TRUE),OR(E117="2",E117="3"))</f>
        <v>#REF!</v>
      </c>
      <c r="I117" t="e">
        <f>AND(G117=TRUE,#REF!=1)</f>
        <v>#REF!</v>
      </c>
      <c r="J117" t="e">
        <f>AND(H117=TRUE,#REF!=2)</f>
        <v>#REF!</v>
      </c>
      <c r="K117" t="e">
        <f>IF(#REF!=1,K116+1,0)</f>
        <v>#REF!</v>
      </c>
      <c r="L117" t="e">
        <f>IF(#REF!=2,L116+1,0)</f>
        <v>#REF!</v>
      </c>
      <c r="M117" t="e">
        <f>#REF!</f>
        <v>#REF!</v>
      </c>
      <c r="N117" t="e">
        <f>COUNTIFS(#REF!, "=1")</f>
        <v>#REF!</v>
      </c>
      <c r="O117" t="e">
        <f>COUNTIFS(#REF!, "=2")</f>
        <v>#REF!</v>
      </c>
      <c r="P117" t="e">
        <f>#REF!</f>
        <v>#REF!</v>
      </c>
    </row>
    <row r="118" spans="1:16" x14ac:dyDescent="0.25">
      <c r="A118" t="e">
        <f>AND(#REF!=2, COUNTIF(Tables!L$1:L$4,#REF!))</f>
        <v>#REF!</v>
      </c>
      <c r="B118" t="e">
        <f>AND(#REF!=1, COUNTIF(Tables!L$1:L$4,#REF!))</f>
        <v>#REF!</v>
      </c>
      <c r="C118" t="e">
        <f>AND(A118,#REF!= 0)</f>
        <v>#REF!</v>
      </c>
      <c r="D118" t="e">
        <f>AND(B118,#REF!= 0)</f>
        <v>#REF!</v>
      </c>
      <c r="E118" t="e">
        <f>isNetPoint(#REF!)</f>
        <v>#VALUE!</v>
      </c>
      <c r="F118" t="e">
        <f>OR(#REF!=1,#REF!= 1)</f>
        <v>#REF!</v>
      </c>
      <c r="G118" t="e">
        <f>IF(#REF!=1,OR(E118="1",E118="3",F118=TRUE),OR(E118="2",E118="3"))</f>
        <v>#REF!</v>
      </c>
      <c r="H118" t="e">
        <f>IF(#REF!=2,OR(E118="1",E118="3",F118=TRUE),OR(E118="2",E118="3"))</f>
        <v>#REF!</v>
      </c>
      <c r="I118" t="e">
        <f>AND(G118=TRUE,#REF!=1)</f>
        <v>#REF!</v>
      </c>
      <c r="J118" t="e">
        <f>AND(H118=TRUE,#REF!=2)</f>
        <v>#REF!</v>
      </c>
      <c r="K118" t="e">
        <f>IF(#REF!=1,K117+1,0)</f>
        <v>#REF!</v>
      </c>
      <c r="L118" t="e">
        <f>IF(#REF!=2,L117+1,0)</f>
        <v>#REF!</v>
      </c>
      <c r="M118" t="e">
        <f>#REF!</f>
        <v>#REF!</v>
      </c>
      <c r="N118" t="e">
        <f>COUNTIFS(#REF!, "=1")</f>
        <v>#REF!</v>
      </c>
      <c r="O118" t="e">
        <f>COUNTIFS(#REF!, "=2")</f>
        <v>#REF!</v>
      </c>
      <c r="P118" t="e">
        <f>#REF!</f>
        <v>#REF!</v>
      </c>
    </row>
    <row r="119" spans="1:16" x14ac:dyDescent="0.25">
      <c r="A119" t="e">
        <f>AND(#REF!=2, COUNTIF(Tables!L$1:L$4,#REF!))</f>
        <v>#REF!</v>
      </c>
      <c r="B119" t="e">
        <f>AND(#REF!=1, COUNTIF(Tables!L$1:L$4,#REF!))</f>
        <v>#REF!</v>
      </c>
      <c r="C119" t="e">
        <f>AND(A119,#REF!= 0)</f>
        <v>#REF!</v>
      </c>
      <c r="D119" t="e">
        <f>AND(B119,#REF!= 0)</f>
        <v>#REF!</v>
      </c>
      <c r="E119" t="e">
        <f>isNetPoint(#REF!)</f>
        <v>#VALUE!</v>
      </c>
      <c r="F119" t="e">
        <f>OR(#REF!=1,#REF!= 1)</f>
        <v>#REF!</v>
      </c>
      <c r="G119" t="e">
        <f>IF(#REF!=1,OR(E119="1",E119="3",F119=TRUE),OR(E119="2",E119="3"))</f>
        <v>#REF!</v>
      </c>
      <c r="H119" t="e">
        <f>IF(#REF!=2,OR(E119="1",E119="3",F119=TRUE),OR(E119="2",E119="3"))</f>
        <v>#REF!</v>
      </c>
      <c r="I119" t="e">
        <f>AND(G119=TRUE,#REF!=1)</f>
        <v>#REF!</v>
      </c>
      <c r="J119" t="e">
        <f>AND(H119=TRUE,#REF!=2)</f>
        <v>#REF!</v>
      </c>
      <c r="K119" t="e">
        <f>IF(#REF!=1,K118+1,0)</f>
        <v>#REF!</v>
      </c>
      <c r="L119" t="e">
        <f>IF(#REF!=2,L118+1,0)</f>
        <v>#REF!</v>
      </c>
      <c r="M119" t="e">
        <f>#REF!</f>
        <v>#REF!</v>
      </c>
      <c r="N119" t="e">
        <f>COUNTIFS(#REF!, "=1")</f>
        <v>#REF!</v>
      </c>
      <c r="O119" t="e">
        <f>COUNTIFS(#REF!, "=2")</f>
        <v>#REF!</v>
      </c>
      <c r="P119" t="e">
        <f>#REF!</f>
        <v>#REF!</v>
      </c>
    </row>
    <row r="120" spans="1:16" x14ac:dyDescent="0.25">
      <c r="A120" t="e">
        <f>AND(#REF!=2, COUNTIF(Tables!L$1:L$4,#REF!))</f>
        <v>#REF!</v>
      </c>
      <c r="B120" t="e">
        <f>AND(#REF!=1, COUNTIF(Tables!L$1:L$4,#REF!))</f>
        <v>#REF!</v>
      </c>
      <c r="C120" t="e">
        <f>AND(A120,#REF!= 0)</f>
        <v>#REF!</v>
      </c>
      <c r="D120" t="e">
        <f>AND(B120,#REF!= 0)</f>
        <v>#REF!</v>
      </c>
      <c r="E120" t="e">
        <f>isNetPoint(#REF!)</f>
        <v>#VALUE!</v>
      </c>
      <c r="F120" t="e">
        <f>OR(#REF!=1,#REF!= 1)</f>
        <v>#REF!</v>
      </c>
      <c r="G120" t="e">
        <f>IF(#REF!=1,OR(E120="1",E120="3",F120=TRUE),OR(E120="2",E120="3"))</f>
        <v>#REF!</v>
      </c>
      <c r="H120" t="e">
        <f>IF(#REF!=2,OR(E120="1",E120="3",F120=TRUE),OR(E120="2",E120="3"))</f>
        <v>#REF!</v>
      </c>
      <c r="I120" t="e">
        <f>AND(G120=TRUE,#REF!=1)</f>
        <v>#REF!</v>
      </c>
      <c r="J120" t="e">
        <f>AND(H120=TRUE,#REF!=2)</f>
        <v>#REF!</v>
      </c>
      <c r="K120" t="e">
        <f>IF(#REF!=1,K119+1,0)</f>
        <v>#REF!</v>
      </c>
      <c r="L120" t="e">
        <f>IF(#REF!=2,L119+1,0)</f>
        <v>#REF!</v>
      </c>
      <c r="M120" t="e">
        <f>#REF!</f>
        <v>#REF!</v>
      </c>
      <c r="N120" t="e">
        <f>COUNTIFS(#REF!, "=1")</f>
        <v>#REF!</v>
      </c>
      <c r="O120" t="e">
        <f>COUNTIFS(#REF!, "=2")</f>
        <v>#REF!</v>
      </c>
      <c r="P120" t="e">
        <f>#REF!</f>
        <v>#REF!</v>
      </c>
    </row>
    <row r="121" spans="1:16" x14ac:dyDescent="0.25">
      <c r="A121" t="e">
        <f>AND(#REF!=2, COUNTIF(Tables!L$1:L$4,#REF!))</f>
        <v>#REF!</v>
      </c>
      <c r="B121" t="e">
        <f>AND(#REF!=1, COUNTIF(Tables!L$1:L$4,#REF!))</f>
        <v>#REF!</v>
      </c>
      <c r="C121" t="e">
        <f>AND(A121,#REF!= 0)</f>
        <v>#REF!</v>
      </c>
      <c r="D121" t="e">
        <f>AND(B121,#REF!= 0)</f>
        <v>#REF!</v>
      </c>
      <c r="E121" t="e">
        <f>isNetPoint(#REF!)</f>
        <v>#VALUE!</v>
      </c>
      <c r="F121" t="e">
        <f>OR(#REF!=1,#REF!= 1)</f>
        <v>#REF!</v>
      </c>
      <c r="G121" t="e">
        <f>IF(#REF!=1,OR(E121="1",E121="3",F121=TRUE),OR(E121="2",E121="3"))</f>
        <v>#REF!</v>
      </c>
      <c r="H121" t="e">
        <f>IF(#REF!=2,OR(E121="1",E121="3",F121=TRUE),OR(E121="2",E121="3"))</f>
        <v>#REF!</v>
      </c>
      <c r="I121" t="e">
        <f>AND(G121=TRUE,#REF!=1)</f>
        <v>#REF!</v>
      </c>
      <c r="J121" t="e">
        <f>AND(H121=TRUE,#REF!=2)</f>
        <v>#REF!</v>
      </c>
      <c r="K121" t="e">
        <f>IF(#REF!=1,K120+1,0)</f>
        <v>#REF!</v>
      </c>
      <c r="L121" t="e">
        <f>IF(#REF!=2,L120+1,0)</f>
        <v>#REF!</v>
      </c>
      <c r="M121" t="e">
        <f>#REF!</f>
        <v>#REF!</v>
      </c>
      <c r="N121" t="e">
        <f>COUNTIFS(#REF!, "=1")</f>
        <v>#REF!</v>
      </c>
      <c r="O121" t="e">
        <f>COUNTIFS(#REF!, "=2")</f>
        <v>#REF!</v>
      </c>
      <c r="P121" t="e">
        <f>#REF!</f>
        <v>#REF!</v>
      </c>
    </row>
    <row r="122" spans="1:16" x14ac:dyDescent="0.25">
      <c r="A122" t="e">
        <f>AND(#REF!=2, COUNTIF(Tables!L$1:L$4,#REF!))</f>
        <v>#REF!</v>
      </c>
      <c r="B122" t="e">
        <f>AND(#REF!=1, COUNTIF(Tables!L$1:L$4,#REF!))</f>
        <v>#REF!</v>
      </c>
      <c r="C122" t="e">
        <f>AND(A122,#REF!= 0)</f>
        <v>#REF!</v>
      </c>
      <c r="D122" t="e">
        <f>AND(B122,#REF!= 0)</f>
        <v>#REF!</v>
      </c>
      <c r="E122" t="e">
        <f>isNetPoint(#REF!)</f>
        <v>#VALUE!</v>
      </c>
      <c r="F122" t="e">
        <f>OR(#REF!=1,#REF!= 1)</f>
        <v>#REF!</v>
      </c>
      <c r="G122" t="e">
        <f>IF(#REF!=1,OR(E122="1",E122="3",F122=TRUE),OR(E122="2",E122="3"))</f>
        <v>#REF!</v>
      </c>
      <c r="H122" t="e">
        <f>IF(#REF!=2,OR(E122="1",E122="3",F122=TRUE),OR(E122="2",E122="3"))</f>
        <v>#REF!</v>
      </c>
      <c r="I122" t="e">
        <f>AND(G122=TRUE,#REF!=1)</f>
        <v>#REF!</v>
      </c>
      <c r="J122" t="e">
        <f>AND(H122=TRUE,#REF!=2)</f>
        <v>#REF!</v>
      </c>
      <c r="K122" t="e">
        <f>IF(#REF!=1,K121+1,0)</f>
        <v>#REF!</v>
      </c>
      <c r="L122" t="e">
        <f>IF(#REF!=2,L121+1,0)</f>
        <v>#REF!</v>
      </c>
      <c r="M122" t="e">
        <f>#REF!</f>
        <v>#REF!</v>
      </c>
      <c r="N122" t="e">
        <f>COUNTIFS(#REF!, "=1")</f>
        <v>#REF!</v>
      </c>
      <c r="O122" t="e">
        <f>COUNTIFS(#REF!, "=2")</f>
        <v>#REF!</v>
      </c>
      <c r="P122" t="e">
        <f>#REF!</f>
        <v>#REF!</v>
      </c>
    </row>
    <row r="123" spans="1:16" x14ac:dyDescent="0.25">
      <c r="A123" t="e">
        <f>AND(#REF!=2, COUNTIF(Tables!L$1:L$4,#REF!))</f>
        <v>#REF!</v>
      </c>
      <c r="B123" t="e">
        <f>AND(#REF!=1, COUNTIF(Tables!L$1:L$4,#REF!))</f>
        <v>#REF!</v>
      </c>
      <c r="C123" t="e">
        <f>AND(A123,#REF!= 0)</f>
        <v>#REF!</v>
      </c>
      <c r="D123" t="e">
        <f>AND(B123,#REF!= 0)</f>
        <v>#REF!</v>
      </c>
      <c r="E123" t="e">
        <f>isNetPoint(#REF!)</f>
        <v>#VALUE!</v>
      </c>
      <c r="F123" t="e">
        <f>OR(#REF!=1,#REF!= 1)</f>
        <v>#REF!</v>
      </c>
      <c r="G123" t="e">
        <f>IF(#REF!=1,OR(E123="1",E123="3",F123=TRUE),OR(E123="2",E123="3"))</f>
        <v>#REF!</v>
      </c>
      <c r="H123" t="e">
        <f>IF(#REF!=2,OR(E123="1",E123="3",F123=TRUE),OR(E123="2",E123="3"))</f>
        <v>#REF!</v>
      </c>
      <c r="I123" t="e">
        <f>AND(G123=TRUE,#REF!=1)</f>
        <v>#REF!</v>
      </c>
      <c r="J123" t="e">
        <f>AND(H123=TRUE,#REF!=2)</f>
        <v>#REF!</v>
      </c>
      <c r="K123" t="e">
        <f>IF(#REF!=1,K122+1,0)</f>
        <v>#REF!</v>
      </c>
      <c r="L123" t="e">
        <f>IF(#REF!=2,L122+1,0)</f>
        <v>#REF!</v>
      </c>
      <c r="M123" t="e">
        <f>#REF!</f>
        <v>#REF!</v>
      </c>
      <c r="N123" t="e">
        <f>COUNTIFS(#REF!, "=1")</f>
        <v>#REF!</v>
      </c>
      <c r="O123" t="e">
        <f>COUNTIFS(#REF!, "=2")</f>
        <v>#REF!</v>
      </c>
      <c r="P123" t="e">
        <f>#REF!</f>
        <v>#REF!</v>
      </c>
    </row>
    <row r="124" spans="1:16" x14ac:dyDescent="0.25">
      <c r="A124" t="e">
        <f>AND(#REF!=2, COUNTIF(Tables!L$1:L$4,#REF!))</f>
        <v>#REF!</v>
      </c>
      <c r="B124" t="e">
        <f>AND(#REF!=1, COUNTIF(Tables!L$1:L$4,#REF!))</f>
        <v>#REF!</v>
      </c>
      <c r="C124" t="e">
        <f>AND(A124,#REF!= 0)</f>
        <v>#REF!</v>
      </c>
      <c r="D124" t="e">
        <f>AND(B124,#REF!= 0)</f>
        <v>#REF!</v>
      </c>
      <c r="E124" t="e">
        <f>isNetPoint(#REF!)</f>
        <v>#VALUE!</v>
      </c>
      <c r="F124" t="e">
        <f>OR(#REF!=1,#REF!= 1)</f>
        <v>#REF!</v>
      </c>
      <c r="G124" t="e">
        <f>IF(#REF!=1,OR(E124="1",E124="3",F124=TRUE),OR(E124="2",E124="3"))</f>
        <v>#REF!</v>
      </c>
      <c r="H124" t="e">
        <f>IF(#REF!=2,OR(E124="1",E124="3",F124=TRUE),OR(E124="2",E124="3"))</f>
        <v>#REF!</v>
      </c>
      <c r="I124" t="e">
        <f>AND(G124=TRUE,#REF!=1)</f>
        <v>#REF!</v>
      </c>
      <c r="J124" t="e">
        <f>AND(H124=TRUE,#REF!=2)</f>
        <v>#REF!</v>
      </c>
      <c r="K124" t="e">
        <f>IF(#REF!=1,K123+1,0)</f>
        <v>#REF!</v>
      </c>
      <c r="L124" t="e">
        <f>IF(#REF!=2,L123+1,0)</f>
        <v>#REF!</v>
      </c>
      <c r="M124" t="e">
        <f>#REF!</f>
        <v>#REF!</v>
      </c>
      <c r="N124" t="e">
        <f>COUNTIFS(#REF!, "=1")</f>
        <v>#REF!</v>
      </c>
      <c r="O124" t="e">
        <f>COUNTIFS(#REF!, "=2")</f>
        <v>#REF!</v>
      </c>
      <c r="P124" t="e">
        <f>#REF!</f>
        <v>#REF!</v>
      </c>
    </row>
    <row r="125" spans="1:16" x14ac:dyDescent="0.25">
      <c r="A125" t="e">
        <f>AND(#REF!=2, COUNTIF(Tables!L$1:L$4,#REF!))</f>
        <v>#REF!</v>
      </c>
      <c r="B125" t="e">
        <f>AND(#REF!=1, COUNTIF(Tables!L$1:L$4,#REF!))</f>
        <v>#REF!</v>
      </c>
      <c r="C125" t="e">
        <f>AND(A125,#REF!= 0)</f>
        <v>#REF!</v>
      </c>
      <c r="D125" t="e">
        <f>AND(B125,#REF!= 0)</f>
        <v>#REF!</v>
      </c>
      <c r="E125" t="e">
        <f>isNetPoint(#REF!)</f>
        <v>#VALUE!</v>
      </c>
      <c r="F125" t="e">
        <f>OR(#REF!=1,#REF!= 1)</f>
        <v>#REF!</v>
      </c>
      <c r="G125" t="e">
        <f>IF(#REF!=1,OR(E125="1",E125="3",F125=TRUE),OR(E125="2",E125="3"))</f>
        <v>#REF!</v>
      </c>
      <c r="H125" t="e">
        <f>IF(#REF!=2,OR(E125="1",E125="3",F125=TRUE),OR(E125="2",E125="3"))</f>
        <v>#REF!</v>
      </c>
      <c r="I125" t="e">
        <f>AND(G125=TRUE,#REF!=1)</f>
        <v>#REF!</v>
      </c>
      <c r="J125" t="e">
        <f>AND(H125=TRUE,#REF!=2)</f>
        <v>#REF!</v>
      </c>
      <c r="K125" t="e">
        <f>IF(#REF!=1,K124+1,0)</f>
        <v>#REF!</v>
      </c>
      <c r="L125" t="e">
        <f>IF(#REF!=2,L124+1,0)</f>
        <v>#REF!</v>
      </c>
      <c r="M125" t="e">
        <f>#REF!</f>
        <v>#REF!</v>
      </c>
      <c r="N125" t="e">
        <f>COUNTIFS(#REF!, "=1")</f>
        <v>#REF!</v>
      </c>
      <c r="O125" t="e">
        <f>COUNTIFS(#REF!, "=2")</f>
        <v>#REF!</v>
      </c>
      <c r="P125" t="e">
        <f>#REF!</f>
        <v>#REF!</v>
      </c>
    </row>
    <row r="126" spans="1:16" x14ac:dyDescent="0.25">
      <c r="A126" t="e">
        <f>AND(#REF!=2, COUNTIF(Tables!L$1:L$4,#REF!))</f>
        <v>#REF!</v>
      </c>
      <c r="B126" t="e">
        <f>AND(#REF!=1, COUNTIF(Tables!L$1:L$4,#REF!))</f>
        <v>#REF!</v>
      </c>
      <c r="C126" t="e">
        <f>AND(A126,#REF!= 0)</f>
        <v>#REF!</v>
      </c>
      <c r="D126" t="e">
        <f>AND(B126,#REF!= 0)</f>
        <v>#REF!</v>
      </c>
      <c r="E126" t="e">
        <f>isNetPoint(#REF!)</f>
        <v>#VALUE!</v>
      </c>
      <c r="F126" t="e">
        <f>OR(#REF!=1,#REF!= 1)</f>
        <v>#REF!</v>
      </c>
      <c r="G126" t="e">
        <f>IF(#REF!=1,OR(E126="1",E126="3",F126=TRUE),OR(E126="2",E126="3"))</f>
        <v>#REF!</v>
      </c>
      <c r="H126" t="e">
        <f>IF(#REF!=2,OR(E126="1",E126="3",F126=TRUE),OR(E126="2",E126="3"))</f>
        <v>#REF!</v>
      </c>
      <c r="I126" t="e">
        <f>AND(G126=TRUE,#REF!=1)</f>
        <v>#REF!</v>
      </c>
      <c r="J126" t="e">
        <f>AND(H126=TRUE,#REF!=2)</f>
        <v>#REF!</v>
      </c>
      <c r="K126" t="e">
        <f>IF(#REF!=1,K125+1,0)</f>
        <v>#REF!</v>
      </c>
      <c r="L126" t="e">
        <f>IF(#REF!=2,L125+1,0)</f>
        <v>#REF!</v>
      </c>
      <c r="M126" t="e">
        <f>#REF!</f>
        <v>#REF!</v>
      </c>
      <c r="N126" t="e">
        <f>COUNTIFS(#REF!, "=1")</f>
        <v>#REF!</v>
      </c>
      <c r="O126" t="e">
        <f>COUNTIFS(#REF!, "=2")</f>
        <v>#REF!</v>
      </c>
      <c r="P126" t="e">
        <f>#REF!</f>
        <v>#REF!</v>
      </c>
    </row>
    <row r="127" spans="1:16" x14ac:dyDescent="0.25">
      <c r="A127" t="e">
        <f>AND(#REF!=2, COUNTIF(Tables!L$1:L$4,#REF!))</f>
        <v>#REF!</v>
      </c>
      <c r="B127" t="e">
        <f>AND(#REF!=1, COUNTIF(Tables!L$1:L$4,#REF!))</f>
        <v>#REF!</v>
      </c>
      <c r="C127" t="e">
        <f>AND(A127,#REF!= 0)</f>
        <v>#REF!</v>
      </c>
      <c r="D127" t="e">
        <f>AND(B127,#REF!= 0)</f>
        <v>#REF!</v>
      </c>
      <c r="E127" t="e">
        <f>isNetPoint(#REF!)</f>
        <v>#VALUE!</v>
      </c>
      <c r="F127" t="e">
        <f>OR(#REF!=1,#REF!= 1)</f>
        <v>#REF!</v>
      </c>
      <c r="G127" t="e">
        <f>IF(#REF!=1,OR(E127="1",E127="3",F127=TRUE),OR(E127="2",E127="3"))</f>
        <v>#REF!</v>
      </c>
      <c r="H127" t="e">
        <f>IF(#REF!=2,OR(E127="1",E127="3",F127=TRUE),OR(E127="2",E127="3"))</f>
        <v>#REF!</v>
      </c>
      <c r="I127" t="e">
        <f>AND(G127=TRUE,#REF!=1)</f>
        <v>#REF!</v>
      </c>
      <c r="J127" t="e">
        <f>AND(H127=TRUE,#REF!=2)</f>
        <v>#REF!</v>
      </c>
      <c r="K127" t="e">
        <f>IF(#REF!=1,K126+1,0)</f>
        <v>#REF!</v>
      </c>
      <c r="L127" t="e">
        <f>IF(#REF!=2,L126+1,0)</f>
        <v>#REF!</v>
      </c>
      <c r="M127" t="e">
        <f>#REF!</f>
        <v>#REF!</v>
      </c>
      <c r="N127" t="e">
        <f>COUNTIFS(#REF!, "=1")</f>
        <v>#REF!</v>
      </c>
      <c r="O127" t="e">
        <f>COUNTIFS(#REF!, "=2")</f>
        <v>#REF!</v>
      </c>
      <c r="P127" t="e">
        <f>#REF!</f>
        <v>#REF!</v>
      </c>
    </row>
    <row r="128" spans="1:16" x14ac:dyDescent="0.25">
      <c r="A128" t="e">
        <f>AND(#REF!=2, COUNTIF(Tables!L$1:L$4,#REF!))</f>
        <v>#REF!</v>
      </c>
      <c r="B128" t="e">
        <f>AND(#REF!=1, COUNTIF(Tables!L$1:L$4,#REF!))</f>
        <v>#REF!</v>
      </c>
      <c r="C128" t="e">
        <f>AND(A128,#REF!= 0)</f>
        <v>#REF!</v>
      </c>
      <c r="D128" t="e">
        <f>AND(B128,#REF!= 0)</f>
        <v>#REF!</v>
      </c>
      <c r="E128" t="e">
        <f>isNetPoint(#REF!)</f>
        <v>#VALUE!</v>
      </c>
      <c r="F128" t="e">
        <f>OR(#REF!=1,#REF!= 1)</f>
        <v>#REF!</v>
      </c>
      <c r="G128" t="e">
        <f>IF(#REF!=1,OR(E128="1",E128="3",F128=TRUE),OR(E128="2",E128="3"))</f>
        <v>#REF!</v>
      </c>
      <c r="H128" t="e">
        <f>IF(#REF!=2,OR(E128="1",E128="3",F128=TRUE),OR(E128="2",E128="3"))</f>
        <v>#REF!</v>
      </c>
      <c r="I128" t="e">
        <f>AND(G128=TRUE,#REF!=1)</f>
        <v>#REF!</v>
      </c>
      <c r="J128" t="e">
        <f>AND(H128=TRUE,#REF!=2)</f>
        <v>#REF!</v>
      </c>
      <c r="K128" t="e">
        <f>IF(#REF!=1,K127+1,0)</f>
        <v>#REF!</v>
      </c>
      <c r="L128" t="e">
        <f>IF(#REF!=2,L127+1,0)</f>
        <v>#REF!</v>
      </c>
      <c r="M128" t="e">
        <f>#REF!</f>
        <v>#REF!</v>
      </c>
      <c r="N128" t="e">
        <f>COUNTIFS(#REF!, "=1")</f>
        <v>#REF!</v>
      </c>
      <c r="O128" t="e">
        <f>COUNTIFS(#REF!, "=2")</f>
        <v>#REF!</v>
      </c>
      <c r="P128" t="e">
        <f>#REF!</f>
        <v>#REF!</v>
      </c>
    </row>
    <row r="129" spans="1:16" x14ac:dyDescent="0.25">
      <c r="A129" t="e">
        <f>AND(#REF!=2, COUNTIF(Tables!L$1:L$4,#REF!))</f>
        <v>#REF!</v>
      </c>
      <c r="B129" t="e">
        <f>AND(#REF!=1, COUNTIF(Tables!L$1:L$4,#REF!))</f>
        <v>#REF!</v>
      </c>
      <c r="C129" t="e">
        <f>AND(A129,#REF!= 0)</f>
        <v>#REF!</v>
      </c>
      <c r="D129" t="e">
        <f>AND(B129,#REF!= 0)</f>
        <v>#REF!</v>
      </c>
      <c r="E129" t="e">
        <f>isNetPoint(#REF!)</f>
        <v>#VALUE!</v>
      </c>
      <c r="F129" t="e">
        <f>OR(#REF!=1,#REF!= 1)</f>
        <v>#REF!</v>
      </c>
      <c r="G129" t="e">
        <f>IF(#REF!=1,OR(E129="1",E129="3",F129=TRUE),OR(E129="2",E129="3"))</f>
        <v>#REF!</v>
      </c>
      <c r="H129" t="e">
        <f>IF(#REF!=2,OR(E129="1",E129="3",F129=TRUE),OR(E129="2",E129="3"))</f>
        <v>#REF!</v>
      </c>
      <c r="I129" t="e">
        <f>AND(G129=TRUE,#REF!=1)</f>
        <v>#REF!</v>
      </c>
      <c r="J129" t="e">
        <f>AND(H129=TRUE,#REF!=2)</f>
        <v>#REF!</v>
      </c>
      <c r="K129" t="e">
        <f>IF(#REF!=1,K128+1,0)</f>
        <v>#REF!</v>
      </c>
      <c r="L129" t="e">
        <f>IF(#REF!=2,L128+1,0)</f>
        <v>#REF!</v>
      </c>
      <c r="M129" t="e">
        <f>#REF!</f>
        <v>#REF!</v>
      </c>
      <c r="N129" t="e">
        <f>COUNTIFS(#REF!, "=1")</f>
        <v>#REF!</v>
      </c>
      <c r="O129" t="e">
        <f>COUNTIFS(#REF!, "=2")</f>
        <v>#REF!</v>
      </c>
      <c r="P129" t="e">
        <f>#REF!</f>
        <v>#REF!</v>
      </c>
    </row>
    <row r="130" spans="1:16" x14ac:dyDescent="0.25">
      <c r="A130" t="e">
        <f>AND(#REF!=2, COUNTIF(Tables!L$1:L$4,#REF!))</f>
        <v>#REF!</v>
      </c>
      <c r="B130" t="e">
        <f>AND(#REF!=1, COUNTIF(Tables!L$1:L$4,#REF!))</f>
        <v>#REF!</v>
      </c>
      <c r="C130" t="e">
        <f>AND(A130,#REF!= 0)</f>
        <v>#REF!</v>
      </c>
      <c r="D130" t="e">
        <f>AND(B130,#REF!= 0)</f>
        <v>#REF!</v>
      </c>
      <c r="E130" t="e">
        <f>isNetPoint(#REF!)</f>
        <v>#VALUE!</v>
      </c>
      <c r="F130" t="e">
        <f>OR(#REF!=1,#REF!= 1)</f>
        <v>#REF!</v>
      </c>
      <c r="G130" t="e">
        <f>IF(#REF!=1,OR(E130="1",E130="3",F130=TRUE),OR(E130="2",E130="3"))</f>
        <v>#REF!</v>
      </c>
      <c r="H130" t="e">
        <f>IF(#REF!=2,OR(E130="1",E130="3",F130=TRUE),OR(E130="2",E130="3"))</f>
        <v>#REF!</v>
      </c>
      <c r="I130" t="e">
        <f>AND(G130=TRUE,#REF!=1)</f>
        <v>#REF!</v>
      </c>
      <c r="J130" t="e">
        <f>AND(H130=TRUE,#REF!=2)</f>
        <v>#REF!</v>
      </c>
      <c r="K130" t="e">
        <f>IF(#REF!=1,K129+1,0)</f>
        <v>#REF!</v>
      </c>
      <c r="L130" t="e">
        <f>IF(#REF!=2,L129+1,0)</f>
        <v>#REF!</v>
      </c>
      <c r="M130" t="e">
        <f>#REF!</f>
        <v>#REF!</v>
      </c>
      <c r="N130" t="e">
        <f>COUNTIFS(#REF!, "=1")</f>
        <v>#REF!</v>
      </c>
      <c r="O130" t="e">
        <f>COUNTIFS(#REF!, "=2")</f>
        <v>#REF!</v>
      </c>
      <c r="P130" t="e">
        <f>#REF!</f>
        <v>#REF!</v>
      </c>
    </row>
    <row r="131" spans="1:16" x14ac:dyDescent="0.25">
      <c r="A131" t="e">
        <f>AND(#REF!=2, COUNTIF(Tables!L$1:L$4,#REF!))</f>
        <v>#REF!</v>
      </c>
      <c r="B131" t="e">
        <f>AND(#REF!=1, COUNTIF(Tables!L$1:L$4,#REF!))</f>
        <v>#REF!</v>
      </c>
      <c r="C131" t="e">
        <f>AND(A131,#REF!= 0)</f>
        <v>#REF!</v>
      </c>
      <c r="D131" t="e">
        <f>AND(B131,#REF!= 0)</f>
        <v>#REF!</v>
      </c>
      <c r="E131" t="e">
        <f>isNetPoint(#REF!)</f>
        <v>#VALUE!</v>
      </c>
      <c r="F131" t="e">
        <f>OR(#REF!=1,#REF!= 1)</f>
        <v>#REF!</v>
      </c>
      <c r="G131" t="e">
        <f>IF(#REF!=1,OR(E131="1",E131="3",F131=TRUE),OR(E131="2",E131="3"))</f>
        <v>#REF!</v>
      </c>
      <c r="H131" t="e">
        <f>IF(#REF!=2,OR(E131="1",E131="3",F131=TRUE),OR(E131="2",E131="3"))</f>
        <v>#REF!</v>
      </c>
      <c r="I131" t="e">
        <f>AND(G131=TRUE,#REF!=1)</f>
        <v>#REF!</v>
      </c>
      <c r="J131" t="e">
        <f>AND(H131=TRUE,#REF!=2)</f>
        <v>#REF!</v>
      </c>
      <c r="K131" t="e">
        <f>IF(#REF!=1,K130+1,0)</f>
        <v>#REF!</v>
      </c>
      <c r="L131" t="e">
        <f>IF(#REF!=2,L130+1,0)</f>
        <v>#REF!</v>
      </c>
      <c r="M131" t="e">
        <f>#REF!</f>
        <v>#REF!</v>
      </c>
      <c r="N131" t="e">
        <f>COUNTIFS(#REF!, "=1")</f>
        <v>#REF!</v>
      </c>
      <c r="O131" t="e">
        <f>COUNTIFS(#REF!, "=2")</f>
        <v>#REF!</v>
      </c>
      <c r="P131" t="e">
        <f>#REF!</f>
        <v>#REF!</v>
      </c>
    </row>
    <row r="132" spans="1:16" x14ac:dyDescent="0.25">
      <c r="A132" t="e">
        <f>AND(#REF!=2, COUNTIF(Tables!L$1:L$4,#REF!))</f>
        <v>#REF!</v>
      </c>
      <c r="B132" t="e">
        <f>AND(#REF!=1, COUNTIF(Tables!L$1:L$4,#REF!))</f>
        <v>#REF!</v>
      </c>
      <c r="C132" t="e">
        <f>AND(A132,#REF!= 0)</f>
        <v>#REF!</v>
      </c>
      <c r="D132" t="e">
        <f>AND(B132,#REF!= 0)</f>
        <v>#REF!</v>
      </c>
      <c r="E132" t="e">
        <f>isNetPoint(#REF!)</f>
        <v>#VALUE!</v>
      </c>
      <c r="F132" t="e">
        <f>OR(#REF!=1,#REF!= 1)</f>
        <v>#REF!</v>
      </c>
      <c r="G132" t="e">
        <f>IF(#REF!=1,OR(E132="1",E132="3",F132=TRUE),OR(E132="2",E132="3"))</f>
        <v>#REF!</v>
      </c>
      <c r="H132" t="e">
        <f>IF(#REF!=2,OR(E132="1",E132="3",F132=TRUE),OR(E132="2",E132="3"))</f>
        <v>#REF!</v>
      </c>
      <c r="I132" t="e">
        <f>AND(G132=TRUE,#REF!=1)</f>
        <v>#REF!</v>
      </c>
      <c r="J132" t="e">
        <f>AND(H132=TRUE,#REF!=2)</f>
        <v>#REF!</v>
      </c>
      <c r="K132" t="e">
        <f>IF(#REF!=1,K131+1,0)</f>
        <v>#REF!</v>
      </c>
      <c r="L132" t="e">
        <f>IF(#REF!=2,L131+1,0)</f>
        <v>#REF!</v>
      </c>
      <c r="M132" t="e">
        <f>#REF!</f>
        <v>#REF!</v>
      </c>
      <c r="N132" t="e">
        <f>COUNTIFS(#REF!, "=1")</f>
        <v>#REF!</v>
      </c>
      <c r="O132" t="e">
        <f>COUNTIFS(#REF!, "=2")</f>
        <v>#REF!</v>
      </c>
      <c r="P132" t="e">
        <f>#REF!</f>
        <v>#REF!</v>
      </c>
    </row>
    <row r="133" spans="1:16" x14ac:dyDescent="0.25">
      <c r="A133" t="e">
        <f>AND(#REF!=2, COUNTIF(Tables!L$1:L$4,#REF!))</f>
        <v>#REF!</v>
      </c>
      <c r="B133" t="e">
        <f>AND(#REF!=1, COUNTIF(Tables!L$1:L$4,#REF!))</f>
        <v>#REF!</v>
      </c>
      <c r="C133" t="e">
        <f>AND(A133,#REF!= 0)</f>
        <v>#REF!</v>
      </c>
      <c r="D133" t="e">
        <f>AND(B133,#REF!= 0)</f>
        <v>#REF!</v>
      </c>
      <c r="E133" t="e">
        <f>isNetPoint(#REF!)</f>
        <v>#VALUE!</v>
      </c>
      <c r="F133" t="e">
        <f>OR(#REF!=1,#REF!= 1)</f>
        <v>#REF!</v>
      </c>
      <c r="G133" t="e">
        <f>IF(#REF!=1,OR(E133="1",E133="3",F133=TRUE),OR(E133="2",E133="3"))</f>
        <v>#REF!</v>
      </c>
      <c r="H133" t="e">
        <f>IF(#REF!=2,OR(E133="1",E133="3",F133=TRUE),OR(E133="2",E133="3"))</f>
        <v>#REF!</v>
      </c>
      <c r="I133" t="e">
        <f>AND(G133=TRUE,#REF!=1)</f>
        <v>#REF!</v>
      </c>
      <c r="J133" t="e">
        <f>AND(H133=TRUE,#REF!=2)</f>
        <v>#REF!</v>
      </c>
      <c r="K133" t="e">
        <f>IF(#REF!=1,K132+1,0)</f>
        <v>#REF!</v>
      </c>
      <c r="L133" t="e">
        <f>IF(#REF!=2,L132+1,0)</f>
        <v>#REF!</v>
      </c>
      <c r="M133" t="e">
        <f>#REF!</f>
        <v>#REF!</v>
      </c>
      <c r="N133" t="e">
        <f>COUNTIFS(#REF!, "=1")</f>
        <v>#REF!</v>
      </c>
      <c r="O133" t="e">
        <f>COUNTIFS(#REF!, "=2")</f>
        <v>#REF!</v>
      </c>
      <c r="P133" t="e">
        <f>#REF!</f>
        <v>#REF!</v>
      </c>
    </row>
    <row r="134" spans="1:16" x14ac:dyDescent="0.25">
      <c r="A134" t="e">
        <f>AND(#REF!=2, COUNTIF(Tables!L$1:L$4,#REF!))</f>
        <v>#REF!</v>
      </c>
      <c r="B134" t="e">
        <f>AND(#REF!=1, COUNTIF(Tables!L$1:L$4,#REF!))</f>
        <v>#REF!</v>
      </c>
      <c r="C134" t="e">
        <f>AND(A134,#REF!= 0)</f>
        <v>#REF!</v>
      </c>
      <c r="D134" t="e">
        <f>AND(B134,#REF!= 0)</f>
        <v>#REF!</v>
      </c>
      <c r="E134" t="e">
        <f>isNetPoint(#REF!)</f>
        <v>#VALUE!</v>
      </c>
      <c r="F134" t="e">
        <f>OR(#REF!=1,#REF!= 1)</f>
        <v>#REF!</v>
      </c>
      <c r="G134" t="e">
        <f>IF(#REF!=1,OR(E134="1",E134="3",F134=TRUE),OR(E134="2",E134="3"))</f>
        <v>#REF!</v>
      </c>
      <c r="H134" t="e">
        <f>IF(#REF!=2,OR(E134="1",E134="3",F134=TRUE),OR(E134="2",E134="3"))</f>
        <v>#REF!</v>
      </c>
      <c r="I134" t="e">
        <f>AND(G134=TRUE,#REF!=1)</f>
        <v>#REF!</v>
      </c>
      <c r="J134" t="e">
        <f>AND(H134=TRUE,#REF!=2)</f>
        <v>#REF!</v>
      </c>
      <c r="K134" t="e">
        <f>IF(#REF!=1,K133+1,0)</f>
        <v>#REF!</v>
      </c>
      <c r="L134" t="e">
        <f>IF(#REF!=2,L133+1,0)</f>
        <v>#REF!</v>
      </c>
      <c r="M134" t="e">
        <f>#REF!</f>
        <v>#REF!</v>
      </c>
      <c r="N134" t="e">
        <f>COUNTIFS(#REF!, "=1")</f>
        <v>#REF!</v>
      </c>
      <c r="O134" t="e">
        <f>COUNTIFS(#REF!, "=2")</f>
        <v>#REF!</v>
      </c>
      <c r="P134" t="e">
        <f>#REF!</f>
        <v>#REF!</v>
      </c>
    </row>
    <row r="135" spans="1:16" x14ac:dyDescent="0.25">
      <c r="A135" t="e">
        <f>AND(#REF!=2, COUNTIF(Tables!L$1:L$4,#REF!))</f>
        <v>#REF!</v>
      </c>
      <c r="B135" t="e">
        <f>AND(#REF!=1, COUNTIF(Tables!L$1:L$4,#REF!))</f>
        <v>#REF!</v>
      </c>
      <c r="C135" t="e">
        <f>AND(A135,#REF!= 0)</f>
        <v>#REF!</v>
      </c>
      <c r="D135" t="e">
        <f>AND(B135,#REF!= 0)</f>
        <v>#REF!</v>
      </c>
      <c r="E135" t="e">
        <f>isNetPoint(#REF!)</f>
        <v>#VALUE!</v>
      </c>
      <c r="F135" t="e">
        <f>OR(#REF!=1,#REF!= 1)</f>
        <v>#REF!</v>
      </c>
      <c r="G135" t="e">
        <f>IF(#REF!=1,OR(E135="1",E135="3",F135=TRUE),OR(E135="2",E135="3"))</f>
        <v>#REF!</v>
      </c>
      <c r="H135" t="e">
        <f>IF(#REF!=2,OR(E135="1",E135="3",F135=TRUE),OR(E135="2",E135="3"))</f>
        <v>#REF!</v>
      </c>
      <c r="I135" t="e">
        <f>AND(G135=TRUE,#REF!=1)</f>
        <v>#REF!</v>
      </c>
      <c r="J135" t="e">
        <f>AND(H135=TRUE,#REF!=2)</f>
        <v>#REF!</v>
      </c>
      <c r="K135" t="e">
        <f>IF(#REF!=1,K134+1,0)</f>
        <v>#REF!</v>
      </c>
      <c r="L135" t="e">
        <f>IF(#REF!=2,L134+1,0)</f>
        <v>#REF!</v>
      </c>
      <c r="M135" t="e">
        <f>#REF!</f>
        <v>#REF!</v>
      </c>
      <c r="N135" t="e">
        <f>COUNTIFS(#REF!, "=1")</f>
        <v>#REF!</v>
      </c>
      <c r="O135" t="e">
        <f>COUNTIFS(#REF!, "=2")</f>
        <v>#REF!</v>
      </c>
      <c r="P135" t="e">
        <f>#REF!</f>
        <v>#REF!</v>
      </c>
    </row>
    <row r="136" spans="1:16" x14ac:dyDescent="0.25">
      <c r="A136" t="e">
        <f>AND(#REF!=2, COUNTIF(Tables!L$1:L$4,#REF!))</f>
        <v>#REF!</v>
      </c>
      <c r="B136" t="e">
        <f>AND(#REF!=1, COUNTIF(Tables!L$1:L$4,#REF!))</f>
        <v>#REF!</v>
      </c>
      <c r="C136" t="e">
        <f>AND(A136,#REF!= 0)</f>
        <v>#REF!</v>
      </c>
      <c r="D136" t="e">
        <f>AND(B136,#REF!= 0)</f>
        <v>#REF!</v>
      </c>
      <c r="E136" t="e">
        <f>isNetPoint(#REF!)</f>
        <v>#VALUE!</v>
      </c>
      <c r="F136" t="e">
        <f>OR(#REF!=1,#REF!= 1)</f>
        <v>#REF!</v>
      </c>
      <c r="G136" t="e">
        <f>IF(#REF!=1,OR(E136="1",E136="3",F136=TRUE),OR(E136="2",E136="3"))</f>
        <v>#REF!</v>
      </c>
      <c r="H136" t="e">
        <f>IF(#REF!=2,OR(E136="1",E136="3",F136=TRUE),OR(E136="2",E136="3"))</f>
        <v>#REF!</v>
      </c>
      <c r="I136" t="e">
        <f>AND(G136=TRUE,#REF!=1)</f>
        <v>#REF!</v>
      </c>
      <c r="J136" t="e">
        <f>AND(H136=TRUE,#REF!=2)</f>
        <v>#REF!</v>
      </c>
      <c r="K136" t="e">
        <f>IF(#REF!=1,K135+1,0)</f>
        <v>#REF!</v>
      </c>
      <c r="L136" t="e">
        <f>IF(#REF!=2,L135+1,0)</f>
        <v>#REF!</v>
      </c>
      <c r="M136" t="e">
        <f>#REF!</f>
        <v>#REF!</v>
      </c>
      <c r="N136" t="e">
        <f>COUNTIFS(#REF!, "=1")</f>
        <v>#REF!</v>
      </c>
      <c r="O136" t="e">
        <f>COUNTIFS(#REF!, "=2")</f>
        <v>#REF!</v>
      </c>
      <c r="P136" t="e">
        <f>#REF!</f>
        <v>#REF!</v>
      </c>
    </row>
    <row r="137" spans="1:16" x14ac:dyDescent="0.25">
      <c r="A137" t="e">
        <f>AND(#REF!=2, COUNTIF(Tables!L$1:L$4,#REF!))</f>
        <v>#REF!</v>
      </c>
      <c r="B137" t="e">
        <f>AND(#REF!=1, COUNTIF(Tables!L$1:L$4,#REF!))</f>
        <v>#REF!</v>
      </c>
      <c r="C137" t="e">
        <f>AND(A137,#REF!= 0)</f>
        <v>#REF!</v>
      </c>
      <c r="D137" t="e">
        <f>AND(B137,#REF!= 0)</f>
        <v>#REF!</v>
      </c>
      <c r="E137" t="e">
        <f>isNetPoint(#REF!)</f>
        <v>#VALUE!</v>
      </c>
      <c r="F137" t="e">
        <f>OR(#REF!=1,#REF!= 1)</f>
        <v>#REF!</v>
      </c>
      <c r="G137" t="e">
        <f>IF(#REF!=1,OR(E137="1",E137="3",F137=TRUE),OR(E137="2",E137="3"))</f>
        <v>#REF!</v>
      </c>
      <c r="H137" t="e">
        <f>IF(#REF!=2,OR(E137="1",E137="3",F137=TRUE),OR(E137="2",E137="3"))</f>
        <v>#REF!</v>
      </c>
      <c r="I137" t="e">
        <f>AND(G137=TRUE,#REF!=1)</f>
        <v>#REF!</v>
      </c>
      <c r="J137" t="e">
        <f>AND(H137=TRUE,#REF!=2)</f>
        <v>#REF!</v>
      </c>
      <c r="K137" t="e">
        <f>IF(#REF!=1,K136+1,0)</f>
        <v>#REF!</v>
      </c>
      <c r="L137" t="e">
        <f>IF(#REF!=2,L136+1,0)</f>
        <v>#REF!</v>
      </c>
      <c r="M137" t="e">
        <f>#REF!</f>
        <v>#REF!</v>
      </c>
      <c r="N137" t="e">
        <f>COUNTIFS(#REF!, "=1")</f>
        <v>#REF!</v>
      </c>
      <c r="O137" t="e">
        <f>COUNTIFS(#REF!, "=2")</f>
        <v>#REF!</v>
      </c>
      <c r="P137" t="e">
        <f>#REF!</f>
        <v>#REF!</v>
      </c>
    </row>
    <row r="138" spans="1:16" x14ac:dyDescent="0.25">
      <c r="A138" t="e">
        <f>AND(#REF!=2, COUNTIF(Tables!L$1:L$4,#REF!))</f>
        <v>#REF!</v>
      </c>
      <c r="B138" t="e">
        <f>AND(#REF!=1, COUNTIF(Tables!L$1:L$4,#REF!))</f>
        <v>#REF!</v>
      </c>
      <c r="C138" t="e">
        <f>AND(A138,#REF!= 0)</f>
        <v>#REF!</v>
      </c>
      <c r="D138" t="e">
        <f>AND(B138,#REF!= 0)</f>
        <v>#REF!</v>
      </c>
      <c r="E138" t="e">
        <f>isNetPoint(#REF!)</f>
        <v>#VALUE!</v>
      </c>
      <c r="F138" t="e">
        <f>OR(#REF!=1,#REF!= 1)</f>
        <v>#REF!</v>
      </c>
      <c r="G138" t="e">
        <f>IF(#REF!=1,OR(E138="1",E138="3",F138=TRUE),OR(E138="2",E138="3"))</f>
        <v>#REF!</v>
      </c>
      <c r="H138" t="e">
        <f>IF(#REF!=2,OR(E138="1",E138="3",F138=TRUE),OR(E138="2",E138="3"))</f>
        <v>#REF!</v>
      </c>
      <c r="I138" t="e">
        <f>AND(G138=TRUE,#REF!=1)</f>
        <v>#REF!</v>
      </c>
      <c r="J138" t="e">
        <f>AND(H138=TRUE,#REF!=2)</f>
        <v>#REF!</v>
      </c>
      <c r="K138" t="e">
        <f>IF(#REF!=1,K137+1,0)</f>
        <v>#REF!</v>
      </c>
      <c r="L138" t="e">
        <f>IF(#REF!=2,L137+1,0)</f>
        <v>#REF!</v>
      </c>
      <c r="M138" t="e">
        <f>#REF!</f>
        <v>#REF!</v>
      </c>
      <c r="N138" t="e">
        <f>COUNTIFS(#REF!, "=1")</f>
        <v>#REF!</v>
      </c>
      <c r="O138" t="e">
        <f>COUNTIFS(#REF!, "=2")</f>
        <v>#REF!</v>
      </c>
      <c r="P138" t="e">
        <f>#REF!</f>
        <v>#REF!</v>
      </c>
    </row>
    <row r="139" spans="1:16" x14ac:dyDescent="0.25">
      <c r="A139" t="e">
        <f>AND(#REF!=2, COUNTIF(Tables!L$1:L$4,#REF!))</f>
        <v>#REF!</v>
      </c>
      <c r="B139" t="e">
        <f>AND(#REF!=1, COUNTIF(Tables!L$1:L$4,#REF!))</f>
        <v>#REF!</v>
      </c>
      <c r="C139" t="e">
        <f>AND(A139,#REF!= 0)</f>
        <v>#REF!</v>
      </c>
      <c r="D139" t="e">
        <f>AND(B139,#REF!= 0)</f>
        <v>#REF!</v>
      </c>
      <c r="E139" t="e">
        <f>isNetPoint(#REF!)</f>
        <v>#VALUE!</v>
      </c>
      <c r="F139" t="e">
        <f>OR(#REF!=1,#REF!= 1)</f>
        <v>#REF!</v>
      </c>
      <c r="G139" t="e">
        <f>IF(#REF!=1,OR(E139="1",E139="3",F139=TRUE),OR(E139="2",E139="3"))</f>
        <v>#REF!</v>
      </c>
      <c r="H139" t="e">
        <f>IF(#REF!=2,OR(E139="1",E139="3",F139=TRUE),OR(E139="2",E139="3"))</f>
        <v>#REF!</v>
      </c>
      <c r="I139" t="e">
        <f>AND(G139=TRUE,#REF!=1)</f>
        <v>#REF!</v>
      </c>
      <c r="J139" t="e">
        <f>AND(H139=TRUE,#REF!=2)</f>
        <v>#REF!</v>
      </c>
      <c r="K139" t="e">
        <f>IF(#REF!=1,K138+1,0)</f>
        <v>#REF!</v>
      </c>
      <c r="L139" t="e">
        <f>IF(#REF!=2,L138+1,0)</f>
        <v>#REF!</v>
      </c>
      <c r="M139" t="e">
        <f>#REF!</f>
        <v>#REF!</v>
      </c>
      <c r="N139" t="e">
        <f>COUNTIFS(#REF!, "=1")</f>
        <v>#REF!</v>
      </c>
      <c r="O139" t="e">
        <f>COUNTIFS(#REF!, "=2")</f>
        <v>#REF!</v>
      </c>
      <c r="P139" t="e">
        <f>#REF!</f>
        <v>#REF!</v>
      </c>
    </row>
    <row r="140" spans="1:16" x14ac:dyDescent="0.25">
      <c r="A140" t="e">
        <f>AND(#REF!=2, COUNTIF(Tables!L$1:L$4,#REF!))</f>
        <v>#REF!</v>
      </c>
      <c r="B140" t="e">
        <f>AND(#REF!=1, COUNTIF(Tables!L$1:L$4,#REF!))</f>
        <v>#REF!</v>
      </c>
      <c r="C140" t="e">
        <f>AND(A140,#REF!= 0)</f>
        <v>#REF!</v>
      </c>
      <c r="D140" t="e">
        <f>AND(B140,#REF!= 0)</f>
        <v>#REF!</v>
      </c>
      <c r="E140" t="e">
        <f>isNetPoint(#REF!)</f>
        <v>#VALUE!</v>
      </c>
      <c r="F140" t="e">
        <f>OR(#REF!=1,#REF!= 1)</f>
        <v>#REF!</v>
      </c>
      <c r="G140" t="e">
        <f>IF(#REF!=1,OR(E140="1",E140="3",F140=TRUE),OR(E140="2",E140="3"))</f>
        <v>#REF!</v>
      </c>
      <c r="H140" t="e">
        <f>IF(#REF!=2,OR(E140="1",E140="3",F140=TRUE),OR(E140="2",E140="3"))</f>
        <v>#REF!</v>
      </c>
      <c r="I140" t="e">
        <f>AND(G140=TRUE,#REF!=1)</f>
        <v>#REF!</v>
      </c>
      <c r="J140" t="e">
        <f>AND(H140=TRUE,#REF!=2)</f>
        <v>#REF!</v>
      </c>
      <c r="K140" t="e">
        <f>IF(#REF!=1,K139+1,0)</f>
        <v>#REF!</v>
      </c>
      <c r="L140" t="e">
        <f>IF(#REF!=2,L139+1,0)</f>
        <v>#REF!</v>
      </c>
      <c r="M140" t="e">
        <f>#REF!</f>
        <v>#REF!</v>
      </c>
      <c r="N140" t="e">
        <f>COUNTIFS(#REF!, "=1")</f>
        <v>#REF!</v>
      </c>
      <c r="O140" t="e">
        <f>COUNTIFS(#REF!, "=2")</f>
        <v>#REF!</v>
      </c>
      <c r="P140" t="e">
        <f>#REF!</f>
        <v>#REF!</v>
      </c>
    </row>
    <row r="141" spans="1:16" x14ac:dyDescent="0.25">
      <c r="A141" t="e">
        <f>AND(#REF!=2, COUNTIF(Tables!L$1:L$4,#REF!))</f>
        <v>#REF!</v>
      </c>
      <c r="B141" t="e">
        <f>AND(#REF!=1, COUNTIF(Tables!L$1:L$4,#REF!))</f>
        <v>#REF!</v>
      </c>
      <c r="C141" t="e">
        <f>AND(A141,#REF!= 0)</f>
        <v>#REF!</v>
      </c>
      <c r="D141" t="e">
        <f>AND(B141,#REF!= 0)</f>
        <v>#REF!</v>
      </c>
      <c r="E141" t="e">
        <f>isNetPoint(#REF!)</f>
        <v>#VALUE!</v>
      </c>
      <c r="F141" t="e">
        <f>OR(#REF!=1,#REF!= 1)</f>
        <v>#REF!</v>
      </c>
      <c r="G141" t="e">
        <f>IF(#REF!=1,OR(E141="1",E141="3",F141=TRUE),OR(E141="2",E141="3"))</f>
        <v>#REF!</v>
      </c>
      <c r="H141" t="e">
        <f>IF(#REF!=2,OR(E141="1",E141="3",F141=TRUE),OR(E141="2",E141="3"))</f>
        <v>#REF!</v>
      </c>
      <c r="I141" t="e">
        <f>AND(G141=TRUE,#REF!=1)</f>
        <v>#REF!</v>
      </c>
      <c r="J141" t="e">
        <f>AND(H141=TRUE,#REF!=2)</f>
        <v>#REF!</v>
      </c>
      <c r="K141" t="e">
        <f>IF(#REF!=1,K140+1,0)</f>
        <v>#REF!</v>
      </c>
      <c r="L141" t="e">
        <f>IF(#REF!=2,L140+1,0)</f>
        <v>#REF!</v>
      </c>
      <c r="M141" t="e">
        <f>#REF!</f>
        <v>#REF!</v>
      </c>
      <c r="N141" t="e">
        <f>COUNTIFS(#REF!, "=1")</f>
        <v>#REF!</v>
      </c>
      <c r="O141" t="e">
        <f>COUNTIFS(#REF!, "=2")</f>
        <v>#REF!</v>
      </c>
      <c r="P141" t="e">
        <f>#REF!</f>
        <v>#REF!</v>
      </c>
    </row>
    <row r="142" spans="1:16" x14ac:dyDescent="0.25">
      <c r="A142" t="e">
        <f>AND(#REF!=2, COUNTIF(Tables!L$1:L$4,#REF!))</f>
        <v>#REF!</v>
      </c>
      <c r="B142" t="e">
        <f>AND(#REF!=1, COUNTIF(Tables!L$1:L$4,#REF!))</f>
        <v>#REF!</v>
      </c>
      <c r="C142" t="e">
        <f>AND(A142,#REF!= 0)</f>
        <v>#REF!</v>
      </c>
      <c r="D142" t="e">
        <f>AND(B142,#REF!= 0)</f>
        <v>#REF!</v>
      </c>
      <c r="E142" t="e">
        <f>isNetPoint(#REF!)</f>
        <v>#VALUE!</v>
      </c>
      <c r="F142" t="e">
        <f>OR(#REF!=1,#REF!= 1)</f>
        <v>#REF!</v>
      </c>
      <c r="G142" t="e">
        <f>IF(#REF!=1,OR(E142="1",E142="3",F142=TRUE),OR(E142="2",E142="3"))</f>
        <v>#REF!</v>
      </c>
      <c r="H142" t="e">
        <f>IF(#REF!=2,OR(E142="1",E142="3",F142=TRUE),OR(E142="2",E142="3"))</f>
        <v>#REF!</v>
      </c>
      <c r="I142" t="e">
        <f>AND(G142=TRUE,#REF!=1)</f>
        <v>#REF!</v>
      </c>
      <c r="J142" t="e">
        <f>AND(H142=TRUE,#REF!=2)</f>
        <v>#REF!</v>
      </c>
      <c r="K142" t="e">
        <f>IF(#REF!=1,K141+1,0)</f>
        <v>#REF!</v>
      </c>
      <c r="L142" t="e">
        <f>IF(#REF!=2,L141+1,0)</f>
        <v>#REF!</v>
      </c>
      <c r="M142" t="e">
        <f>#REF!</f>
        <v>#REF!</v>
      </c>
      <c r="N142" t="e">
        <f>COUNTIFS(#REF!, "=1")</f>
        <v>#REF!</v>
      </c>
      <c r="O142" t="e">
        <f>COUNTIFS(#REF!, "=2")</f>
        <v>#REF!</v>
      </c>
      <c r="P142" t="e">
        <f>#REF!</f>
        <v>#REF!</v>
      </c>
    </row>
    <row r="143" spans="1:16" x14ac:dyDescent="0.25">
      <c r="A143" t="e">
        <f>AND(#REF!=2, COUNTIF(Tables!L$1:L$4,#REF!))</f>
        <v>#REF!</v>
      </c>
      <c r="B143" t="e">
        <f>AND(#REF!=1, COUNTIF(Tables!L$1:L$4,#REF!))</f>
        <v>#REF!</v>
      </c>
      <c r="C143" t="e">
        <f>AND(A143,#REF!= 0)</f>
        <v>#REF!</v>
      </c>
      <c r="D143" t="e">
        <f>AND(B143,#REF!= 0)</f>
        <v>#REF!</v>
      </c>
      <c r="E143" t="e">
        <f>isNetPoint(#REF!)</f>
        <v>#VALUE!</v>
      </c>
      <c r="F143" t="e">
        <f>OR(#REF!=1,#REF!= 1)</f>
        <v>#REF!</v>
      </c>
      <c r="G143" t="e">
        <f>IF(#REF!=1,OR(E143="1",E143="3",F143=TRUE),OR(E143="2",E143="3"))</f>
        <v>#REF!</v>
      </c>
      <c r="H143" t="e">
        <f>IF(#REF!=2,OR(E143="1",E143="3",F143=TRUE),OR(E143="2",E143="3"))</f>
        <v>#REF!</v>
      </c>
      <c r="I143" t="e">
        <f>AND(G143=TRUE,#REF!=1)</f>
        <v>#REF!</v>
      </c>
      <c r="J143" t="e">
        <f>AND(H143=TRUE,#REF!=2)</f>
        <v>#REF!</v>
      </c>
      <c r="K143" t="e">
        <f>IF(#REF!=1,K142+1,0)</f>
        <v>#REF!</v>
      </c>
      <c r="L143" t="e">
        <f>IF(#REF!=2,L142+1,0)</f>
        <v>#REF!</v>
      </c>
      <c r="M143" t="e">
        <f>#REF!</f>
        <v>#REF!</v>
      </c>
      <c r="N143" t="e">
        <f>COUNTIFS(#REF!, "=1")</f>
        <v>#REF!</v>
      </c>
      <c r="O143" t="e">
        <f>COUNTIFS(#REF!, "=2")</f>
        <v>#REF!</v>
      </c>
      <c r="P143" t="e">
        <f>#REF!</f>
        <v>#REF!</v>
      </c>
    </row>
    <row r="144" spans="1:16" x14ac:dyDescent="0.25">
      <c r="A144" t="e">
        <f>AND(#REF!=2, COUNTIF(Tables!L$1:L$4,#REF!))</f>
        <v>#REF!</v>
      </c>
      <c r="B144" t="e">
        <f>AND(#REF!=1, COUNTIF(Tables!L$1:L$4,#REF!))</f>
        <v>#REF!</v>
      </c>
      <c r="C144" t="e">
        <f>AND(A144,#REF!= 0)</f>
        <v>#REF!</v>
      </c>
      <c r="D144" t="e">
        <f>AND(B144,#REF!= 0)</f>
        <v>#REF!</v>
      </c>
      <c r="E144" t="e">
        <f>isNetPoint(#REF!)</f>
        <v>#VALUE!</v>
      </c>
      <c r="F144" t="e">
        <f>OR(#REF!=1,#REF!= 1)</f>
        <v>#REF!</v>
      </c>
      <c r="G144" t="e">
        <f>IF(#REF!=1,OR(E144="1",E144="3",F144=TRUE),OR(E144="2",E144="3"))</f>
        <v>#REF!</v>
      </c>
      <c r="H144" t="e">
        <f>IF(#REF!=2,OR(E144="1",E144="3",F144=TRUE),OR(E144="2",E144="3"))</f>
        <v>#REF!</v>
      </c>
      <c r="I144" t="e">
        <f>AND(G144=TRUE,#REF!=1)</f>
        <v>#REF!</v>
      </c>
      <c r="J144" t="e">
        <f>AND(H144=TRUE,#REF!=2)</f>
        <v>#REF!</v>
      </c>
      <c r="K144" t="e">
        <f>IF(#REF!=1,K143+1,0)</f>
        <v>#REF!</v>
      </c>
      <c r="L144" t="e">
        <f>IF(#REF!=2,L143+1,0)</f>
        <v>#REF!</v>
      </c>
      <c r="M144" t="e">
        <f>#REF!</f>
        <v>#REF!</v>
      </c>
      <c r="N144" t="e">
        <f>COUNTIFS(#REF!, "=1")</f>
        <v>#REF!</v>
      </c>
      <c r="O144" t="e">
        <f>COUNTIFS(#REF!, "=2")</f>
        <v>#REF!</v>
      </c>
      <c r="P144" t="e">
        <f>#REF!</f>
        <v>#REF!</v>
      </c>
    </row>
    <row r="145" spans="1:16" x14ac:dyDescent="0.25">
      <c r="A145" t="e">
        <f>AND(#REF!=2, COUNTIF(Tables!L$1:L$4,#REF!))</f>
        <v>#REF!</v>
      </c>
      <c r="B145" t="e">
        <f>AND(#REF!=1, COUNTIF(Tables!L$1:L$4,#REF!))</f>
        <v>#REF!</v>
      </c>
      <c r="C145" t="e">
        <f>AND(A145,#REF!= 0)</f>
        <v>#REF!</v>
      </c>
      <c r="D145" t="e">
        <f>AND(B145,#REF!= 0)</f>
        <v>#REF!</v>
      </c>
      <c r="E145" t="e">
        <f>isNetPoint(#REF!)</f>
        <v>#VALUE!</v>
      </c>
      <c r="F145" t="e">
        <f>OR(#REF!=1,#REF!= 1)</f>
        <v>#REF!</v>
      </c>
      <c r="G145" t="e">
        <f>IF(#REF!=1,OR(E145="1",E145="3",F145=TRUE),OR(E145="2",E145="3"))</f>
        <v>#REF!</v>
      </c>
      <c r="H145" t="e">
        <f>IF(#REF!=2,OR(E145="1",E145="3",F145=TRUE),OR(E145="2",E145="3"))</f>
        <v>#REF!</v>
      </c>
      <c r="I145" t="e">
        <f>AND(G145=TRUE,#REF!=1)</f>
        <v>#REF!</v>
      </c>
      <c r="J145" t="e">
        <f>AND(H145=TRUE,#REF!=2)</f>
        <v>#REF!</v>
      </c>
      <c r="K145" t="e">
        <f>IF(#REF!=1,K144+1,0)</f>
        <v>#REF!</v>
      </c>
      <c r="L145" t="e">
        <f>IF(#REF!=2,L144+1,0)</f>
        <v>#REF!</v>
      </c>
      <c r="M145" t="e">
        <f>#REF!</f>
        <v>#REF!</v>
      </c>
      <c r="N145" t="e">
        <f>COUNTIFS(#REF!, "=1")</f>
        <v>#REF!</v>
      </c>
      <c r="O145" t="e">
        <f>COUNTIFS(#REF!, "=2")</f>
        <v>#REF!</v>
      </c>
      <c r="P145" t="e">
        <f>#REF!</f>
        <v>#REF!</v>
      </c>
    </row>
    <row r="146" spans="1:16" x14ac:dyDescent="0.25">
      <c r="A146" t="e">
        <f>AND(#REF!=2, COUNTIF(Tables!L$1:L$4,#REF!))</f>
        <v>#REF!</v>
      </c>
      <c r="B146" t="e">
        <f>AND(#REF!=1, COUNTIF(Tables!L$1:L$4,#REF!))</f>
        <v>#REF!</v>
      </c>
      <c r="C146" t="e">
        <f>AND(A146,#REF!= 0)</f>
        <v>#REF!</v>
      </c>
      <c r="D146" t="e">
        <f>AND(B146,#REF!= 0)</f>
        <v>#REF!</v>
      </c>
      <c r="E146" t="e">
        <f>isNetPoint(#REF!)</f>
        <v>#VALUE!</v>
      </c>
      <c r="F146" t="e">
        <f>OR(#REF!=1,#REF!= 1)</f>
        <v>#REF!</v>
      </c>
      <c r="G146" t="e">
        <f>IF(#REF!=1,OR(E146="1",E146="3",F146=TRUE),OR(E146="2",E146="3"))</f>
        <v>#REF!</v>
      </c>
      <c r="H146" t="e">
        <f>IF(#REF!=2,OR(E146="1",E146="3",F146=TRUE),OR(E146="2",E146="3"))</f>
        <v>#REF!</v>
      </c>
      <c r="I146" t="e">
        <f>AND(G146=TRUE,#REF!=1)</f>
        <v>#REF!</v>
      </c>
      <c r="J146" t="e">
        <f>AND(H146=TRUE,#REF!=2)</f>
        <v>#REF!</v>
      </c>
      <c r="K146" t="e">
        <f>IF(#REF!=1,K145+1,0)</f>
        <v>#REF!</v>
      </c>
      <c r="L146" t="e">
        <f>IF(#REF!=2,L145+1,0)</f>
        <v>#REF!</v>
      </c>
      <c r="M146" t="e">
        <f>#REF!</f>
        <v>#REF!</v>
      </c>
      <c r="N146" t="e">
        <f>COUNTIFS(#REF!, "=1")</f>
        <v>#REF!</v>
      </c>
      <c r="O146" t="e">
        <f>COUNTIFS(#REF!, "=2")</f>
        <v>#REF!</v>
      </c>
      <c r="P146" t="e">
        <f>#REF!</f>
        <v>#REF!</v>
      </c>
    </row>
    <row r="147" spans="1:16" x14ac:dyDescent="0.25">
      <c r="A147" t="e">
        <f>AND(#REF!=2, COUNTIF(Tables!L$1:L$4,#REF!))</f>
        <v>#REF!</v>
      </c>
      <c r="B147" t="e">
        <f>AND(#REF!=1, COUNTIF(Tables!L$1:L$4,#REF!))</f>
        <v>#REF!</v>
      </c>
      <c r="C147" t="e">
        <f>AND(A147,#REF!= 0)</f>
        <v>#REF!</v>
      </c>
      <c r="D147" t="e">
        <f>AND(B147,#REF!= 0)</f>
        <v>#REF!</v>
      </c>
      <c r="E147" t="e">
        <f>isNetPoint(#REF!)</f>
        <v>#VALUE!</v>
      </c>
      <c r="F147" t="e">
        <f>OR(#REF!=1,#REF!= 1)</f>
        <v>#REF!</v>
      </c>
      <c r="G147" t="e">
        <f>IF(#REF!=1,OR(E147="1",E147="3",F147=TRUE),OR(E147="2",E147="3"))</f>
        <v>#REF!</v>
      </c>
      <c r="H147" t="e">
        <f>IF(#REF!=2,OR(E147="1",E147="3",F147=TRUE),OR(E147="2",E147="3"))</f>
        <v>#REF!</v>
      </c>
      <c r="I147" t="e">
        <f>AND(G147=TRUE,#REF!=1)</f>
        <v>#REF!</v>
      </c>
      <c r="J147" t="e">
        <f>AND(H147=TRUE,#REF!=2)</f>
        <v>#REF!</v>
      </c>
      <c r="K147" t="e">
        <f>IF(#REF!=1,K146+1,0)</f>
        <v>#REF!</v>
      </c>
      <c r="L147" t="e">
        <f>IF(#REF!=2,L146+1,0)</f>
        <v>#REF!</v>
      </c>
      <c r="M147" t="e">
        <f>#REF!</f>
        <v>#REF!</v>
      </c>
      <c r="N147" t="e">
        <f>COUNTIFS(#REF!, "=1")</f>
        <v>#REF!</v>
      </c>
      <c r="O147" t="e">
        <f>COUNTIFS(#REF!, "=2")</f>
        <v>#REF!</v>
      </c>
      <c r="P147" t="e">
        <f>#REF!</f>
        <v>#REF!</v>
      </c>
    </row>
    <row r="148" spans="1:16" x14ac:dyDescent="0.25">
      <c r="A148" t="e">
        <f>AND(#REF!=2, COUNTIF(Tables!L$1:L$4,#REF!))</f>
        <v>#REF!</v>
      </c>
      <c r="B148" t="e">
        <f>AND(#REF!=1, COUNTIF(Tables!L$1:L$4,#REF!))</f>
        <v>#REF!</v>
      </c>
      <c r="C148" t="e">
        <f>AND(A148,#REF!= 0)</f>
        <v>#REF!</v>
      </c>
      <c r="D148" t="e">
        <f>AND(B148,#REF!= 0)</f>
        <v>#REF!</v>
      </c>
      <c r="E148" t="e">
        <f>isNetPoint(#REF!)</f>
        <v>#VALUE!</v>
      </c>
      <c r="F148" t="e">
        <f>OR(#REF!=1,#REF!= 1)</f>
        <v>#REF!</v>
      </c>
      <c r="G148" t="e">
        <f>IF(#REF!=1,OR(E148="1",E148="3",F148=TRUE),OR(E148="2",E148="3"))</f>
        <v>#REF!</v>
      </c>
      <c r="H148" t="e">
        <f>IF(#REF!=2,OR(E148="1",E148="3",F148=TRUE),OR(E148="2",E148="3"))</f>
        <v>#REF!</v>
      </c>
      <c r="I148" t="e">
        <f>AND(G148=TRUE,#REF!=1)</f>
        <v>#REF!</v>
      </c>
      <c r="J148" t="e">
        <f>AND(H148=TRUE,#REF!=2)</f>
        <v>#REF!</v>
      </c>
      <c r="K148" t="e">
        <f>IF(#REF!=1,K147+1,0)</f>
        <v>#REF!</v>
      </c>
      <c r="L148" t="e">
        <f>IF(#REF!=2,L147+1,0)</f>
        <v>#REF!</v>
      </c>
      <c r="M148" t="e">
        <f>#REF!</f>
        <v>#REF!</v>
      </c>
      <c r="N148" t="e">
        <f>COUNTIFS(#REF!, "=1")</f>
        <v>#REF!</v>
      </c>
      <c r="O148" t="e">
        <f>COUNTIFS(#REF!, "=2")</f>
        <v>#REF!</v>
      </c>
      <c r="P148" t="e">
        <f>#REF!</f>
        <v>#REF!</v>
      </c>
    </row>
    <row r="149" spans="1:16" x14ac:dyDescent="0.25">
      <c r="A149" t="e">
        <f>AND(#REF!=2, COUNTIF(Tables!L$1:L$4,#REF!))</f>
        <v>#REF!</v>
      </c>
      <c r="B149" t="e">
        <f>AND(#REF!=1, COUNTIF(Tables!L$1:L$4,#REF!))</f>
        <v>#REF!</v>
      </c>
      <c r="C149" t="e">
        <f>AND(A149,#REF!= 0)</f>
        <v>#REF!</v>
      </c>
      <c r="D149" t="e">
        <f>AND(B149,#REF!= 0)</f>
        <v>#REF!</v>
      </c>
      <c r="E149" t="e">
        <f>isNetPoint(#REF!)</f>
        <v>#VALUE!</v>
      </c>
      <c r="F149" t="e">
        <f>OR(#REF!=1,#REF!= 1)</f>
        <v>#REF!</v>
      </c>
      <c r="G149" t="e">
        <f>IF(#REF!=1,OR(E149="1",E149="3",F149=TRUE),OR(E149="2",E149="3"))</f>
        <v>#REF!</v>
      </c>
      <c r="H149" t="e">
        <f>IF(#REF!=2,OR(E149="1",E149="3",F149=TRUE),OR(E149="2",E149="3"))</f>
        <v>#REF!</v>
      </c>
      <c r="I149" t="e">
        <f>AND(G149=TRUE,#REF!=1)</f>
        <v>#REF!</v>
      </c>
      <c r="J149" t="e">
        <f>AND(H149=TRUE,#REF!=2)</f>
        <v>#REF!</v>
      </c>
      <c r="K149" t="e">
        <f>IF(#REF!=1,K148+1,0)</f>
        <v>#REF!</v>
      </c>
      <c r="L149" t="e">
        <f>IF(#REF!=2,L148+1,0)</f>
        <v>#REF!</v>
      </c>
      <c r="M149" t="e">
        <f>#REF!</f>
        <v>#REF!</v>
      </c>
      <c r="N149" t="e">
        <f>COUNTIFS(#REF!, "=1")</f>
        <v>#REF!</v>
      </c>
      <c r="O149" t="e">
        <f>COUNTIFS(#REF!, "=2")</f>
        <v>#REF!</v>
      </c>
      <c r="P149" t="e">
        <f>#REF!</f>
        <v>#REF!</v>
      </c>
    </row>
    <row r="150" spans="1:16" x14ac:dyDescent="0.25">
      <c r="A150" t="e">
        <f>AND(#REF!=2, COUNTIF(Tables!L$1:L$4,#REF!))</f>
        <v>#REF!</v>
      </c>
      <c r="B150" t="e">
        <f>AND(#REF!=1, COUNTIF(Tables!L$1:L$4,#REF!))</f>
        <v>#REF!</v>
      </c>
      <c r="C150" t="e">
        <f>AND(A150,#REF!= 0)</f>
        <v>#REF!</v>
      </c>
      <c r="D150" t="e">
        <f>AND(B150,#REF!= 0)</f>
        <v>#REF!</v>
      </c>
      <c r="E150" t="e">
        <f>isNetPoint(#REF!)</f>
        <v>#VALUE!</v>
      </c>
      <c r="F150" t="e">
        <f>OR(#REF!=1,#REF!= 1)</f>
        <v>#REF!</v>
      </c>
      <c r="G150" t="e">
        <f>IF(#REF!=1,OR(E150="1",E150="3",F150=TRUE),OR(E150="2",E150="3"))</f>
        <v>#REF!</v>
      </c>
      <c r="H150" t="e">
        <f>IF(#REF!=2,OR(E150="1",E150="3",F150=TRUE),OR(E150="2",E150="3"))</f>
        <v>#REF!</v>
      </c>
      <c r="I150" t="e">
        <f>AND(G150=TRUE,#REF!=1)</f>
        <v>#REF!</v>
      </c>
      <c r="J150" t="e">
        <f>AND(H150=TRUE,#REF!=2)</f>
        <v>#REF!</v>
      </c>
      <c r="K150" t="e">
        <f>IF(#REF!=1,K149+1,0)</f>
        <v>#REF!</v>
      </c>
      <c r="L150" t="e">
        <f>IF(#REF!=2,L149+1,0)</f>
        <v>#REF!</v>
      </c>
      <c r="M150" t="e">
        <f>#REF!</f>
        <v>#REF!</v>
      </c>
      <c r="N150" t="e">
        <f>COUNTIFS(#REF!, "=1")</f>
        <v>#REF!</v>
      </c>
      <c r="O150" t="e">
        <f>COUNTIFS(#REF!, "=2")</f>
        <v>#REF!</v>
      </c>
      <c r="P150" t="e">
        <f>#REF!</f>
        <v>#REF!</v>
      </c>
    </row>
    <row r="151" spans="1:16" x14ac:dyDescent="0.25">
      <c r="A151" t="e">
        <f>AND(#REF!=2, COUNTIF(Tables!L$1:L$4,#REF!))</f>
        <v>#REF!</v>
      </c>
      <c r="B151" t="e">
        <f>AND(#REF!=1, COUNTIF(Tables!L$1:L$4,#REF!))</f>
        <v>#REF!</v>
      </c>
      <c r="C151" t="e">
        <f>AND(A151,#REF!= 0)</f>
        <v>#REF!</v>
      </c>
      <c r="D151" t="e">
        <f>AND(B151,#REF!= 0)</f>
        <v>#REF!</v>
      </c>
      <c r="E151" t="e">
        <f>isNetPoint(#REF!)</f>
        <v>#VALUE!</v>
      </c>
      <c r="F151" t="e">
        <f>OR(#REF!=1,#REF!= 1)</f>
        <v>#REF!</v>
      </c>
      <c r="G151" t="e">
        <f>IF(#REF!=1,OR(E151="1",E151="3",F151=TRUE),OR(E151="2",E151="3"))</f>
        <v>#REF!</v>
      </c>
      <c r="H151" t="e">
        <f>IF(#REF!=2,OR(E151="1",E151="3",F151=TRUE),OR(E151="2",E151="3"))</f>
        <v>#REF!</v>
      </c>
      <c r="I151" t="e">
        <f>AND(G151=TRUE,#REF!=1)</f>
        <v>#REF!</v>
      </c>
      <c r="J151" t="e">
        <f>AND(H151=TRUE,#REF!=2)</f>
        <v>#REF!</v>
      </c>
      <c r="K151" t="e">
        <f>IF(#REF!=1,K150+1,0)</f>
        <v>#REF!</v>
      </c>
      <c r="L151" t="e">
        <f>IF(#REF!=2,L150+1,0)</f>
        <v>#REF!</v>
      </c>
      <c r="M151" t="e">
        <f>#REF!</f>
        <v>#REF!</v>
      </c>
      <c r="N151" t="e">
        <f>COUNTIFS(#REF!, "=1")</f>
        <v>#REF!</v>
      </c>
      <c r="O151" t="e">
        <f>COUNTIFS(#REF!, "=2")</f>
        <v>#REF!</v>
      </c>
      <c r="P151" t="e">
        <f>#REF!</f>
        <v>#REF!</v>
      </c>
    </row>
    <row r="152" spans="1:16" x14ac:dyDescent="0.25">
      <c r="A152" t="e">
        <f>AND(#REF!=2, COUNTIF(Tables!L$1:L$4,#REF!))</f>
        <v>#REF!</v>
      </c>
      <c r="B152" t="e">
        <f>AND(#REF!=1, COUNTIF(Tables!L$1:L$4,#REF!))</f>
        <v>#REF!</v>
      </c>
      <c r="C152" t="e">
        <f>AND(A152,#REF!= 0)</f>
        <v>#REF!</v>
      </c>
      <c r="D152" t="e">
        <f>AND(B152,#REF!= 0)</f>
        <v>#REF!</v>
      </c>
      <c r="E152" t="e">
        <f>isNetPoint(#REF!)</f>
        <v>#VALUE!</v>
      </c>
      <c r="F152" t="e">
        <f>OR(#REF!=1,#REF!= 1)</f>
        <v>#REF!</v>
      </c>
      <c r="G152" t="e">
        <f>IF(#REF!=1,OR(E152="1",E152="3",F152=TRUE),OR(E152="2",E152="3"))</f>
        <v>#REF!</v>
      </c>
      <c r="H152" t="e">
        <f>IF(#REF!=2,OR(E152="1",E152="3",F152=TRUE),OR(E152="2",E152="3"))</f>
        <v>#REF!</v>
      </c>
      <c r="I152" t="e">
        <f>AND(G152=TRUE,#REF!=1)</f>
        <v>#REF!</v>
      </c>
      <c r="J152" t="e">
        <f>AND(H152=TRUE,#REF!=2)</f>
        <v>#REF!</v>
      </c>
      <c r="K152" t="e">
        <f>IF(#REF!=1,K151+1,0)</f>
        <v>#REF!</v>
      </c>
      <c r="L152" t="e">
        <f>IF(#REF!=2,L151+1,0)</f>
        <v>#REF!</v>
      </c>
      <c r="M152" t="e">
        <f>#REF!</f>
        <v>#REF!</v>
      </c>
      <c r="N152" t="e">
        <f>COUNTIFS(#REF!, "=1")</f>
        <v>#REF!</v>
      </c>
      <c r="O152" t="e">
        <f>COUNTIFS(#REF!, "=2")</f>
        <v>#REF!</v>
      </c>
      <c r="P152" t="e">
        <f>#REF!</f>
        <v>#REF!</v>
      </c>
    </row>
    <row r="153" spans="1:16" x14ac:dyDescent="0.25">
      <c r="A153" t="e">
        <f>AND(#REF!=2, COUNTIF(Tables!L$1:L$4,#REF!))</f>
        <v>#REF!</v>
      </c>
      <c r="B153" t="e">
        <f>AND(#REF!=1, COUNTIF(Tables!L$1:L$4,#REF!))</f>
        <v>#REF!</v>
      </c>
      <c r="C153" t="e">
        <f>AND(A153,#REF!= 0)</f>
        <v>#REF!</v>
      </c>
      <c r="D153" t="e">
        <f>AND(B153,#REF!= 0)</f>
        <v>#REF!</v>
      </c>
      <c r="E153" t="e">
        <f>isNetPoint(#REF!)</f>
        <v>#VALUE!</v>
      </c>
      <c r="F153" t="e">
        <f>OR(#REF!=1,#REF!= 1)</f>
        <v>#REF!</v>
      </c>
      <c r="G153" t="e">
        <f>IF(#REF!=1,OR(E153="1",E153="3",F153=TRUE),OR(E153="2",E153="3"))</f>
        <v>#REF!</v>
      </c>
      <c r="H153" t="e">
        <f>IF(#REF!=2,OR(E153="1",E153="3",F153=TRUE),OR(E153="2",E153="3"))</f>
        <v>#REF!</v>
      </c>
      <c r="I153" t="e">
        <f>AND(G153=TRUE,#REF!=1)</f>
        <v>#REF!</v>
      </c>
      <c r="J153" t="e">
        <f>AND(H153=TRUE,#REF!=2)</f>
        <v>#REF!</v>
      </c>
      <c r="K153" t="e">
        <f>IF(#REF!=1,K152+1,0)</f>
        <v>#REF!</v>
      </c>
      <c r="L153" t="e">
        <f>IF(#REF!=2,L152+1,0)</f>
        <v>#REF!</v>
      </c>
      <c r="M153" t="e">
        <f>#REF!</f>
        <v>#REF!</v>
      </c>
      <c r="N153" t="e">
        <f>COUNTIFS(#REF!, "=1")</f>
        <v>#REF!</v>
      </c>
      <c r="O153" t="e">
        <f>COUNTIFS(#REF!, "=2")</f>
        <v>#REF!</v>
      </c>
      <c r="P153" t="e">
        <f>#REF!</f>
        <v>#REF!</v>
      </c>
    </row>
    <row r="154" spans="1:16" x14ac:dyDescent="0.25">
      <c r="A154" t="e">
        <f>AND(#REF!=2, COUNTIF(Tables!L$1:L$4,#REF!))</f>
        <v>#REF!</v>
      </c>
      <c r="B154" t="e">
        <f>AND(#REF!=1, COUNTIF(Tables!L$1:L$4,#REF!))</f>
        <v>#REF!</v>
      </c>
      <c r="C154" t="e">
        <f>AND(A154,#REF!= 0)</f>
        <v>#REF!</v>
      </c>
      <c r="D154" t="e">
        <f>AND(B154,#REF!= 0)</f>
        <v>#REF!</v>
      </c>
      <c r="E154" t="e">
        <f>isNetPoint(#REF!)</f>
        <v>#VALUE!</v>
      </c>
      <c r="F154" t="e">
        <f>OR(#REF!=1,#REF!= 1)</f>
        <v>#REF!</v>
      </c>
      <c r="G154" t="e">
        <f>IF(#REF!=1,OR(E154="1",E154="3",F154=TRUE),OR(E154="2",E154="3"))</f>
        <v>#REF!</v>
      </c>
      <c r="H154" t="e">
        <f>IF(#REF!=2,OR(E154="1",E154="3",F154=TRUE),OR(E154="2",E154="3"))</f>
        <v>#REF!</v>
      </c>
      <c r="I154" t="e">
        <f>AND(G154=TRUE,#REF!=1)</f>
        <v>#REF!</v>
      </c>
      <c r="J154" t="e">
        <f>AND(H154=TRUE,#REF!=2)</f>
        <v>#REF!</v>
      </c>
      <c r="K154" t="e">
        <f>IF(#REF!=1,K153+1,0)</f>
        <v>#REF!</v>
      </c>
      <c r="L154" t="e">
        <f>IF(#REF!=2,L153+1,0)</f>
        <v>#REF!</v>
      </c>
      <c r="M154" t="e">
        <f>#REF!</f>
        <v>#REF!</v>
      </c>
      <c r="N154" t="e">
        <f>COUNTIFS(#REF!, "=1")</f>
        <v>#REF!</v>
      </c>
      <c r="O154" t="e">
        <f>COUNTIFS(#REF!, "=2")</f>
        <v>#REF!</v>
      </c>
      <c r="P154" t="e">
        <f>#REF!</f>
        <v>#REF!</v>
      </c>
    </row>
    <row r="155" spans="1:16" x14ac:dyDescent="0.25">
      <c r="A155" t="e">
        <f>AND(#REF!=2, COUNTIF(Tables!L$1:L$4,#REF!))</f>
        <v>#REF!</v>
      </c>
      <c r="B155" t="e">
        <f>AND(#REF!=1, COUNTIF(Tables!L$1:L$4,#REF!))</f>
        <v>#REF!</v>
      </c>
      <c r="C155" t="e">
        <f>AND(A155,#REF!= 0)</f>
        <v>#REF!</v>
      </c>
      <c r="D155" t="e">
        <f>AND(B155,#REF!= 0)</f>
        <v>#REF!</v>
      </c>
      <c r="E155" t="e">
        <f>isNetPoint(#REF!)</f>
        <v>#VALUE!</v>
      </c>
      <c r="F155" t="e">
        <f>OR(#REF!=1,#REF!= 1)</f>
        <v>#REF!</v>
      </c>
      <c r="G155" t="e">
        <f>IF(#REF!=1,OR(E155="1",E155="3",F155=TRUE),OR(E155="2",E155="3"))</f>
        <v>#REF!</v>
      </c>
      <c r="H155" t="e">
        <f>IF(#REF!=2,OR(E155="1",E155="3",F155=TRUE),OR(E155="2",E155="3"))</f>
        <v>#REF!</v>
      </c>
      <c r="I155" t="e">
        <f>AND(G155=TRUE,#REF!=1)</f>
        <v>#REF!</v>
      </c>
      <c r="J155" t="e">
        <f>AND(H155=TRUE,#REF!=2)</f>
        <v>#REF!</v>
      </c>
      <c r="K155" t="e">
        <f>IF(#REF!=1,K154+1,0)</f>
        <v>#REF!</v>
      </c>
      <c r="L155" t="e">
        <f>IF(#REF!=2,L154+1,0)</f>
        <v>#REF!</v>
      </c>
      <c r="M155" t="e">
        <f>#REF!</f>
        <v>#REF!</v>
      </c>
      <c r="N155" t="e">
        <f>COUNTIFS(#REF!, "=1")</f>
        <v>#REF!</v>
      </c>
      <c r="O155" t="e">
        <f>COUNTIFS(#REF!, "=2")</f>
        <v>#REF!</v>
      </c>
      <c r="P155" t="e">
        <f>#REF!</f>
        <v>#REF!</v>
      </c>
    </row>
    <row r="156" spans="1:16" x14ac:dyDescent="0.25">
      <c r="A156" t="e">
        <f>AND(#REF!=2, COUNTIF(Tables!L$1:L$4,#REF!))</f>
        <v>#REF!</v>
      </c>
      <c r="B156" t="e">
        <f>AND(#REF!=1, COUNTIF(Tables!L$1:L$4,#REF!))</f>
        <v>#REF!</v>
      </c>
      <c r="C156" t="e">
        <f>AND(A156,#REF!= 0)</f>
        <v>#REF!</v>
      </c>
      <c r="D156" t="e">
        <f>AND(B156,#REF!= 0)</f>
        <v>#REF!</v>
      </c>
      <c r="E156" t="e">
        <f>isNetPoint(#REF!)</f>
        <v>#VALUE!</v>
      </c>
      <c r="F156" t="e">
        <f>OR(#REF!=1,#REF!= 1)</f>
        <v>#REF!</v>
      </c>
      <c r="G156" t="e">
        <f>IF(#REF!=1,OR(E156="1",E156="3",F156=TRUE),OR(E156="2",E156="3"))</f>
        <v>#REF!</v>
      </c>
      <c r="H156" t="e">
        <f>IF(#REF!=2,OR(E156="1",E156="3",F156=TRUE),OR(E156="2",E156="3"))</f>
        <v>#REF!</v>
      </c>
      <c r="I156" t="e">
        <f>AND(G156=TRUE,#REF!=1)</f>
        <v>#REF!</v>
      </c>
      <c r="J156" t="e">
        <f>AND(H156=TRUE,#REF!=2)</f>
        <v>#REF!</v>
      </c>
      <c r="K156" t="e">
        <f>IF(#REF!=1,K155+1,0)</f>
        <v>#REF!</v>
      </c>
      <c r="L156" t="e">
        <f>IF(#REF!=2,L155+1,0)</f>
        <v>#REF!</v>
      </c>
      <c r="M156" t="e">
        <f>#REF!</f>
        <v>#REF!</v>
      </c>
      <c r="N156" t="e">
        <f>COUNTIFS(#REF!, "=1")</f>
        <v>#REF!</v>
      </c>
      <c r="O156" t="e">
        <f>COUNTIFS(#REF!, "=2")</f>
        <v>#REF!</v>
      </c>
      <c r="P156" t="e">
        <f>#REF!</f>
        <v>#REF!</v>
      </c>
    </row>
    <row r="157" spans="1:16" x14ac:dyDescent="0.25">
      <c r="A157" t="e">
        <f>AND(#REF!=2, COUNTIF(Tables!L$1:L$4,#REF!))</f>
        <v>#REF!</v>
      </c>
      <c r="B157" t="e">
        <f>AND(#REF!=1, COUNTIF(Tables!L$1:L$4,#REF!))</f>
        <v>#REF!</v>
      </c>
      <c r="C157" t="e">
        <f>AND(A157,#REF!= 0)</f>
        <v>#REF!</v>
      </c>
      <c r="D157" t="e">
        <f>AND(B157,#REF!= 0)</f>
        <v>#REF!</v>
      </c>
      <c r="E157" t="e">
        <f>isNetPoint(#REF!)</f>
        <v>#VALUE!</v>
      </c>
      <c r="F157" t="e">
        <f>OR(#REF!=1,#REF!= 1)</f>
        <v>#REF!</v>
      </c>
      <c r="G157" t="e">
        <f>IF(#REF!=1,OR(E157="1",E157="3",F157=TRUE),OR(E157="2",E157="3"))</f>
        <v>#REF!</v>
      </c>
      <c r="H157" t="e">
        <f>IF(#REF!=2,OR(E157="1",E157="3",F157=TRUE),OR(E157="2",E157="3"))</f>
        <v>#REF!</v>
      </c>
      <c r="I157" t="e">
        <f>AND(G157=TRUE,#REF!=1)</f>
        <v>#REF!</v>
      </c>
      <c r="J157" t="e">
        <f>AND(H157=TRUE,#REF!=2)</f>
        <v>#REF!</v>
      </c>
      <c r="K157" t="e">
        <f>IF(#REF!=1,K156+1,0)</f>
        <v>#REF!</v>
      </c>
      <c r="L157" t="e">
        <f>IF(#REF!=2,L156+1,0)</f>
        <v>#REF!</v>
      </c>
      <c r="M157" t="e">
        <f>#REF!</f>
        <v>#REF!</v>
      </c>
      <c r="N157" t="e">
        <f>COUNTIFS(#REF!, "=1")</f>
        <v>#REF!</v>
      </c>
      <c r="O157" t="e">
        <f>COUNTIFS(#REF!, "=2")</f>
        <v>#REF!</v>
      </c>
      <c r="P157" t="e">
        <f>#REF!</f>
        <v>#REF!</v>
      </c>
    </row>
    <row r="158" spans="1:16" x14ac:dyDescent="0.25">
      <c r="A158" t="e">
        <f>AND(#REF!=2, COUNTIF(Tables!L$1:L$4,#REF!))</f>
        <v>#REF!</v>
      </c>
      <c r="B158" t="e">
        <f>AND(#REF!=1, COUNTIF(Tables!L$1:L$4,#REF!))</f>
        <v>#REF!</v>
      </c>
      <c r="C158" t="e">
        <f>AND(A158,#REF!= 0)</f>
        <v>#REF!</v>
      </c>
      <c r="D158" t="e">
        <f>AND(B158,#REF!= 0)</f>
        <v>#REF!</v>
      </c>
      <c r="E158" t="e">
        <f>isNetPoint(#REF!)</f>
        <v>#VALUE!</v>
      </c>
      <c r="F158" t="e">
        <f>OR(#REF!=1,#REF!= 1)</f>
        <v>#REF!</v>
      </c>
      <c r="G158" t="e">
        <f>IF(#REF!=1,OR(E158="1",E158="3",F158=TRUE),OR(E158="2",E158="3"))</f>
        <v>#REF!</v>
      </c>
      <c r="H158" t="e">
        <f>IF(#REF!=2,OR(E158="1",E158="3",F158=TRUE),OR(E158="2",E158="3"))</f>
        <v>#REF!</v>
      </c>
      <c r="I158" t="e">
        <f>AND(G158=TRUE,#REF!=1)</f>
        <v>#REF!</v>
      </c>
      <c r="J158" t="e">
        <f>AND(H158=TRUE,#REF!=2)</f>
        <v>#REF!</v>
      </c>
      <c r="K158" t="e">
        <f>IF(#REF!=1,K157+1,0)</f>
        <v>#REF!</v>
      </c>
      <c r="L158" t="e">
        <f>IF(#REF!=2,L157+1,0)</f>
        <v>#REF!</v>
      </c>
      <c r="M158" t="e">
        <f>#REF!</f>
        <v>#REF!</v>
      </c>
      <c r="N158" t="e">
        <f>COUNTIFS(#REF!, "=1")</f>
        <v>#REF!</v>
      </c>
      <c r="O158" t="e">
        <f>COUNTIFS(#REF!, "=2")</f>
        <v>#REF!</v>
      </c>
      <c r="P158" t="e">
        <f>#REF!</f>
        <v>#REF!</v>
      </c>
    </row>
    <row r="159" spans="1:16" x14ac:dyDescent="0.25">
      <c r="A159" t="e">
        <f>AND(#REF!=2, COUNTIF(Tables!L$1:L$4,#REF!))</f>
        <v>#REF!</v>
      </c>
      <c r="B159" t="e">
        <f>AND(#REF!=1, COUNTIF(Tables!L$1:L$4,#REF!))</f>
        <v>#REF!</v>
      </c>
      <c r="C159" t="e">
        <f>AND(A159,#REF!= 0)</f>
        <v>#REF!</v>
      </c>
      <c r="D159" t="e">
        <f>AND(B159,#REF!= 0)</f>
        <v>#REF!</v>
      </c>
      <c r="E159" t="e">
        <f>isNetPoint(#REF!)</f>
        <v>#VALUE!</v>
      </c>
      <c r="F159" t="e">
        <f>OR(#REF!=1,#REF!= 1)</f>
        <v>#REF!</v>
      </c>
      <c r="G159" t="e">
        <f>IF(#REF!=1,OR(E159="1",E159="3",F159=TRUE),OR(E159="2",E159="3"))</f>
        <v>#REF!</v>
      </c>
      <c r="H159" t="e">
        <f>IF(#REF!=2,OR(E159="1",E159="3",F159=TRUE),OR(E159="2",E159="3"))</f>
        <v>#REF!</v>
      </c>
      <c r="I159" t="e">
        <f>AND(G159=TRUE,#REF!=1)</f>
        <v>#REF!</v>
      </c>
      <c r="J159" t="e">
        <f>AND(H159=TRUE,#REF!=2)</f>
        <v>#REF!</v>
      </c>
      <c r="K159" t="e">
        <f>IF(#REF!=1,K158+1,0)</f>
        <v>#REF!</v>
      </c>
      <c r="L159" t="e">
        <f>IF(#REF!=2,L158+1,0)</f>
        <v>#REF!</v>
      </c>
      <c r="M159" t="e">
        <f>#REF!</f>
        <v>#REF!</v>
      </c>
      <c r="N159" t="e">
        <f>COUNTIFS(#REF!, "=1")</f>
        <v>#REF!</v>
      </c>
      <c r="O159" t="e">
        <f>COUNTIFS(#REF!, "=2")</f>
        <v>#REF!</v>
      </c>
      <c r="P159" t="e">
        <f>#REF!</f>
        <v>#REF!</v>
      </c>
    </row>
    <row r="160" spans="1:16" x14ac:dyDescent="0.25">
      <c r="A160" t="e">
        <f>AND(#REF!=2, COUNTIF(Tables!L$1:L$4,#REF!))</f>
        <v>#REF!</v>
      </c>
      <c r="B160" t="e">
        <f>AND(#REF!=1, COUNTIF(Tables!L$1:L$4,#REF!))</f>
        <v>#REF!</v>
      </c>
      <c r="C160" t="e">
        <f>AND(A160,#REF!= 0)</f>
        <v>#REF!</v>
      </c>
      <c r="D160" t="e">
        <f>AND(B160,#REF!= 0)</f>
        <v>#REF!</v>
      </c>
      <c r="E160" t="e">
        <f>isNetPoint(#REF!)</f>
        <v>#VALUE!</v>
      </c>
      <c r="F160" t="e">
        <f>OR(#REF!=1,#REF!= 1)</f>
        <v>#REF!</v>
      </c>
      <c r="G160" t="e">
        <f>IF(#REF!=1,OR(E160="1",E160="3",F160=TRUE),OR(E160="2",E160="3"))</f>
        <v>#REF!</v>
      </c>
      <c r="H160" t="e">
        <f>IF(#REF!=2,OR(E160="1",E160="3",F160=TRUE),OR(E160="2",E160="3"))</f>
        <v>#REF!</v>
      </c>
      <c r="I160" t="e">
        <f>AND(G160=TRUE,#REF!=1)</f>
        <v>#REF!</v>
      </c>
      <c r="J160" t="e">
        <f>AND(H160=TRUE,#REF!=2)</f>
        <v>#REF!</v>
      </c>
      <c r="K160" t="e">
        <f>IF(#REF!=1,K159+1,0)</f>
        <v>#REF!</v>
      </c>
      <c r="L160" t="e">
        <f>IF(#REF!=2,L159+1,0)</f>
        <v>#REF!</v>
      </c>
      <c r="M160" t="e">
        <f>#REF!</f>
        <v>#REF!</v>
      </c>
      <c r="N160" t="e">
        <f>COUNTIFS(#REF!, "=1")</f>
        <v>#REF!</v>
      </c>
      <c r="O160" t="e">
        <f>COUNTIFS(#REF!, "=2")</f>
        <v>#REF!</v>
      </c>
      <c r="P160" t="e">
        <f>#REF!</f>
        <v>#REF!</v>
      </c>
    </row>
    <row r="161" spans="1:16" x14ac:dyDescent="0.25">
      <c r="A161" t="e">
        <f>AND(#REF!=2, COUNTIF(Tables!L$1:L$4,#REF!))</f>
        <v>#REF!</v>
      </c>
      <c r="B161" t="e">
        <f>AND(#REF!=1, COUNTIF(Tables!L$1:L$4,#REF!))</f>
        <v>#REF!</v>
      </c>
      <c r="C161" t="e">
        <f>AND(A161,#REF!= 0)</f>
        <v>#REF!</v>
      </c>
      <c r="D161" t="e">
        <f>AND(B161,#REF!= 0)</f>
        <v>#REF!</v>
      </c>
      <c r="E161" t="e">
        <f>isNetPoint(#REF!)</f>
        <v>#VALUE!</v>
      </c>
      <c r="F161" t="e">
        <f>OR(#REF!=1,#REF!= 1)</f>
        <v>#REF!</v>
      </c>
      <c r="G161" t="e">
        <f>IF(#REF!=1,OR(E161="1",E161="3",F161=TRUE),OR(E161="2",E161="3"))</f>
        <v>#REF!</v>
      </c>
      <c r="H161" t="e">
        <f>IF(#REF!=2,OR(E161="1",E161="3",F161=TRUE),OR(E161="2",E161="3"))</f>
        <v>#REF!</v>
      </c>
      <c r="I161" t="e">
        <f>AND(G161=TRUE,#REF!=1)</f>
        <v>#REF!</v>
      </c>
      <c r="J161" t="e">
        <f>AND(H161=TRUE,#REF!=2)</f>
        <v>#REF!</v>
      </c>
      <c r="K161" t="e">
        <f>IF(#REF!=1,K160+1,0)</f>
        <v>#REF!</v>
      </c>
      <c r="L161" t="e">
        <f>IF(#REF!=2,L160+1,0)</f>
        <v>#REF!</v>
      </c>
      <c r="M161" t="e">
        <f>#REF!</f>
        <v>#REF!</v>
      </c>
      <c r="N161" t="e">
        <f>COUNTIFS(#REF!, "=1")</f>
        <v>#REF!</v>
      </c>
      <c r="O161" t="e">
        <f>COUNTIFS(#REF!, "=2")</f>
        <v>#REF!</v>
      </c>
      <c r="P161" t="e">
        <f>#REF!</f>
        <v>#REF!</v>
      </c>
    </row>
    <row r="162" spans="1:16" x14ac:dyDescent="0.25">
      <c r="A162" t="e">
        <f>AND(#REF!=2, COUNTIF(Tables!L$1:L$4,#REF!))</f>
        <v>#REF!</v>
      </c>
      <c r="B162" t="e">
        <f>AND(#REF!=1, COUNTIF(Tables!L$1:L$4,#REF!))</f>
        <v>#REF!</v>
      </c>
      <c r="C162" t="e">
        <f>AND(A162,#REF!= 0)</f>
        <v>#REF!</v>
      </c>
      <c r="D162" t="e">
        <f>AND(B162,#REF!= 0)</f>
        <v>#REF!</v>
      </c>
      <c r="E162" t="e">
        <f>isNetPoint(#REF!)</f>
        <v>#VALUE!</v>
      </c>
      <c r="F162" t="e">
        <f>OR(#REF!=1,#REF!= 1)</f>
        <v>#REF!</v>
      </c>
      <c r="G162" t="e">
        <f>IF(#REF!=1,OR(E162="1",E162="3",F162=TRUE),OR(E162="2",E162="3"))</f>
        <v>#REF!</v>
      </c>
      <c r="H162" t="e">
        <f>IF(#REF!=2,OR(E162="1",E162="3",F162=TRUE),OR(E162="2",E162="3"))</f>
        <v>#REF!</v>
      </c>
      <c r="I162" t="e">
        <f>AND(G162=TRUE,#REF!=1)</f>
        <v>#REF!</v>
      </c>
      <c r="J162" t="e">
        <f>AND(H162=TRUE,#REF!=2)</f>
        <v>#REF!</v>
      </c>
      <c r="K162" t="e">
        <f>IF(#REF!=1,K161+1,0)</f>
        <v>#REF!</v>
      </c>
      <c r="L162" t="e">
        <f>IF(#REF!=2,L161+1,0)</f>
        <v>#REF!</v>
      </c>
      <c r="M162" t="e">
        <f>#REF!</f>
        <v>#REF!</v>
      </c>
      <c r="N162" t="e">
        <f>COUNTIFS(#REF!, "=1")</f>
        <v>#REF!</v>
      </c>
      <c r="O162" t="e">
        <f>COUNTIFS(#REF!, "=2")</f>
        <v>#REF!</v>
      </c>
      <c r="P162" t="e">
        <f>#REF!</f>
        <v>#REF!</v>
      </c>
    </row>
    <row r="163" spans="1:16" x14ac:dyDescent="0.25">
      <c r="A163" t="e">
        <f>AND(#REF!=2, COUNTIF(Tables!L$1:L$4,#REF!))</f>
        <v>#REF!</v>
      </c>
      <c r="B163" t="e">
        <f>AND(#REF!=1, COUNTIF(Tables!L$1:L$4,#REF!))</f>
        <v>#REF!</v>
      </c>
      <c r="C163" t="e">
        <f>AND(A163,#REF!= 0)</f>
        <v>#REF!</v>
      </c>
      <c r="D163" t="e">
        <f>AND(B163,#REF!= 0)</f>
        <v>#REF!</v>
      </c>
      <c r="E163" t="e">
        <f>isNetPoint(#REF!)</f>
        <v>#VALUE!</v>
      </c>
      <c r="F163" t="e">
        <f>OR(#REF!=1,#REF!= 1)</f>
        <v>#REF!</v>
      </c>
      <c r="G163" t="e">
        <f>IF(#REF!=1,OR(E163="1",E163="3",F163=TRUE),OR(E163="2",E163="3"))</f>
        <v>#REF!</v>
      </c>
      <c r="H163" t="e">
        <f>IF(#REF!=2,OR(E163="1",E163="3",F163=TRUE),OR(E163="2",E163="3"))</f>
        <v>#REF!</v>
      </c>
      <c r="I163" t="e">
        <f>AND(G163=TRUE,#REF!=1)</f>
        <v>#REF!</v>
      </c>
      <c r="J163" t="e">
        <f>AND(H163=TRUE,#REF!=2)</f>
        <v>#REF!</v>
      </c>
      <c r="K163" t="e">
        <f>IF(#REF!=1,K162+1,0)</f>
        <v>#REF!</v>
      </c>
      <c r="L163" t="e">
        <f>IF(#REF!=2,L162+1,0)</f>
        <v>#REF!</v>
      </c>
      <c r="M163" t="e">
        <f>#REF!</f>
        <v>#REF!</v>
      </c>
      <c r="N163" t="e">
        <f>COUNTIFS(#REF!, "=1")</f>
        <v>#REF!</v>
      </c>
      <c r="O163" t="e">
        <f>COUNTIFS(#REF!, "=2")</f>
        <v>#REF!</v>
      </c>
      <c r="P163" t="e">
        <f>#REF!</f>
        <v>#REF!</v>
      </c>
    </row>
    <row r="164" spans="1:16" x14ac:dyDescent="0.25">
      <c r="A164" t="e">
        <f>AND(#REF!=2, COUNTIF(Tables!L$1:L$4,#REF!))</f>
        <v>#REF!</v>
      </c>
      <c r="B164" t="e">
        <f>AND(#REF!=1, COUNTIF(Tables!L$1:L$4,#REF!))</f>
        <v>#REF!</v>
      </c>
      <c r="C164" t="e">
        <f>AND(A164,#REF!= 0)</f>
        <v>#REF!</v>
      </c>
      <c r="D164" t="e">
        <f>AND(B164,#REF!= 0)</f>
        <v>#REF!</v>
      </c>
      <c r="E164" t="e">
        <f>isNetPoint(#REF!)</f>
        <v>#VALUE!</v>
      </c>
      <c r="F164" t="e">
        <f>OR(#REF!=1,#REF!= 1)</f>
        <v>#REF!</v>
      </c>
      <c r="G164" t="e">
        <f>IF(#REF!=1,OR(E164="1",E164="3",F164=TRUE),OR(E164="2",E164="3"))</f>
        <v>#REF!</v>
      </c>
      <c r="H164" t="e">
        <f>IF(#REF!=2,OR(E164="1",E164="3",F164=TRUE),OR(E164="2",E164="3"))</f>
        <v>#REF!</v>
      </c>
      <c r="I164" t="e">
        <f>AND(G164=TRUE,#REF!=1)</f>
        <v>#REF!</v>
      </c>
      <c r="J164" t="e">
        <f>AND(H164=TRUE,#REF!=2)</f>
        <v>#REF!</v>
      </c>
      <c r="K164" t="e">
        <f>IF(#REF!=1,K163+1,0)</f>
        <v>#REF!</v>
      </c>
      <c r="L164" t="e">
        <f>IF(#REF!=2,L163+1,0)</f>
        <v>#REF!</v>
      </c>
      <c r="M164" t="e">
        <f>#REF!</f>
        <v>#REF!</v>
      </c>
      <c r="N164" t="e">
        <f>COUNTIFS(#REF!, "=1")</f>
        <v>#REF!</v>
      </c>
      <c r="O164" t="e">
        <f>COUNTIFS(#REF!, "=2")</f>
        <v>#REF!</v>
      </c>
      <c r="P164" t="e">
        <f>#REF!</f>
        <v>#REF!</v>
      </c>
    </row>
    <row r="165" spans="1:16" x14ac:dyDescent="0.25">
      <c r="A165" t="e">
        <f>AND(#REF!=2, COUNTIF(Tables!L$1:L$4,#REF!))</f>
        <v>#REF!</v>
      </c>
      <c r="B165" t="e">
        <f>AND(#REF!=1, COUNTIF(Tables!L$1:L$4,#REF!))</f>
        <v>#REF!</v>
      </c>
      <c r="C165" t="e">
        <f>AND(A165,#REF!= 0)</f>
        <v>#REF!</v>
      </c>
      <c r="D165" t="e">
        <f>AND(B165,#REF!= 0)</f>
        <v>#REF!</v>
      </c>
      <c r="E165" t="e">
        <f>isNetPoint(#REF!)</f>
        <v>#VALUE!</v>
      </c>
      <c r="F165" t="e">
        <f>OR(#REF!=1,#REF!= 1)</f>
        <v>#REF!</v>
      </c>
      <c r="G165" t="e">
        <f>IF(#REF!=1,OR(E165="1",E165="3",F165=TRUE),OR(E165="2",E165="3"))</f>
        <v>#REF!</v>
      </c>
      <c r="H165" t="e">
        <f>IF(#REF!=2,OR(E165="1",E165="3",F165=TRUE),OR(E165="2",E165="3"))</f>
        <v>#REF!</v>
      </c>
      <c r="I165" t="e">
        <f>AND(G165=TRUE,#REF!=1)</f>
        <v>#REF!</v>
      </c>
      <c r="J165" t="e">
        <f>AND(H165=TRUE,#REF!=2)</f>
        <v>#REF!</v>
      </c>
      <c r="K165" t="e">
        <f>IF(#REF!=1,K164+1,0)</f>
        <v>#REF!</v>
      </c>
      <c r="L165" t="e">
        <f>IF(#REF!=2,L164+1,0)</f>
        <v>#REF!</v>
      </c>
      <c r="M165" t="e">
        <f>#REF!</f>
        <v>#REF!</v>
      </c>
      <c r="N165" t="e">
        <f>COUNTIFS(#REF!, "=1")</f>
        <v>#REF!</v>
      </c>
      <c r="O165" t="e">
        <f>COUNTIFS(#REF!, "=2")</f>
        <v>#REF!</v>
      </c>
      <c r="P165" t="e">
        <f>#REF!</f>
        <v>#REF!</v>
      </c>
    </row>
    <row r="166" spans="1:16" x14ac:dyDescent="0.25">
      <c r="A166" t="e">
        <f>AND(#REF!=2, COUNTIF(Tables!L$1:L$4,#REF!))</f>
        <v>#REF!</v>
      </c>
      <c r="B166" t="e">
        <f>AND(#REF!=1, COUNTIF(Tables!L$1:L$4,#REF!))</f>
        <v>#REF!</v>
      </c>
      <c r="C166" t="e">
        <f>AND(A166,#REF!= 0)</f>
        <v>#REF!</v>
      </c>
      <c r="D166" t="e">
        <f>AND(B166,#REF!= 0)</f>
        <v>#REF!</v>
      </c>
      <c r="E166" t="e">
        <f>isNetPoint(#REF!)</f>
        <v>#VALUE!</v>
      </c>
      <c r="F166" t="e">
        <f>OR(#REF!=1,#REF!= 1)</f>
        <v>#REF!</v>
      </c>
      <c r="G166" t="e">
        <f>IF(#REF!=1,OR(E166="1",E166="3",F166=TRUE),OR(E166="2",E166="3"))</f>
        <v>#REF!</v>
      </c>
      <c r="H166" t="e">
        <f>IF(#REF!=2,OR(E166="1",E166="3",F166=TRUE),OR(E166="2",E166="3"))</f>
        <v>#REF!</v>
      </c>
      <c r="I166" t="e">
        <f>AND(G166=TRUE,#REF!=1)</f>
        <v>#REF!</v>
      </c>
      <c r="J166" t="e">
        <f>AND(H166=TRUE,#REF!=2)</f>
        <v>#REF!</v>
      </c>
      <c r="K166" t="e">
        <f>IF(#REF!=1,K165+1,0)</f>
        <v>#REF!</v>
      </c>
      <c r="L166" t="e">
        <f>IF(#REF!=2,L165+1,0)</f>
        <v>#REF!</v>
      </c>
      <c r="M166" t="e">
        <f>#REF!</f>
        <v>#REF!</v>
      </c>
      <c r="N166" t="e">
        <f>COUNTIFS(#REF!, "=1")</f>
        <v>#REF!</v>
      </c>
      <c r="O166" t="e">
        <f>COUNTIFS(#REF!, "=2")</f>
        <v>#REF!</v>
      </c>
      <c r="P166" t="e">
        <f>#REF!</f>
        <v>#REF!</v>
      </c>
    </row>
    <row r="167" spans="1:16" x14ac:dyDescent="0.25">
      <c r="A167" t="e">
        <f>AND(#REF!=2, COUNTIF(Tables!L$1:L$4,#REF!))</f>
        <v>#REF!</v>
      </c>
      <c r="B167" t="e">
        <f>AND(#REF!=1, COUNTIF(Tables!L$1:L$4,#REF!))</f>
        <v>#REF!</v>
      </c>
      <c r="C167" t="e">
        <f>AND(A167,#REF!= 0)</f>
        <v>#REF!</v>
      </c>
      <c r="D167" t="e">
        <f>AND(B167,#REF!= 0)</f>
        <v>#REF!</v>
      </c>
      <c r="E167" t="e">
        <f>isNetPoint(#REF!)</f>
        <v>#VALUE!</v>
      </c>
      <c r="F167" t="e">
        <f>OR(#REF!=1,#REF!= 1)</f>
        <v>#REF!</v>
      </c>
      <c r="G167" t="e">
        <f>IF(#REF!=1,OR(E167="1",E167="3",F167=TRUE),OR(E167="2",E167="3"))</f>
        <v>#REF!</v>
      </c>
      <c r="H167" t="e">
        <f>IF(#REF!=2,OR(E167="1",E167="3",F167=TRUE),OR(E167="2",E167="3"))</f>
        <v>#REF!</v>
      </c>
      <c r="I167" t="e">
        <f>AND(G167=TRUE,#REF!=1)</f>
        <v>#REF!</v>
      </c>
      <c r="J167" t="e">
        <f>AND(H167=TRUE,#REF!=2)</f>
        <v>#REF!</v>
      </c>
      <c r="K167" t="e">
        <f>IF(#REF!=1,K166+1,0)</f>
        <v>#REF!</v>
      </c>
      <c r="L167" t="e">
        <f>IF(#REF!=2,L166+1,0)</f>
        <v>#REF!</v>
      </c>
      <c r="M167" t="e">
        <f>#REF!</f>
        <v>#REF!</v>
      </c>
      <c r="N167" t="e">
        <f>COUNTIFS(#REF!, "=1")</f>
        <v>#REF!</v>
      </c>
      <c r="O167" t="e">
        <f>COUNTIFS(#REF!, "=2")</f>
        <v>#REF!</v>
      </c>
      <c r="P167" t="e">
        <f>#REF!</f>
        <v>#REF!</v>
      </c>
    </row>
    <row r="168" spans="1:16" x14ac:dyDescent="0.25">
      <c r="A168" t="e">
        <f>AND(#REF!=2, COUNTIF(Tables!L$1:L$4,#REF!))</f>
        <v>#REF!</v>
      </c>
      <c r="B168" t="e">
        <f>AND(#REF!=1, COUNTIF(Tables!L$1:L$4,#REF!))</f>
        <v>#REF!</v>
      </c>
      <c r="C168" t="e">
        <f>AND(A168,#REF!= 0)</f>
        <v>#REF!</v>
      </c>
      <c r="D168" t="e">
        <f>AND(B168,#REF!= 0)</f>
        <v>#REF!</v>
      </c>
      <c r="E168" t="e">
        <f>isNetPoint(#REF!)</f>
        <v>#VALUE!</v>
      </c>
      <c r="F168" t="e">
        <f>OR(#REF!=1,#REF!= 1)</f>
        <v>#REF!</v>
      </c>
      <c r="G168" t="e">
        <f>IF(#REF!=1,OR(E168="1",E168="3",F168=TRUE),OR(E168="2",E168="3"))</f>
        <v>#REF!</v>
      </c>
      <c r="H168" t="e">
        <f>IF(#REF!=2,OR(E168="1",E168="3",F168=TRUE),OR(E168="2",E168="3"))</f>
        <v>#REF!</v>
      </c>
      <c r="I168" t="e">
        <f>AND(G168=TRUE,#REF!=1)</f>
        <v>#REF!</v>
      </c>
      <c r="J168" t="e">
        <f>AND(H168=TRUE,#REF!=2)</f>
        <v>#REF!</v>
      </c>
      <c r="K168" t="e">
        <f>IF(#REF!=1,K167+1,0)</f>
        <v>#REF!</v>
      </c>
      <c r="L168" t="e">
        <f>IF(#REF!=2,L167+1,0)</f>
        <v>#REF!</v>
      </c>
      <c r="M168" t="e">
        <f>#REF!</f>
        <v>#REF!</v>
      </c>
      <c r="N168" t="e">
        <f>COUNTIFS(#REF!, "=1")</f>
        <v>#REF!</v>
      </c>
      <c r="O168" t="e">
        <f>COUNTIFS(#REF!, "=2")</f>
        <v>#REF!</v>
      </c>
      <c r="P168" t="e">
        <f>#REF!</f>
        <v>#REF!</v>
      </c>
    </row>
    <row r="169" spans="1:16" x14ac:dyDescent="0.25">
      <c r="A169" t="e">
        <f>AND(#REF!=2, COUNTIF(Tables!L$1:L$4,#REF!))</f>
        <v>#REF!</v>
      </c>
      <c r="B169" t="e">
        <f>AND(#REF!=1, COUNTIF(Tables!L$1:L$4,#REF!))</f>
        <v>#REF!</v>
      </c>
      <c r="C169" t="e">
        <f>AND(A169,#REF!= 0)</f>
        <v>#REF!</v>
      </c>
      <c r="D169" t="e">
        <f>AND(B169,#REF!= 0)</f>
        <v>#REF!</v>
      </c>
      <c r="E169" t="e">
        <f>isNetPoint(#REF!)</f>
        <v>#VALUE!</v>
      </c>
      <c r="F169" t="e">
        <f>OR(#REF!=1,#REF!= 1)</f>
        <v>#REF!</v>
      </c>
      <c r="G169" t="e">
        <f>IF(#REF!=1,OR(E169="1",E169="3",F169=TRUE),OR(E169="2",E169="3"))</f>
        <v>#REF!</v>
      </c>
      <c r="H169" t="e">
        <f>IF(#REF!=2,OR(E169="1",E169="3",F169=TRUE),OR(E169="2",E169="3"))</f>
        <v>#REF!</v>
      </c>
      <c r="I169" t="e">
        <f>AND(G169=TRUE,#REF!=1)</f>
        <v>#REF!</v>
      </c>
      <c r="J169" t="e">
        <f>AND(H169=TRUE,#REF!=2)</f>
        <v>#REF!</v>
      </c>
      <c r="K169" t="e">
        <f>IF(#REF!=1,K168+1,0)</f>
        <v>#REF!</v>
      </c>
      <c r="L169" t="e">
        <f>IF(#REF!=2,L168+1,0)</f>
        <v>#REF!</v>
      </c>
      <c r="M169" t="e">
        <f>#REF!</f>
        <v>#REF!</v>
      </c>
      <c r="N169" t="e">
        <f>COUNTIFS(#REF!, "=1")</f>
        <v>#REF!</v>
      </c>
      <c r="O169" t="e">
        <f>COUNTIFS(#REF!, "=2")</f>
        <v>#REF!</v>
      </c>
      <c r="P169" t="e">
        <f>#REF!</f>
        <v>#REF!</v>
      </c>
    </row>
    <row r="170" spans="1:16" x14ac:dyDescent="0.25">
      <c r="A170" t="e">
        <f>AND(#REF!=2, COUNTIF(Tables!L$1:L$4,#REF!))</f>
        <v>#REF!</v>
      </c>
      <c r="B170" t="e">
        <f>AND(#REF!=1, COUNTIF(Tables!L$1:L$4,#REF!))</f>
        <v>#REF!</v>
      </c>
      <c r="C170" t="e">
        <f>AND(A170,#REF!= 0)</f>
        <v>#REF!</v>
      </c>
      <c r="D170" t="e">
        <f>AND(B170,#REF!= 0)</f>
        <v>#REF!</v>
      </c>
      <c r="E170" t="e">
        <f>isNetPoint(#REF!)</f>
        <v>#VALUE!</v>
      </c>
      <c r="F170" t="e">
        <f>OR(#REF!=1,#REF!= 1)</f>
        <v>#REF!</v>
      </c>
      <c r="G170" t="e">
        <f>IF(#REF!=1,OR(E170="1",E170="3",F170=TRUE),OR(E170="2",E170="3"))</f>
        <v>#REF!</v>
      </c>
      <c r="H170" t="e">
        <f>IF(#REF!=2,OR(E170="1",E170="3",F170=TRUE),OR(E170="2",E170="3"))</f>
        <v>#REF!</v>
      </c>
      <c r="I170" t="e">
        <f>AND(G170=TRUE,#REF!=1)</f>
        <v>#REF!</v>
      </c>
      <c r="J170" t="e">
        <f>AND(H170=TRUE,#REF!=2)</f>
        <v>#REF!</v>
      </c>
      <c r="K170" t="e">
        <f>IF(#REF!=1,K169+1,0)</f>
        <v>#REF!</v>
      </c>
      <c r="L170" t="e">
        <f>IF(#REF!=2,L169+1,0)</f>
        <v>#REF!</v>
      </c>
      <c r="M170" t="e">
        <f>#REF!</f>
        <v>#REF!</v>
      </c>
      <c r="N170" t="e">
        <f>COUNTIFS(#REF!, "=1")</f>
        <v>#REF!</v>
      </c>
      <c r="O170" t="e">
        <f>COUNTIFS(#REF!, "=2")</f>
        <v>#REF!</v>
      </c>
      <c r="P170" t="e">
        <f>#REF!</f>
        <v>#REF!</v>
      </c>
    </row>
    <row r="171" spans="1:16" x14ac:dyDescent="0.25">
      <c r="A171" t="e">
        <f>AND(#REF!=2, COUNTIF(Tables!L$1:L$4,#REF!))</f>
        <v>#REF!</v>
      </c>
      <c r="B171" t="e">
        <f>AND(#REF!=1, COUNTIF(Tables!L$1:L$4,#REF!))</f>
        <v>#REF!</v>
      </c>
      <c r="C171" t="e">
        <f>AND(A171,#REF!= 0)</f>
        <v>#REF!</v>
      </c>
      <c r="D171" t="e">
        <f>AND(B171,#REF!= 0)</f>
        <v>#REF!</v>
      </c>
      <c r="E171" t="e">
        <f>isNetPoint(#REF!)</f>
        <v>#VALUE!</v>
      </c>
      <c r="F171" t="e">
        <f>OR(#REF!=1,#REF!= 1)</f>
        <v>#REF!</v>
      </c>
      <c r="G171" t="e">
        <f>IF(#REF!=1,OR(E171="1",E171="3",F171=TRUE),OR(E171="2",E171="3"))</f>
        <v>#REF!</v>
      </c>
      <c r="H171" t="e">
        <f>IF(#REF!=2,OR(E171="1",E171="3",F171=TRUE),OR(E171="2",E171="3"))</f>
        <v>#REF!</v>
      </c>
      <c r="I171" t="e">
        <f>AND(G171=TRUE,#REF!=1)</f>
        <v>#REF!</v>
      </c>
      <c r="J171" t="e">
        <f>AND(H171=TRUE,#REF!=2)</f>
        <v>#REF!</v>
      </c>
      <c r="K171" t="e">
        <f>IF(#REF!=1,K170+1,0)</f>
        <v>#REF!</v>
      </c>
      <c r="L171" t="e">
        <f>IF(#REF!=2,L170+1,0)</f>
        <v>#REF!</v>
      </c>
      <c r="M171" t="e">
        <f>#REF!</f>
        <v>#REF!</v>
      </c>
      <c r="N171" t="e">
        <f>COUNTIFS(#REF!, "=1")</f>
        <v>#REF!</v>
      </c>
      <c r="O171" t="e">
        <f>COUNTIFS(#REF!, "=2")</f>
        <v>#REF!</v>
      </c>
      <c r="P171" t="e">
        <f>#REF!</f>
        <v>#REF!</v>
      </c>
    </row>
    <row r="172" spans="1:16" x14ac:dyDescent="0.25">
      <c r="A172" t="e">
        <f>AND(#REF!=2, COUNTIF(Tables!L$1:L$4,#REF!))</f>
        <v>#REF!</v>
      </c>
      <c r="B172" t="e">
        <f>AND(#REF!=1, COUNTIF(Tables!L$1:L$4,#REF!))</f>
        <v>#REF!</v>
      </c>
      <c r="C172" t="e">
        <f>AND(A172,#REF!= 0)</f>
        <v>#REF!</v>
      </c>
      <c r="D172" t="e">
        <f>AND(B172,#REF!= 0)</f>
        <v>#REF!</v>
      </c>
      <c r="E172" t="e">
        <f>isNetPoint(#REF!)</f>
        <v>#VALUE!</v>
      </c>
      <c r="F172" t="e">
        <f>OR(#REF!=1,#REF!= 1)</f>
        <v>#REF!</v>
      </c>
      <c r="G172" t="e">
        <f>IF(#REF!=1,OR(E172="1",E172="3",F172=TRUE),OR(E172="2",E172="3"))</f>
        <v>#REF!</v>
      </c>
      <c r="H172" t="e">
        <f>IF(#REF!=2,OR(E172="1",E172="3",F172=TRUE),OR(E172="2",E172="3"))</f>
        <v>#REF!</v>
      </c>
      <c r="I172" t="e">
        <f>AND(G172=TRUE,#REF!=1)</f>
        <v>#REF!</v>
      </c>
      <c r="J172" t="e">
        <f>AND(H172=TRUE,#REF!=2)</f>
        <v>#REF!</v>
      </c>
      <c r="K172" t="e">
        <f>IF(#REF!=1,K171+1,0)</f>
        <v>#REF!</v>
      </c>
      <c r="L172" t="e">
        <f>IF(#REF!=2,L171+1,0)</f>
        <v>#REF!</v>
      </c>
      <c r="M172" t="e">
        <f>#REF!</f>
        <v>#REF!</v>
      </c>
      <c r="N172" t="e">
        <f>COUNTIFS(#REF!, "=1")</f>
        <v>#REF!</v>
      </c>
      <c r="O172" t="e">
        <f>COUNTIFS(#REF!, "=2")</f>
        <v>#REF!</v>
      </c>
      <c r="P172" t="e">
        <f>#REF!</f>
        <v>#REF!</v>
      </c>
    </row>
    <row r="173" spans="1:16" x14ac:dyDescent="0.25">
      <c r="A173" t="e">
        <f>AND(#REF!=2, COUNTIF(Tables!L$1:L$4,#REF!))</f>
        <v>#REF!</v>
      </c>
      <c r="B173" t="e">
        <f>AND(#REF!=1, COUNTIF(Tables!L$1:L$4,#REF!))</f>
        <v>#REF!</v>
      </c>
      <c r="C173" t="e">
        <f>AND(A173,#REF!= 0)</f>
        <v>#REF!</v>
      </c>
      <c r="D173" t="e">
        <f>AND(B173,#REF!= 0)</f>
        <v>#REF!</v>
      </c>
      <c r="E173" t="e">
        <f>isNetPoint(#REF!)</f>
        <v>#VALUE!</v>
      </c>
      <c r="F173" t="e">
        <f>OR(#REF!=1,#REF!= 1)</f>
        <v>#REF!</v>
      </c>
      <c r="G173" t="e">
        <f>IF(#REF!=1,OR(E173="1",E173="3",F173=TRUE),OR(E173="2",E173="3"))</f>
        <v>#REF!</v>
      </c>
      <c r="H173" t="e">
        <f>IF(#REF!=2,OR(E173="1",E173="3",F173=TRUE),OR(E173="2",E173="3"))</f>
        <v>#REF!</v>
      </c>
      <c r="I173" t="e">
        <f>AND(G173=TRUE,#REF!=1)</f>
        <v>#REF!</v>
      </c>
      <c r="J173" t="e">
        <f>AND(H173=TRUE,#REF!=2)</f>
        <v>#REF!</v>
      </c>
      <c r="K173" t="e">
        <f>IF(#REF!=1,K172+1,0)</f>
        <v>#REF!</v>
      </c>
      <c r="L173" t="e">
        <f>IF(#REF!=2,L172+1,0)</f>
        <v>#REF!</v>
      </c>
      <c r="M173" t="e">
        <f>#REF!</f>
        <v>#REF!</v>
      </c>
      <c r="N173" t="e">
        <f>COUNTIFS(#REF!, "=1")</f>
        <v>#REF!</v>
      </c>
      <c r="O173" t="e">
        <f>COUNTIFS(#REF!, "=2")</f>
        <v>#REF!</v>
      </c>
      <c r="P173" t="e">
        <f>#REF!</f>
        <v>#REF!</v>
      </c>
    </row>
    <row r="174" spans="1:16" x14ac:dyDescent="0.25">
      <c r="A174" t="e">
        <f>AND(#REF!=2, COUNTIF(Tables!L$1:L$4,#REF!))</f>
        <v>#REF!</v>
      </c>
      <c r="B174" t="e">
        <f>AND(#REF!=1, COUNTIF(Tables!L$1:L$4,#REF!))</f>
        <v>#REF!</v>
      </c>
      <c r="C174" t="e">
        <f>AND(A174,#REF!= 0)</f>
        <v>#REF!</v>
      </c>
      <c r="D174" t="e">
        <f>AND(B174,#REF!= 0)</f>
        <v>#REF!</v>
      </c>
      <c r="E174" t="e">
        <f>isNetPoint(#REF!)</f>
        <v>#VALUE!</v>
      </c>
      <c r="F174" t="e">
        <f>OR(#REF!=1,#REF!= 1)</f>
        <v>#REF!</v>
      </c>
      <c r="G174" t="e">
        <f>IF(#REF!=1,OR(E174="1",E174="3",F174=TRUE),OR(E174="2",E174="3"))</f>
        <v>#REF!</v>
      </c>
      <c r="H174" t="e">
        <f>IF(#REF!=2,OR(E174="1",E174="3",F174=TRUE),OR(E174="2",E174="3"))</f>
        <v>#REF!</v>
      </c>
      <c r="I174" t="e">
        <f>AND(G174=TRUE,#REF!=1)</f>
        <v>#REF!</v>
      </c>
      <c r="J174" t="e">
        <f>AND(H174=TRUE,#REF!=2)</f>
        <v>#REF!</v>
      </c>
      <c r="K174" t="e">
        <f>IF(#REF!=1,K173+1,0)</f>
        <v>#REF!</v>
      </c>
      <c r="L174" t="e">
        <f>IF(#REF!=2,L173+1,0)</f>
        <v>#REF!</v>
      </c>
      <c r="M174" t="e">
        <f>#REF!</f>
        <v>#REF!</v>
      </c>
      <c r="N174" t="e">
        <f>COUNTIFS(#REF!, "=1")</f>
        <v>#REF!</v>
      </c>
      <c r="O174" t="e">
        <f>COUNTIFS(#REF!, "=2")</f>
        <v>#REF!</v>
      </c>
      <c r="P174" t="e">
        <f>#REF!</f>
        <v>#REF!</v>
      </c>
    </row>
    <row r="175" spans="1:16" x14ac:dyDescent="0.25">
      <c r="A175" t="e">
        <f>AND(#REF!=2, COUNTIF(Tables!L$1:L$4,#REF!))</f>
        <v>#REF!</v>
      </c>
      <c r="B175" t="e">
        <f>AND(#REF!=1, COUNTIF(Tables!L$1:L$4,#REF!))</f>
        <v>#REF!</v>
      </c>
      <c r="C175" t="e">
        <f>AND(A175,#REF!= 0)</f>
        <v>#REF!</v>
      </c>
      <c r="D175" t="e">
        <f>AND(B175,#REF!= 0)</f>
        <v>#REF!</v>
      </c>
      <c r="E175" t="e">
        <f>isNetPoint(#REF!)</f>
        <v>#VALUE!</v>
      </c>
      <c r="F175" t="e">
        <f>OR(#REF!=1,#REF!= 1)</f>
        <v>#REF!</v>
      </c>
      <c r="G175" t="e">
        <f>IF(#REF!=1,OR(E175="1",E175="3",F175=TRUE),OR(E175="2",E175="3"))</f>
        <v>#REF!</v>
      </c>
      <c r="H175" t="e">
        <f>IF(#REF!=2,OR(E175="1",E175="3",F175=TRUE),OR(E175="2",E175="3"))</f>
        <v>#REF!</v>
      </c>
      <c r="I175" t="e">
        <f>AND(G175=TRUE,#REF!=1)</f>
        <v>#REF!</v>
      </c>
      <c r="J175" t="e">
        <f>AND(H175=TRUE,#REF!=2)</f>
        <v>#REF!</v>
      </c>
      <c r="K175" t="e">
        <f>IF(#REF!=1,K174+1,0)</f>
        <v>#REF!</v>
      </c>
      <c r="L175" t="e">
        <f>IF(#REF!=2,L174+1,0)</f>
        <v>#REF!</v>
      </c>
      <c r="M175" t="e">
        <f>#REF!</f>
        <v>#REF!</v>
      </c>
      <c r="N175" t="e">
        <f>COUNTIFS(#REF!, "=1")</f>
        <v>#REF!</v>
      </c>
      <c r="O175" t="e">
        <f>COUNTIFS(#REF!, "=2")</f>
        <v>#REF!</v>
      </c>
      <c r="P175" t="e">
        <f>#REF!</f>
        <v>#REF!</v>
      </c>
    </row>
    <row r="176" spans="1:16" x14ac:dyDescent="0.25">
      <c r="A176" t="e">
        <f>AND(#REF!=2, COUNTIF(Tables!L$1:L$4,#REF!))</f>
        <v>#REF!</v>
      </c>
      <c r="B176" t="e">
        <f>AND(#REF!=1, COUNTIF(Tables!L$1:L$4,#REF!))</f>
        <v>#REF!</v>
      </c>
      <c r="C176" t="e">
        <f>AND(A176,#REF!= 0)</f>
        <v>#REF!</v>
      </c>
      <c r="D176" t="e">
        <f>AND(B176,#REF!= 0)</f>
        <v>#REF!</v>
      </c>
      <c r="E176" t="e">
        <f>isNetPoint(#REF!)</f>
        <v>#VALUE!</v>
      </c>
      <c r="F176" t="e">
        <f>OR(#REF!=1,#REF!= 1)</f>
        <v>#REF!</v>
      </c>
      <c r="G176" t="e">
        <f>IF(#REF!=1,OR(E176="1",E176="3",F176=TRUE),OR(E176="2",E176="3"))</f>
        <v>#REF!</v>
      </c>
      <c r="H176" t="e">
        <f>IF(#REF!=2,OR(E176="1",E176="3",F176=TRUE),OR(E176="2",E176="3"))</f>
        <v>#REF!</v>
      </c>
      <c r="I176" t="e">
        <f>AND(G176=TRUE,#REF!=1)</f>
        <v>#REF!</v>
      </c>
      <c r="J176" t="e">
        <f>AND(H176=TRUE,#REF!=2)</f>
        <v>#REF!</v>
      </c>
      <c r="K176" t="e">
        <f>IF(#REF!=1,K175+1,0)</f>
        <v>#REF!</v>
      </c>
      <c r="L176" t="e">
        <f>IF(#REF!=2,L175+1,0)</f>
        <v>#REF!</v>
      </c>
      <c r="M176" t="e">
        <f>#REF!</f>
        <v>#REF!</v>
      </c>
      <c r="N176" t="e">
        <f>COUNTIFS(#REF!, "=1")</f>
        <v>#REF!</v>
      </c>
      <c r="O176" t="e">
        <f>COUNTIFS(#REF!, "=2")</f>
        <v>#REF!</v>
      </c>
      <c r="P176" t="e">
        <f>#REF!</f>
        <v>#REF!</v>
      </c>
    </row>
    <row r="177" spans="1:16" x14ac:dyDescent="0.25">
      <c r="A177" t="e">
        <f>AND(#REF!=2, COUNTIF(Tables!L$1:L$4,#REF!))</f>
        <v>#REF!</v>
      </c>
      <c r="B177" t="e">
        <f>AND(#REF!=1, COUNTIF(Tables!L$1:L$4,#REF!))</f>
        <v>#REF!</v>
      </c>
      <c r="C177" t="e">
        <f>AND(A177,#REF!= 0)</f>
        <v>#REF!</v>
      </c>
      <c r="D177" t="e">
        <f>AND(B177,#REF!= 0)</f>
        <v>#REF!</v>
      </c>
      <c r="E177" t="e">
        <f>isNetPoint(#REF!)</f>
        <v>#VALUE!</v>
      </c>
      <c r="F177" t="e">
        <f>OR(#REF!=1,#REF!= 1)</f>
        <v>#REF!</v>
      </c>
      <c r="G177" t="e">
        <f>IF(#REF!=1,OR(E177="1",E177="3",F177=TRUE),OR(E177="2",E177="3"))</f>
        <v>#REF!</v>
      </c>
      <c r="H177" t="e">
        <f>IF(#REF!=2,OR(E177="1",E177="3",F177=TRUE),OR(E177="2",E177="3"))</f>
        <v>#REF!</v>
      </c>
      <c r="I177" t="e">
        <f>AND(G177=TRUE,#REF!=1)</f>
        <v>#REF!</v>
      </c>
      <c r="J177" t="e">
        <f>AND(H177=TRUE,#REF!=2)</f>
        <v>#REF!</v>
      </c>
      <c r="K177" t="e">
        <f>IF(#REF!=1,K176+1,0)</f>
        <v>#REF!</v>
      </c>
      <c r="L177" t="e">
        <f>IF(#REF!=2,L176+1,0)</f>
        <v>#REF!</v>
      </c>
      <c r="M177" t="e">
        <f>#REF!</f>
        <v>#REF!</v>
      </c>
      <c r="N177" t="e">
        <f>COUNTIFS(#REF!, "=1")</f>
        <v>#REF!</v>
      </c>
      <c r="O177" t="e">
        <f>COUNTIFS(#REF!, "=2")</f>
        <v>#REF!</v>
      </c>
      <c r="P177" t="e">
        <f>#REF!</f>
        <v>#REF!</v>
      </c>
    </row>
    <row r="178" spans="1:16" x14ac:dyDescent="0.25">
      <c r="A178" t="e">
        <f>AND(#REF!=2, COUNTIF(Tables!L$1:L$4,#REF!))</f>
        <v>#REF!</v>
      </c>
      <c r="B178" t="e">
        <f>AND(#REF!=1, COUNTIF(Tables!L$1:L$4,#REF!))</f>
        <v>#REF!</v>
      </c>
      <c r="C178" t="e">
        <f>AND(A178,#REF!= 0)</f>
        <v>#REF!</v>
      </c>
      <c r="D178" t="e">
        <f>AND(B178,#REF!= 0)</f>
        <v>#REF!</v>
      </c>
      <c r="E178" t="e">
        <f>isNetPoint(#REF!)</f>
        <v>#VALUE!</v>
      </c>
      <c r="F178" t="e">
        <f>OR(#REF!=1,#REF!= 1)</f>
        <v>#REF!</v>
      </c>
      <c r="G178" t="e">
        <f>IF(#REF!=1,OR(E178="1",E178="3",F178=TRUE),OR(E178="2",E178="3"))</f>
        <v>#REF!</v>
      </c>
      <c r="H178" t="e">
        <f>IF(#REF!=2,OR(E178="1",E178="3",F178=TRUE),OR(E178="2",E178="3"))</f>
        <v>#REF!</v>
      </c>
      <c r="I178" t="e">
        <f>AND(G178=TRUE,#REF!=1)</f>
        <v>#REF!</v>
      </c>
      <c r="J178" t="e">
        <f>AND(H178=TRUE,#REF!=2)</f>
        <v>#REF!</v>
      </c>
      <c r="K178" t="e">
        <f>IF(#REF!=1,K177+1,0)</f>
        <v>#REF!</v>
      </c>
      <c r="L178" t="e">
        <f>IF(#REF!=2,L177+1,0)</f>
        <v>#REF!</v>
      </c>
      <c r="M178" t="e">
        <f>#REF!</f>
        <v>#REF!</v>
      </c>
      <c r="N178" t="e">
        <f>COUNTIFS(#REF!, "=1")</f>
        <v>#REF!</v>
      </c>
      <c r="O178" t="e">
        <f>COUNTIFS(#REF!, "=2")</f>
        <v>#REF!</v>
      </c>
      <c r="P178" t="e">
        <f>#REF!</f>
        <v>#REF!</v>
      </c>
    </row>
    <row r="179" spans="1:16" x14ac:dyDescent="0.25">
      <c r="A179" t="e">
        <f>AND(#REF!=2, COUNTIF(Tables!L$1:L$4,#REF!))</f>
        <v>#REF!</v>
      </c>
      <c r="B179" t="e">
        <f>AND(#REF!=1, COUNTIF(Tables!L$1:L$4,#REF!))</f>
        <v>#REF!</v>
      </c>
      <c r="C179" t="e">
        <f>AND(A179,#REF!= 0)</f>
        <v>#REF!</v>
      </c>
      <c r="D179" t="e">
        <f>AND(B179,#REF!= 0)</f>
        <v>#REF!</v>
      </c>
      <c r="E179" t="e">
        <f>isNetPoint(#REF!)</f>
        <v>#VALUE!</v>
      </c>
      <c r="F179" t="e">
        <f>OR(#REF!=1,#REF!= 1)</f>
        <v>#REF!</v>
      </c>
      <c r="G179" t="e">
        <f>IF(#REF!=1,OR(E179="1",E179="3",F179=TRUE),OR(E179="2",E179="3"))</f>
        <v>#REF!</v>
      </c>
      <c r="H179" t="e">
        <f>IF(#REF!=2,OR(E179="1",E179="3",F179=TRUE),OR(E179="2",E179="3"))</f>
        <v>#REF!</v>
      </c>
      <c r="I179" t="e">
        <f>AND(G179=TRUE,#REF!=1)</f>
        <v>#REF!</v>
      </c>
      <c r="J179" t="e">
        <f>AND(H179=TRUE,#REF!=2)</f>
        <v>#REF!</v>
      </c>
      <c r="K179" t="e">
        <f>IF(#REF!=1,K178+1,0)</f>
        <v>#REF!</v>
      </c>
      <c r="L179" t="e">
        <f>IF(#REF!=2,L178+1,0)</f>
        <v>#REF!</v>
      </c>
      <c r="M179" t="e">
        <f>#REF!</f>
        <v>#REF!</v>
      </c>
      <c r="N179" t="e">
        <f>COUNTIFS(#REF!, "=1")</f>
        <v>#REF!</v>
      </c>
      <c r="O179" t="e">
        <f>COUNTIFS(#REF!, "=2")</f>
        <v>#REF!</v>
      </c>
      <c r="P179" t="e">
        <f>#REF!</f>
        <v>#REF!</v>
      </c>
    </row>
    <row r="180" spans="1:16" x14ac:dyDescent="0.25">
      <c r="A180" t="e">
        <f>AND(#REF!=2, COUNTIF(Tables!L$1:L$4,#REF!))</f>
        <v>#REF!</v>
      </c>
      <c r="B180" t="e">
        <f>AND(#REF!=1, COUNTIF(Tables!L$1:L$4,#REF!))</f>
        <v>#REF!</v>
      </c>
      <c r="C180" t="e">
        <f>AND(A180,#REF!= 0)</f>
        <v>#REF!</v>
      </c>
      <c r="D180" t="e">
        <f>AND(B180,#REF!= 0)</f>
        <v>#REF!</v>
      </c>
      <c r="E180" t="e">
        <f>isNetPoint(#REF!)</f>
        <v>#VALUE!</v>
      </c>
      <c r="F180" t="e">
        <f>OR(#REF!=1,#REF!= 1)</f>
        <v>#REF!</v>
      </c>
      <c r="G180" t="e">
        <f>IF(#REF!=1,OR(E180="1",E180="3",F180=TRUE),OR(E180="2",E180="3"))</f>
        <v>#REF!</v>
      </c>
      <c r="H180" t="e">
        <f>IF(#REF!=2,OR(E180="1",E180="3",F180=TRUE),OR(E180="2",E180="3"))</f>
        <v>#REF!</v>
      </c>
      <c r="I180" t="e">
        <f>AND(G180=TRUE,#REF!=1)</f>
        <v>#REF!</v>
      </c>
      <c r="J180" t="e">
        <f>AND(H180=TRUE,#REF!=2)</f>
        <v>#REF!</v>
      </c>
      <c r="K180" t="e">
        <f>IF(#REF!=1,K179+1,0)</f>
        <v>#REF!</v>
      </c>
      <c r="L180" t="e">
        <f>IF(#REF!=2,L179+1,0)</f>
        <v>#REF!</v>
      </c>
      <c r="M180" t="e">
        <f>#REF!</f>
        <v>#REF!</v>
      </c>
      <c r="N180" t="e">
        <f>COUNTIFS(#REF!, "=1")</f>
        <v>#REF!</v>
      </c>
      <c r="O180" t="e">
        <f>COUNTIFS(#REF!, "=2")</f>
        <v>#REF!</v>
      </c>
      <c r="P180" t="e">
        <f>#REF!</f>
        <v>#REF!</v>
      </c>
    </row>
    <row r="181" spans="1:16" x14ac:dyDescent="0.25">
      <c r="A181" t="e">
        <f>AND(#REF!=2, COUNTIF(Tables!L$1:L$4,#REF!))</f>
        <v>#REF!</v>
      </c>
      <c r="B181" t="e">
        <f>AND(#REF!=1, COUNTIF(Tables!L$1:L$4,#REF!))</f>
        <v>#REF!</v>
      </c>
      <c r="C181" t="e">
        <f>AND(A181,#REF!= 0)</f>
        <v>#REF!</v>
      </c>
      <c r="D181" t="e">
        <f>AND(B181,#REF!= 0)</f>
        <v>#REF!</v>
      </c>
      <c r="E181" t="e">
        <f>isNetPoint(#REF!)</f>
        <v>#VALUE!</v>
      </c>
      <c r="F181" t="e">
        <f>OR(#REF!=1,#REF!= 1)</f>
        <v>#REF!</v>
      </c>
      <c r="G181" t="e">
        <f>IF(#REF!=1,OR(E181="1",E181="3",F181=TRUE),OR(E181="2",E181="3"))</f>
        <v>#REF!</v>
      </c>
      <c r="H181" t="e">
        <f>IF(#REF!=2,OR(E181="1",E181="3",F181=TRUE),OR(E181="2",E181="3"))</f>
        <v>#REF!</v>
      </c>
      <c r="I181" t="e">
        <f>AND(G181=TRUE,#REF!=1)</f>
        <v>#REF!</v>
      </c>
      <c r="J181" t="e">
        <f>AND(H181=TRUE,#REF!=2)</f>
        <v>#REF!</v>
      </c>
      <c r="K181" t="e">
        <f>IF(#REF!=1,K180+1,0)</f>
        <v>#REF!</v>
      </c>
      <c r="L181" t="e">
        <f>IF(#REF!=2,L180+1,0)</f>
        <v>#REF!</v>
      </c>
      <c r="M181" t="e">
        <f>#REF!</f>
        <v>#REF!</v>
      </c>
      <c r="N181" t="e">
        <f>COUNTIFS(#REF!, "=1")</f>
        <v>#REF!</v>
      </c>
      <c r="O181" t="e">
        <f>COUNTIFS(#REF!, "=2")</f>
        <v>#REF!</v>
      </c>
      <c r="P181" t="e">
        <f>#REF!</f>
        <v>#REF!</v>
      </c>
    </row>
    <row r="182" spans="1:16" x14ac:dyDescent="0.25">
      <c r="A182" t="e">
        <f>AND(#REF!=2, COUNTIF(Tables!L$1:L$4,#REF!))</f>
        <v>#REF!</v>
      </c>
      <c r="B182" t="e">
        <f>AND(#REF!=1, COUNTIF(Tables!L$1:L$4,#REF!))</f>
        <v>#REF!</v>
      </c>
      <c r="C182" t="e">
        <f>AND(A182,#REF!= 0)</f>
        <v>#REF!</v>
      </c>
      <c r="D182" t="e">
        <f>AND(B182,#REF!= 0)</f>
        <v>#REF!</v>
      </c>
      <c r="E182" t="e">
        <f>isNetPoint(#REF!)</f>
        <v>#VALUE!</v>
      </c>
      <c r="F182" t="e">
        <f>OR(#REF!=1,#REF!= 1)</f>
        <v>#REF!</v>
      </c>
      <c r="G182" t="e">
        <f>IF(#REF!=1,OR(E182="1",E182="3",F182=TRUE),OR(E182="2",E182="3"))</f>
        <v>#REF!</v>
      </c>
      <c r="H182" t="e">
        <f>IF(#REF!=2,OR(E182="1",E182="3",F182=TRUE),OR(E182="2",E182="3"))</f>
        <v>#REF!</v>
      </c>
      <c r="I182" t="e">
        <f>AND(G182=TRUE,#REF!=1)</f>
        <v>#REF!</v>
      </c>
      <c r="J182" t="e">
        <f>AND(H182=TRUE,#REF!=2)</f>
        <v>#REF!</v>
      </c>
      <c r="K182" t="e">
        <f>IF(#REF!=1,K181+1,0)</f>
        <v>#REF!</v>
      </c>
      <c r="L182" t="e">
        <f>IF(#REF!=2,L181+1,0)</f>
        <v>#REF!</v>
      </c>
      <c r="M182" t="e">
        <f>#REF!</f>
        <v>#REF!</v>
      </c>
      <c r="N182" t="e">
        <f>COUNTIFS(#REF!, "=1")</f>
        <v>#REF!</v>
      </c>
      <c r="O182" t="e">
        <f>COUNTIFS(#REF!, "=2")</f>
        <v>#REF!</v>
      </c>
      <c r="P182" t="e">
        <f>#REF!</f>
        <v>#REF!</v>
      </c>
    </row>
    <row r="183" spans="1:16" x14ac:dyDescent="0.25">
      <c r="A183" t="e">
        <f>AND(#REF!=2, COUNTIF(Tables!L$1:L$4,#REF!))</f>
        <v>#REF!</v>
      </c>
      <c r="B183" t="e">
        <f>AND(#REF!=1, COUNTIF(Tables!L$1:L$4,#REF!))</f>
        <v>#REF!</v>
      </c>
      <c r="C183" t="e">
        <f>AND(A183,#REF!= 0)</f>
        <v>#REF!</v>
      </c>
      <c r="D183" t="e">
        <f>AND(B183,#REF!= 0)</f>
        <v>#REF!</v>
      </c>
      <c r="E183" t="e">
        <f>isNetPoint(#REF!)</f>
        <v>#VALUE!</v>
      </c>
      <c r="F183" t="e">
        <f>OR(#REF!=1,#REF!= 1)</f>
        <v>#REF!</v>
      </c>
      <c r="G183" t="e">
        <f>IF(#REF!=1,OR(E183="1",E183="3",F183=TRUE),OR(E183="2",E183="3"))</f>
        <v>#REF!</v>
      </c>
      <c r="H183" t="e">
        <f>IF(#REF!=2,OR(E183="1",E183="3",F183=TRUE),OR(E183="2",E183="3"))</f>
        <v>#REF!</v>
      </c>
      <c r="I183" t="e">
        <f>AND(G183=TRUE,#REF!=1)</f>
        <v>#REF!</v>
      </c>
      <c r="J183" t="e">
        <f>AND(H183=TRUE,#REF!=2)</f>
        <v>#REF!</v>
      </c>
      <c r="K183" t="e">
        <f>IF(#REF!=1,K182+1,0)</f>
        <v>#REF!</v>
      </c>
      <c r="L183" t="e">
        <f>IF(#REF!=2,L182+1,0)</f>
        <v>#REF!</v>
      </c>
      <c r="M183" t="e">
        <f>#REF!</f>
        <v>#REF!</v>
      </c>
      <c r="N183" t="e">
        <f>COUNTIFS(#REF!, "=1")</f>
        <v>#REF!</v>
      </c>
      <c r="O183" t="e">
        <f>COUNTIFS(#REF!, "=2")</f>
        <v>#REF!</v>
      </c>
      <c r="P183" t="e">
        <f>#REF!</f>
        <v>#REF!</v>
      </c>
    </row>
    <row r="184" spans="1:16" x14ac:dyDescent="0.25">
      <c r="A184" t="e">
        <f>AND(#REF!=2, COUNTIF(Tables!L$1:L$4,#REF!))</f>
        <v>#REF!</v>
      </c>
      <c r="B184" t="e">
        <f>AND(#REF!=1, COUNTIF(Tables!L$1:L$4,#REF!))</f>
        <v>#REF!</v>
      </c>
      <c r="C184" t="e">
        <f>AND(A184,#REF!= 0)</f>
        <v>#REF!</v>
      </c>
      <c r="D184" t="e">
        <f>AND(B184,#REF!= 0)</f>
        <v>#REF!</v>
      </c>
      <c r="E184" t="e">
        <f>isNetPoint(#REF!)</f>
        <v>#VALUE!</v>
      </c>
      <c r="F184" t="e">
        <f>OR(#REF!=1,#REF!= 1)</f>
        <v>#REF!</v>
      </c>
      <c r="G184" t="e">
        <f>IF(#REF!=1,OR(E184="1",E184="3",F184=TRUE),OR(E184="2",E184="3"))</f>
        <v>#REF!</v>
      </c>
      <c r="H184" t="e">
        <f>IF(#REF!=2,OR(E184="1",E184="3",F184=TRUE),OR(E184="2",E184="3"))</f>
        <v>#REF!</v>
      </c>
      <c r="I184" t="e">
        <f>AND(G184=TRUE,#REF!=1)</f>
        <v>#REF!</v>
      </c>
      <c r="J184" t="e">
        <f>AND(H184=TRUE,#REF!=2)</f>
        <v>#REF!</v>
      </c>
      <c r="K184" t="e">
        <f>IF(#REF!=1,K183+1,0)</f>
        <v>#REF!</v>
      </c>
      <c r="L184" t="e">
        <f>IF(#REF!=2,L183+1,0)</f>
        <v>#REF!</v>
      </c>
      <c r="M184" t="e">
        <f>#REF!</f>
        <v>#REF!</v>
      </c>
      <c r="N184" t="e">
        <f>COUNTIFS(#REF!, "=1")</f>
        <v>#REF!</v>
      </c>
      <c r="O184" t="e">
        <f>COUNTIFS(#REF!, "=2")</f>
        <v>#REF!</v>
      </c>
      <c r="P184" t="e">
        <f>#REF!</f>
        <v>#REF!</v>
      </c>
    </row>
    <row r="185" spans="1:16" x14ac:dyDescent="0.25">
      <c r="A185" t="e">
        <f>AND(#REF!=2, COUNTIF(Tables!L$1:L$4,#REF!))</f>
        <v>#REF!</v>
      </c>
      <c r="B185" t="e">
        <f>AND(#REF!=1, COUNTIF(Tables!L$1:L$4,#REF!))</f>
        <v>#REF!</v>
      </c>
      <c r="C185" t="e">
        <f>AND(A185,#REF!= 0)</f>
        <v>#REF!</v>
      </c>
      <c r="D185" t="e">
        <f>AND(B185,#REF!= 0)</f>
        <v>#REF!</v>
      </c>
      <c r="E185" t="e">
        <f>isNetPoint(#REF!)</f>
        <v>#VALUE!</v>
      </c>
      <c r="F185" t="e">
        <f>OR(#REF!=1,#REF!= 1)</f>
        <v>#REF!</v>
      </c>
      <c r="G185" t="e">
        <f>IF(#REF!=1,OR(E185="1",E185="3",F185=TRUE),OR(E185="2",E185="3"))</f>
        <v>#REF!</v>
      </c>
      <c r="H185" t="e">
        <f>IF(#REF!=2,OR(E185="1",E185="3",F185=TRUE),OR(E185="2",E185="3"))</f>
        <v>#REF!</v>
      </c>
      <c r="I185" t="e">
        <f>AND(G185=TRUE,#REF!=1)</f>
        <v>#REF!</v>
      </c>
      <c r="J185" t="e">
        <f>AND(H185=TRUE,#REF!=2)</f>
        <v>#REF!</v>
      </c>
      <c r="K185" t="e">
        <f>IF(#REF!=1,K184+1,0)</f>
        <v>#REF!</v>
      </c>
      <c r="L185" t="e">
        <f>IF(#REF!=2,L184+1,0)</f>
        <v>#REF!</v>
      </c>
      <c r="M185" t="e">
        <f>#REF!</f>
        <v>#REF!</v>
      </c>
      <c r="N185" t="e">
        <f>COUNTIFS(#REF!, "=1")</f>
        <v>#REF!</v>
      </c>
      <c r="O185" t="e">
        <f>COUNTIFS(#REF!, "=2")</f>
        <v>#REF!</v>
      </c>
      <c r="P185" t="e">
        <f>#REF!</f>
        <v>#REF!</v>
      </c>
    </row>
    <row r="186" spans="1:16" x14ac:dyDescent="0.25">
      <c r="A186" t="e">
        <f>AND(#REF!=2, COUNTIF(Tables!L$1:L$4,#REF!))</f>
        <v>#REF!</v>
      </c>
      <c r="B186" t="e">
        <f>AND(#REF!=1, COUNTIF(Tables!L$1:L$4,#REF!))</f>
        <v>#REF!</v>
      </c>
      <c r="C186" t="e">
        <f>AND(A186,#REF!= 0)</f>
        <v>#REF!</v>
      </c>
      <c r="D186" t="e">
        <f>AND(B186,#REF!= 0)</f>
        <v>#REF!</v>
      </c>
      <c r="E186" t="e">
        <f>isNetPoint(#REF!)</f>
        <v>#VALUE!</v>
      </c>
      <c r="F186" t="e">
        <f>OR(#REF!=1,#REF!= 1)</f>
        <v>#REF!</v>
      </c>
      <c r="G186" t="e">
        <f>IF(#REF!=1,OR(E186="1",E186="3",F186=TRUE),OR(E186="2",E186="3"))</f>
        <v>#REF!</v>
      </c>
      <c r="H186" t="e">
        <f>IF(#REF!=2,OR(E186="1",E186="3",F186=TRUE),OR(E186="2",E186="3"))</f>
        <v>#REF!</v>
      </c>
      <c r="I186" t="e">
        <f>AND(G186=TRUE,#REF!=1)</f>
        <v>#REF!</v>
      </c>
      <c r="J186" t="e">
        <f>AND(H186=TRUE,#REF!=2)</f>
        <v>#REF!</v>
      </c>
      <c r="K186" t="e">
        <f>IF(#REF!=1,K185+1,0)</f>
        <v>#REF!</v>
      </c>
      <c r="L186" t="e">
        <f>IF(#REF!=2,L185+1,0)</f>
        <v>#REF!</v>
      </c>
      <c r="M186" t="e">
        <f>#REF!</f>
        <v>#REF!</v>
      </c>
      <c r="N186" t="e">
        <f>COUNTIFS(#REF!, "=1")</f>
        <v>#REF!</v>
      </c>
      <c r="O186" t="e">
        <f>COUNTIFS(#REF!, "=2")</f>
        <v>#REF!</v>
      </c>
      <c r="P186" t="e">
        <f>#REF!</f>
        <v>#REF!</v>
      </c>
    </row>
    <row r="187" spans="1:16" x14ac:dyDescent="0.25">
      <c r="A187" t="e">
        <f>AND(#REF!=2, COUNTIF(Tables!L$1:L$4,#REF!))</f>
        <v>#REF!</v>
      </c>
      <c r="B187" t="e">
        <f>AND(#REF!=1, COUNTIF(Tables!L$1:L$4,#REF!))</f>
        <v>#REF!</v>
      </c>
      <c r="C187" t="e">
        <f>AND(A187,#REF!= 0)</f>
        <v>#REF!</v>
      </c>
      <c r="D187" t="e">
        <f>AND(B187,#REF!= 0)</f>
        <v>#REF!</v>
      </c>
      <c r="E187" t="e">
        <f>isNetPoint(#REF!)</f>
        <v>#VALUE!</v>
      </c>
      <c r="F187" t="e">
        <f>OR(#REF!=1,#REF!= 1)</f>
        <v>#REF!</v>
      </c>
      <c r="G187" t="e">
        <f>IF(#REF!=1,OR(E187="1",E187="3",F187=TRUE),OR(E187="2",E187="3"))</f>
        <v>#REF!</v>
      </c>
      <c r="H187" t="e">
        <f>IF(#REF!=2,OR(E187="1",E187="3",F187=TRUE),OR(E187="2",E187="3"))</f>
        <v>#REF!</v>
      </c>
      <c r="I187" t="e">
        <f>AND(G187=TRUE,#REF!=1)</f>
        <v>#REF!</v>
      </c>
      <c r="J187" t="e">
        <f>AND(H187=TRUE,#REF!=2)</f>
        <v>#REF!</v>
      </c>
      <c r="K187" t="e">
        <f>IF(#REF!=1,K186+1,0)</f>
        <v>#REF!</v>
      </c>
      <c r="L187" t="e">
        <f>IF(#REF!=2,L186+1,0)</f>
        <v>#REF!</v>
      </c>
      <c r="M187" t="e">
        <f>#REF!</f>
        <v>#REF!</v>
      </c>
      <c r="N187" t="e">
        <f>COUNTIFS(#REF!, "=1")</f>
        <v>#REF!</v>
      </c>
      <c r="O187" t="e">
        <f>COUNTIFS(#REF!, "=2")</f>
        <v>#REF!</v>
      </c>
      <c r="P187" t="e">
        <f>#REF!</f>
        <v>#REF!</v>
      </c>
    </row>
    <row r="188" spans="1:16" x14ac:dyDescent="0.25">
      <c r="A188" t="e">
        <f>AND(#REF!=2, COUNTIF(Tables!L$1:L$4,#REF!))</f>
        <v>#REF!</v>
      </c>
      <c r="B188" t="e">
        <f>AND(#REF!=1, COUNTIF(Tables!L$1:L$4,#REF!))</f>
        <v>#REF!</v>
      </c>
      <c r="C188" t="e">
        <f>AND(A188,#REF!= 0)</f>
        <v>#REF!</v>
      </c>
      <c r="D188" t="e">
        <f>AND(B188,#REF!= 0)</f>
        <v>#REF!</v>
      </c>
      <c r="E188" t="e">
        <f>isNetPoint(#REF!)</f>
        <v>#VALUE!</v>
      </c>
      <c r="F188" t="e">
        <f>OR(#REF!=1,#REF!= 1)</f>
        <v>#REF!</v>
      </c>
      <c r="G188" t="e">
        <f>IF(#REF!=1,OR(E188="1",E188="3",F188=TRUE),OR(E188="2",E188="3"))</f>
        <v>#REF!</v>
      </c>
      <c r="H188" t="e">
        <f>IF(#REF!=2,OR(E188="1",E188="3",F188=TRUE),OR(E188="2",E188="3"))</f>
        <v>#REF!</v>
      </c>
      <c r="I188" t="e">
        <f>AND(G188=TRUE,#REF!=1)</f>
        <v>#REF!</v>
      </c>
      <c r="J188" t="e">
        <f>AND(H188=TRUE,#REF!=2)</f>
        <v>#REF!</v>
      </c>
      <c r="K188" t="e">
        <f>IF(#REF!=1,K187+1,0)</f>
        <v>#REF!</v>
      </c>
      <c r="L188" t="e">
        <f>IF(#REF!=2,L187+1,0)</f>
        <v>#REF!</v>
      </c>
      <c r="M188" t="e">
        <f>#REF!</f>
        <v>#REF!</v>
      </c>
      <c r="N188" t="e">
        <f>COUNTIFS(#REF!, "=1")</f>
        <v>#REF!</v>
      </c>
      <c r="O188" t="e">
        <f>COUNTIFS(#REF!, "=2")</f>
        <v>#REF!</v>
      </c>
      <c r="P188" t="e">
        <f>#REF!</f>
        <v>#REF!</v>
      </c>
    </row>
    <row r="189" spans="1:16" x14ac:dyDescent="0.25">
      <c r="A189" t="e">
        <f>AND(#REF!=2, COUNTIF(Tables!L$1:L$4,#REF!))</f>
        <v>#REF!</v>
      </c>
      <c r="B189" t="e">
        <f>AND(#REF!=1, COUNTIF(Tables!L$1:L$4,#REF!))</f>
        <v>#REF!</v>
      </c>
      <c r="C189" t="e">
        <f>AND(A189,#REF!= 0)</f>
        <v>#REF!</v>
      </c>
      <c r="D189" t="e">
        <f>AND(B189,#REF!= 0)</f>
        <v>#REF!</v>
      </c>
      <c r="E189" t="e">
        <f>isNetPoint(#REF!)</f>
        <v>#VALUE!</v>
      </c>
      <c r="F189" t="e">
        <f>OR(#REF!=1,#REF!= 1)</f>
        <v>#REF!</v>
      </c>
      <c r="G189" t="e">
        <f>IF(#REF!=1,OR(E189="1",E189="3",F189=TRUE),OR(E189="2",E189="3"))</f>
        <v>#REF!</v>
      </c>
      <c r="H189" t="e">
        <f>IF(#REF!=2,OR(E189="1",E189="3",F189=TRUE),OR(E189="2",E189="3"))</f>
        <v>#REF!</v>
      </c>
      <c r="I189" t="e">
        <f>AND(G189=TRUE,#REF!=1)</f>
        <v>#REF!</v>
      </c>
      <c r="J189" t="e">
        <f>AND(H189=TRUE,#REF!=2)</f>
        <v>#REF!</v>
      </c>
      <c r="K189" t="e">
        <f>IF(#REF!=1,K188+1,0)</f>
        <v>#REF!</v>
      </c>
      <c r="L189" t="e">
        <f>IF(#REF!=2,L188+1,0)</f>
        <v>#REF!</v>
      </c>
      <c r="M189" t="e">
        <f>#REF!</f>
        <v>#REF!</v>
      </c>
      <c r="N189" t="e">
        <f>COUNTIFS(#REF!, "=1")</f>
        <v>#REF!</v>
      </c>
      <c r="O189" t="e">
        <f>COUNTIFS(#REF!, "=2")</f>
        <v>#REF!</v>
      </c>
      <c r="P189" t="e">
        <f>#REF!</f>
        <v>#REF!</v>
      </c>
    </row>
    <row r="190" spans="1:16" x14ac:dyDescent="0.25">
      <c r="A190" t="e">
        <f>AND(#REF!=2, COUNTIF(Tables!L$1:L$4,#REF!))</f>
        <v>#REF!</v>
      </c>
      <c r="B190" t="e">
        <f>AND(#REF!=1, COUNTIF(Tables!L$1:L$4,#REF!))</f>
        <v>#REF!</v>
      </c>
      <c r="C190" t="e">
        <f>AND(A190,#REF!= 0)</f>
        <v>#REF!</v>
      </c>
      <c r="D190" t="e">
        <f>AND(B190,#REF!= 0)</f>
        <v>#REF!</v>
      </c>
      <c r="E190" t="e">
        <f>isNetPoint(#REF!)</f>
        <v>#VALUE!</v>
      </c>
      <c r="F190" t="e">
        <f>OR(#REF!=1,#REF!= 1)</f>
        <v>#REF!</v>
      </c>
      <c r="G190" t="e">
        <f>IF(#REF!=1,OR(E190="1",E190="3",F190=TRUE),OR(E190="2",E190="3"))</f>
        <v>#REF!</v>
      </c>
      <c r="H190" t="e">
        <f>IF(#REF!=2,OR(E190="1",E190="3",F190=TRUE),OR(E190="2",E190="3"))</f>
        <v>#REF!</v>
      </c>
      <c r="I190" t="e">
        <f>AND(G190=TRUE,#REF!=1)</f>
        <v>#REF!</v>
      </c>
      <c r="J190" t="e">
        <f>AND(H190=TRUE,#REF!=2)</f>
        <v>#REF!</v>
      </c>
      <c r="K190" t="e">
        <f>IF(#REF!=1,K189+1,0)</f>
        <v>#REF!</v>
      </c>
      <c r="L190" t="e">
        <f>IF(#REF!=2,L189+1,0)</f>
        <v>#REF!</v>
      </c>
      <c r="M190" t="e">
        <f>#REF!</f>
        <v>#REF!</v>
      </c>
      <c r="N190" t="e">
        <f>COUNTIFS(#REF!, "=1")</f>
        <v>#REF!</v>
      </c>
      <c r="O190" t="e">
        <f>COUNTIFS(#REF!, "=2")</f>
        <v>#REF!</v>
      </c>
      <c r="P190" t="e">
        <f>#REF!</f>
        <v>#REF!</v>
      </c>
    </row>
    <row r="191" spans="1:16" x14ac:dyDescent="0.25">
      <c r="A191" t="e">
        <f>AND(#REF!=2, COUNTIF(Tables!L$1:L$4,#REF!))</f>
        <v>#REF!</v>
      </c>
      <c r="B191" t="e">
        <f>AND(#REF!=1, COUNTIF(Tables!L$1:L$4,#REF!))</f>
        <v>#REF!</v>
      </c>
      <c r="C191" t="e">
        <f>AND(A191,#REF!= 0)</f>
        <v>#REF!</v>
      </c>
      <c r="D191" t="e">
        <f>AND(B191,#REF!= 0)</f>
        <v>#REF!</v>
      </c>
      <c r="E191" t="e">
        <f>isNetPoint(#REF!)</f>
        <v>#VALUE!</v>
      </c>
      <c r="F191" t="e">
        <f>OR(#REF!=1,#REF!= 1)</f>
        <v>#REF!</v>
      </c>
      <c r="G191" t="e">
        <f>IF(#REF!=1,OR(E191="1",E191="3",F191=TRUE),OR(E191="2",E191="3"))</f>
        <v>#REF!</v>
      </c>
      <c r="H191" t="e">
        <f>IF(#REF!=2,OR(E191="1",E191="3",F191=TRUE),OR(E191="2",E191="3"))</f>
        <v>#REF!</v>
      </c>
      <c r="I191" t="e">
        <f>AND(G191=TRUE,#REF!=1)</f>
        <v>#REF!</v>
      </c>
      <c r="J191" t="e">
        <f>AND(H191=TRUE,#REF!=2)</f>
        <v>#REF!</v>
      </c>
      <c r="K191" t="e">
        <f>IF(#REF!=1,K190+1,0)</f>
        <v>#REF!</v>
      </c>
      <c r="L191" t="e">
        <f>IF(#REF!=2,L190+1,0)</f>
        <v>#REF!</v>
      </c>
      <c r="M191" t="e">
        <f>#REF!</f>
        <v>#REF!</v>
      </c>
      <c r="N191" t="e">
        <f>COUNTIFS(#REF!, "=1")</f>
        <v>#REF!</v>
      </c>
      <c r="O191" t="e">
        <f>COUNTIFS(#REF!, "=2")</f>
        <v>#REF!</v>
      </c>
      <c r="P191" t="e">
        <f>#REF!</f>
        <v>#REF!</v>
      </c>
    </row>
    <row r="192" spans="1:16" x14ac:dyDescent="0.25">
      <c r="A192" t="e">
        <f>AND(#REF!=2, COUNTIF(Tables!L$1:L$4,#REF!))</f>
        <v>#REF!</v>
      </c>
      <c r="B192" t="e">
        <f>AND(#REF!=1, COUNTIF(Tables!L$1:L$4,#REF!))</f>
        <v>#REF!</v>
      </c>
      <c r="C192" t="e">
        <f>AND(A192,#REF!= 0)</f>
        <v>#REF!</v>
      </c>
      <c r="D192" t="e">
        <f>AND(B192,#REF!= 0)</f>
        <v>#REF!</v>
      </c>
      <c r="E192" t="e">
        <f>isNetPoint(#REF!)</f>
        <v>#VALUE!</v>
      </c>
      <c r="F192" t="e">
        <f>OR(#REF!=1,#REF!= 1)</f>
        <v>#REF!</v>
      </c>
      <c r="G192" t="e">
        <f>IF(#REF!=1,OR(E192="1",E192="3",F192=TRUE),OR(E192="2",E192="3"))</f>
        <v>#REF!</v>
      </c>
      <c r="H192" t="e">
        <f>IF(#REF!=2,OR(E192="1",E192="3",F192=TRUE),OR(E192="2",E192="3"))</f>
        <v>#REF!</v>
      </c>
      <c r="I192" t="e">
        <f>AND(G192=TRUE,#REF!=1)</f>
        <v>#REF!</v>
      </c>
      <c r="J192" t="e">
        <f>AND(H192=TRUE,#REF!=2)</f>
        <v>#REF!</v>
      </c>
      <c r="K192" t="e">
        <f>IF(#REF!=1,K191+1,0)</f>
        <v>#REF!</v>
      </c>
      <c r="L192" t="e">
        <f>IF(#REF!=2,L191+1,0)</f>
        <v>#REF!</v>
      </c>
      <c r="M192" t="e">
        <f>#REF!</f>
        <v>#REF!</v>
      </c>
      <c r="N192" t="e">
        <f>COUNTIFS(#REF!, "=1")</f>
        <v>#REF!</v>
      </c>
      <c r="O192" t="e">
        <f>COUNTIFS(#REF!, "=2")</f>
        <v>#REF!</v>
      </c>
      <c r="P192" t="e">
        <f>#REF!</f>
        <v>#REF!</v>
      </c>
    </row>
    <row r="193" spans="1:16" x14ac:dyDescent="0.25">
      <c r="A193" t="e">
        <f>AND(#REF!=2, COUNTIF(Tables!L$1:L$4,#REF!))</f>
        <v>#REF!</v>
      </c>
      <c r="B193" t="e">
        <f>AND(#REF!=1, COUNTIF(Tables!L$1:L$4,#REF!))</f>
        <v>#REF!</v>
      </c>
      <c r="C193" t="e">
        <f>AND(A193,#REF!= 0)</f>
        <v>#REF!</v>
      </c>
      <c r="D193" t="e">
        <f>AND(B193,#REF!= 0)</f>
        <v>#REF!</v>
      </c>
      <c r="E193" t="e">
        <f>isNetPoint(#REF!)</f>
        <v>#VALUE!</v>
      </c>
      <c r="F193" t="e">
        <f>OR(#REF!=1,#REF!= 1)</f>
        <v>#REF!</v>
      </c>
      <c r="G193" t="e">
        <f>IF(#REF!=1,OR(E193="1",E193="3",F193=TRUE),OR(E193="2",E193="3"))</f>
        <v>#REF!</v>
      </c>
      <c r="H193" t="e">
        <f>IF(#REF!=2,OR(E193="1",E193="3",F193=TRUE),OR(E193="2",E193="3"))</f>
        <v>#REF!</v>
      </c>
      <c r="I193" t="e">
        <f>AND(G193=TRUE,#REF!=1)</f>
        <v>#REF!</v>
      </c>
      <c r="J193" t="e">
        <f>AND(H193=TRUE,#REF!=2)</f>
        <v>#REF!</v>
      </c>
      <c r="K193" t="e">
        <f>IF(#REF!=1,K192+1,0)</f>
        <v>#REF!</v>
      </c>
      <c r="L193" t="e">
        <f>IF(#REF!=2,L192+1,0)</f>
        <v>#REF!</v>
      </c>
      <c r="M193" t="e">
        <f>#REF!</f>
        <v>#REF!</v>
      </c>
      <c r="N193" t="e">
        <f>COUNTIFS(#REF!, "=1")</f>
        <v>#REF!</v>
      </c>
      <c r="O193" t="e">
        <f>COUNTIFS(#REF!, "=2")</f>
        <v>#REF!</v>
      </c>
      <c r="P193" t="e">
        <f>#REF!</f>
        <v>#REF!</v>
      </c>
    </row>
    <row r="194" spans="1:16" x14ac:dyDescent="0.25">
      <c r="A194" t="e">
        <f>AND(#REF!=2, COUNTIF(Tables!L$1:L$4,#REF!))</f>
        <v>#REF!</v>
      </c>
      <c r="B194" t="e">
        <f>AND(#REF!=1, COUNTIF(Tables!L$1:L$4,#REF!))</f>
        <v>#REF!</v>
      </c>
      <c r="C194" t="e">
        <f>AND(A194,#REF!= 0)</f>
        <v>#REF!</v>
      </c>
      <c r="D194" t="e">
        <f>AND(B194,#REF!= 0)</f>
        <v>#REF!</v>
      </c>
      <c r="E194" t="e">
        <f>isNetPoint(#REF!)</f>
        <v>#VALUE!</v>
      </c>
      <c r="F194" t="e">
        <f>OR(#REF!=1,#REF!= 1)</f>
        <v>#REF!</v>
      </c>
      <c r="G194" t="e">
        <f>IF(#REF!=1,OR(E194="1",E194="3",F194=TRUE),OR(E194="2",E194="3"))</f>
        <v>#REF!</v>
      </c>
      <c r="H194" t="e">
        <f>IF(#REF!=2,OR(E194="1",E194="3",F194=TRUE),OR(E194="2",E194="3"))</f>
        <v>#REF!</v>
      </c>
      <c r="I194" t="e">
        <f>AND(G194=TRUE,#REF!=1)</f>
        <v>#REF!</v>
      </c>
      <c r="J194" t="e">
        <f>AND(H194=TRUE,#REF!=2)</f>
        <v>#REF!</v>
      </c>
      <c r="K194" t="e">
        <f>IF(#REF!=1,K193+1,0)</f>
        <v>#REF!</v>
      </c>
      <c r="L194" t="e">
        <f>IF(#REF!=2,L193+1,0)</f>
        <v>#REF!</v>
      </c>
      <c r="M194" t="e">
        <f>#REF!</f>
        <v>#REF!</v>
      </c>
      <c r="N194" t="e">
        <f>COUNTIFS(#REF!, "=1")</f>
        <v>#REF!</v>
      </c>
      <c r="O194" t="e">
        <f>COUNTIFS(#REF!, "=2")</f>
        <v>#REF!</v>
      </c>
      <c r="P194" t="e">
        <f>#REF!</f>
        <v>#REF!</v>
      </c>
    </row>
    <row r="195" spans="1:16" x14ac:dyDescent="0.25">
      <c r="A195" t="e">
        <f>AND(#REF!=2, COUNTIF(Tables!L$1:L$4,#REF!))</f>
        <v>#REF!</v>
      </c>
      <c r="B195" t="e">
        <f>AND(#REF!=1, COUNTIF(Tables!L$1:L$4,#REF!))</f>
        <v>#REF!</v>
      </c>
      <c r="C195" t="e">
        <f>AND(A195,#REF!= 0)</f>
        <v>#REF!</v>
      </c>
      <c r="D195" t="e">
        <f>AND(B195,#REF!= 0)</f>
        <v>#REF!</v>
      </c>
      <c r="E195" t="e">
        <f>isNetPoint(#REF!)</f>
        <v>#VALUE!</v>
      </c>
      <c r="F195" t="e">
        <f>OR(#REF!=1,#REF!= 1)</f>
        <v>#REF!</v>
      </c>
      <c r="G195" t="e">
        <f>IF(#REF!=1,OR(E195="1",E195="3",F195=TRUE),OR(E195="2",E195="3"))</f>
        <v>#REF!</v>
      </c>
      <c r="H195" t="e">
        <f>IF(#REF!=2,OR(E195="1",E195="3",F195=TRUE),OR(E195="2",E195="3"))</f>
        <v>#REF!</v>
      </c>
      <c r="I195" t="e">
        <f>AND(G195=TRUE,#REF!=1)</f>
        <v>#REF!</v>
      </c>
      <c r="J195" t="e">
        <f>AND(H195=TRUE,#REF!=2)</f>
        <v>#REF!</v>
      </c>
      <c r="K195" t="e">
        <f>IF(#REF!=1,K194+1,0)</f>
        <v>#REF!</v>
      </c>
      <c r="L195" t="e">
        <f>IF(#REF!=2,L194+1,0)</f>
        <v>#REF!</v>
      </c>
      <c r="M195" t="e">
        <f>#REF!</f>
        <v>#REF!</v>
      </c>
      <c r="N195" t="e">
        <f>COUNTIFS(#REF!, "=1")</f>
        <v>#REF!</v>
      </c>
      <c r="O195" t="e">
        <f>COUNTIFS(#REF!, "=2")</f>
        <v>#REF!</v>
      </c>
      <c r="P195" t="e">
        <f>#REF!</f>
        <v>#REF!</v>
      </c>
    </row>
    <row r="196" spans="1:16" x14ac:dyDescent="0.25">
      <c r="A196" t="e">
        <f>AND(#REF!=2, COUNTIF(Tables!L$1:L$4,#REF!))</f>
        <v>#REF!</v>
      </c>
      <c r="B196" t="e">
        <f>AND(#REF!=1, COUNTIF(Tables!L$1:L$4,#REF!))</f>
        <v>#REF!</v>
      </c>
      <c r="C196" t="e">
        <f>AND(A196,#REF!= 0)</f>
        <v>#REF!</v>
      </c>
      <c r="D196" t="e">
        <f>AND(B196,#REF!= 0)</f>
        <v>#REF!</v>
      </c>
      <c r="E196" t="e">
        <f>isNetPoint(#REF!)</f>
        <v>#VALUE!</v>
      </c>
      <c r="F196" t="e">
        <f>OR(#REF!=1,#REF!= 1)</f>
        <v>#REF!</v>
      </c>
      <c r="G196" t="e">
        <f>IF(#REF!=1,OR(E196="1",E196="3",F196=TRUE),OR(E196="2",E196="3"))</f>
        <v>#REF!</v>
      </c>
      <c r="H196" t="e">
        <f>IF(#REF!=2,OR(E196="1",E196="3",F196=TRUE),OR(E196="2",E196="3"))</f>
        <v>#REF!</v>
      </c>
      <c r="I196" t="e">
        <f>AND(G196=TRUE,#REF!=1)</f>
        <v>#REF!</v>
      </c>
      <c r="J196" t="e">
        <f>AND(H196=TRUE,#REF!=2)</f>
        <v>#REF!</v>
      </c>
      <c r="K196" t="e">
        <f>IF(#REF!=1,K195+1,0)</f>
        <v>#REF!</v>
      </c>
      <c r="L196" t="e">
        <f>IF(#REF!=2,L195+1,0)</f>
        <v>#REF!</v>
      </c>
      <c r="M196" t="e">
        <f>#REF!</f>
        <v>#REF!</v>
      </c>
      <c r="N196" t="e">
        <f>COUNTIFS(#REF!, "=1")</f>
        <v>#REF!</v>
      </c>
      <c r="O196" t="e">
        <f>COUNTIFS(#REF!, "=2")</f>
        <v>#REF!</v>
      </c>
      <c r="P196" t="e">
        <f>#REF!</f>
        <v>#REF!</v>
      </c>
    </row>
    <row r="197" spans="1:16" x14ac:dyDescent="0.25">
      <c r="A197" t="e">
        <f>AND(#REF!=2, COUNTIF(Tables!L$1:L$4,#REF!))</f>
        <v>#REF!</v>
      </c>
      <c r="B197" t="e">
        <f>AND(#REF!=1, COUNTIF(Tables!L$1:L$4,#REF!))</f>
        <v>#REF!</v>
      </c>
      <c r="C197" t="e">
        <f>AND(A197,#REF!= 0)</f>
        <v>#REF!</v>
      </c>
      <c r="D197" t="e">
        <f>AND(B197,#REF!= 0)</f>
        <v>#REF!</v>
      </c>
      <c r="E197" t="e">
        <f>isNetPoint(#REF!)</f>
        <v>#VALUE!</v>
      </c>
      <c r="F197" t="e">
        <f>OR(#REF!=1,#REF!= 1)</f>
        <v>#REF!</v>
      </c>
      <c r="G197" t="e">
        <f>IF(#REF!=1,OR(E197="1",E197="3",F197=TRUE),OR(E197="2",E197="3"))</f>
        <v>#REF!</v>
      </c>
      <c r="H197" t="e">
        <f>IF(#REF!=2,OR(E197="1",E197="3",F197=TRUE),OR(E197="2",E197="3"))</f>
        <v>#REF!</v>
      </c>
      <c r="I197" t="e">
        <f>AND(G197=TRUE,#REF!=1)</f>
        <v>#REF!</v>
      </c>
      <c r="J197" t="e">
        <f>AND(H197=TRUE,#REF!=2)</f>
        <v>#REF!</v>
      </c>
      <c r="K197" t="e">
        <f>IF(#REF!=1,K196+1,0)</f>
        <v>#REF!</v>
      </c>
      <c r="L197" t="e">
        <f>IF(#REF!=2,L196+1,0)</f>
        <v>#REF!</v>
      </c>
      <c r="M197" t="e">
        <f>#REF!</f>
        <v>#REF!</v>
      </c>
      <c r="N197" t="e">
        <f>COUNTIFS(#REF!, "=1")</f>
        <v>#REF!</v>
      </c>
      <c r="O197" t="e">
        <f>COUNTIFS(#REF!, "=2")</f>
        <v>#REF!</v>
      </c>
      <c r="P197" t="e">
        <f>#REF!</f>
        <v>#REF!</v>
      </c>
    </row>
    <row r="198" spans="1:16" x14ac:dyDescent="0.25">
      <c r="A198" t="e">
        <f>AND(#REF!=2, COUNTIF(Tables!L$1:L$4,#REF!))</f>
        <v>#REF!</v>
      </c>
      <c r="B198" t="e">
        <f>AND(#REF!=1, COUNTIF(Tables!L$1:L$4,#REF!))</f>
        <v>#REF!</v>
      </c>
      <c r="C198" t="e">
        <f>AND(A198,#REF!= 0)</f>
        <v>#REF!</v>
      </c>
      <c r="D198" t="e">
        <f>AND(B198,#REF!= 0)</f>
        <v>#REF!</v>
      </c>
      <c r="E198" t="e">
        <f>isNetPoint(#REF!)</f>
        <v>#VALUE!</v>
      </c>
      <c r="F198" t="e">
        <f>OR(#REF!=1,#REF!= 1)</f>
        <v>#REF!</v>
      </c>
      <c r="G198" t="e">
        <f>IF(#REF!=1,OR(E198="1",E198="3",F198=TRUE),OR(E198="2",E198="3"))</f>
        <v>#REF!</v>
      </c>
      <c r="H198" t="e">
        <f>IF(#REF!=2,OR(E198="1",E198="3",F198=TRUE),OR(E198="2",E198="3"))</f>
        <v>#REF!</v>
      </c>
      <c r="I198" t="e">
        <f>AND(G198=TRUE,#REF!=1)</f>
        <v>#REF!</v>
      </c>
      <c r="J198" t="e">
        <f>AND(H198=TRUE,#REF!=2)</f>
        <v>#REF!</v>
      </c>
      <c r="K198" t="e">
        <f>IF(#REF!=1,K197+1,0)</f>
        <v>#REF!</v>
      </c>
      <c r="L198" t="e">
        <f>IF(#REF!=2,L197+1,0)</f>
        <v>#REF!</v>
      </c>
      <c r="M198" t="e">
        <f>#REF!</f>
        <v>#REF!</v>
      </c>
      <c r="N198" t="e">
        <f>COUNTIFS(#REF!, "=1")</f>
        <v>#REF!</v>
      </c>
      <c r="O198" t="e">
        <f>COUNTIFS(#REF!, "=2")</f>
        <v>#REF!</v>
      </c>
      <c r="P198" t="e">
        <f>#REF!</f>
        <v>#REF!</v>
      </c>
    </row>
    <row r="199" spans="1:16" x14ac:dyDescent="0.25">
      <c r="A199" t="e">
        <f>AND(#REF!=2, COUNTIF(Tables!L$1:L$4,#REF!))</f>
        <v>#REF!</v>
      </c>
      <c r="B199" t="e">
        <f>AND(#REF!=1, COUNTIF(Tables!L$1:L$4,#REF!))</f>
        <v>#REF!</v>
      </c>
      <c r="C199" t="e">
        <f>AND(A199,#REF!= 0)</f>
        <v>#REF!</v>
      </c>
      <c r="D199" t="e">
        <f>AND(B199,#REF!= 0)</f>
        <v>#REF!</v>
      </c>
      <c r="E199" t="e">
        <f>isNetPoint(#REF!)</f>
        <v>#VALUE!</v>
      </c>
      <c r="F199" t="e">
        <f>OR(#REF!=1,#REF!= 1)</f>
        <v>#REF!</v>
      </c>
      <c r="G199" t="e">
        <f>IF(#REF!=1,OR(E199="1",E199="3",F199=TRUE),OR(E199="2",E199="3"))</f>
        <v>#REF!</v>
      </c>
      <c r="H199" t="e">
        <f>IF(#REF!=2,OR(E199="1",E199="3",F199=TRUE),OR(E199="2",E199="3"))</f>
        <v>#REF!</v>
      </c>
      <c r="I199" t="e">
        <f>AND(G199=TRUE,#REF!=1)</f>
        <v>#REF!</v>
      </c>
      <c r="J199" t="e">
        <f>AND(H199=TRUE,#REF!=2)</f>
        <v>#REF!</v>
      </c>
      <c r="K199" t="e">
        <f>IF(#REF!=1,K198+1,0)</f>
        <v>#REF!</v>
      </c>
      <c r="L199" t="e">
        <f>IF(#REF!=2,L198+1,0)</f>
        <v>#REF!</v>
      </c>
      <c r="M199" t="e">
        <f>#REF!</f>
        <v>#REF!</v>
      </c>
      <c r="N199" t="e">
        <f>COUNTIFS(#REF!, "=1")</f>
        <v>#REF!</v>
      </c>
      <c r="O199" t="e">
        <f>COUNTIFS(#REF!, "=2")</f>
        <v>#REF!</v>
      </c>
      <c r="P199" t="e">
        <f>#REF!</f>
        <v>#REF!</v>
      </c>
    </row>
    <row r="200" spans="1:16" x14ac:dyDescent="0.25">
      <c r="A200" t="e">
        <f>AND(#REF!=2, COUNTIF(Tables!L$1:L$4,#REF!))</f>
        <v>#REF!</v>
      </c>
      <c r="B200" t="e">
        <f>AND(#REF!=1, COUNTIF(Tables!L$1:L$4,#REF!))</f>
        <v>#REF!</v>
      </c>
      <c r="C200" t="e">
        <f>AND(A200,#REF!= 0)</f>
        <v>#REF!</v>
      </c>
      <c r="D200" t="e">
        <f>AND(B200,#REF!= 0)</f>
        <v>#REF!</v>
      </c>
      <c r="E200" t="e">
        <f>isNetPoint(#REF!)</f>
        <v>#VALUE!</v>
      </c>
      <c r="F200" t="e">
        <f>OR(#REF!=1,#REF!= 1)</f>
        <v>#REF!</v>
      </c>
      <c r="G200" t="e">
        <f>IF(#REF!=1,OR(E200="1",E200="3",F200=TRUE),OR(E200="2",E200="3"))</f>
        <v>#REF!</v>
      </c>
      <c r="H200" t="e">
        <f>IF(#REF!=2,OR(E200="1",E200="3",F200=TRUE),OR(E200="2",E200="3"))</f>
        <v>#REF!</v>
      </c>
      <c r="I200" t="e">
        <f>AND(G200=TRUE,#REF!=1)</f>
        <v>#REF!</v>
      </c>
      <c r="J200" t="e">
        <f>AND(H200=TRUE,#REF!=2)</f>
        <v>#REF!</v>
      </c>
      <c r="K200" t="e">
        <f>IF(#REF!=1,K199+1,0)</f>
        <v>#REF!</v>
      </c>
      <c r="L200" t="e">
        <f>IF(#REF!=2,L199+1,0)</f>
        <v>#REF!</v>
      </c>
      <c r="M200" t="e">
        <f>#REF!</f>
        <v>#REF!</v>
      </c>
      <c r="N200" t="e">
        <f>COUNTIFS(#REF!, "=1")</f>
        <v>#REF!</v>
      </c>
      <c r="O200" t="e">
        <f>COUNTIFS(#REF!, "=2")</f>
        <v>#REF!</v>
      </c>
      <c r="P200" t="e">
        <f>#REF!</f>
        <v>#REF!</v>
      </c>
    </row>
    <row r="201" spans="1:16" x14ac:dyDescent="0.25">
      <c r="A201" t="e">
        <f>AND(#REF!=2, COUNTIF(Tables!L$1:L$4,#REF!))</f>
        <v>#REF!</v>
      </c>
      <c r="B201" t="e">
        <f>AND(#REF!=1, COUNTIF(Tables!L$1:L$4,#REF!))</f>
        <v>#REF!</v>
      </c>
      <c r="C201" t="e">
        <f>AND(A201,#REF!= 0)</f>
        <v>#REF!</v>
      </c>
      <c r="D201" t="e">
        <f>AND(B201,#REF!= 0)</f>
        <v>#REF!</v>
      </c>
      <c r="E201" t="e">
        <f>isNetPoint(#REF!)</f>
        <v>#VALUE!</v>
      </c>
      <c r="F201" t="e">
        <f>OR(#REF!=1,#REF!= 1)</f>
        <v>#REF!</v>
      </c>
      <c r="G201" t="e">
        <f>IF(#REF!=1,OR(E201="1",E201="3",F201=TRUE),OR(E201="2",E201="3"))</f>
        <v>#REF!</v>
      </c>
      <c r="H201" t="e">
        <f>IF(#REF!=2,OR(E201="1",E201="3",F201=TRUE),OR(E201="2",E201="3"))</f>
        <v>#REF!</v>
      </c>
      <c r="I201" t="e">
        <f>AND(G201=TRUE,#REF!=1)</f>
        <v>#REF!</v>
      </c>
      <c r="J201" t="e">
        <f>AND(H201=TRUE,#REF!=2)</f>
        <v>#REF!</v>
      </c>
      <c r="K201" t="e">
        <f>IF(#REF!=1,K200+1,0)</f>
        <v>#REF!</v>
      </c>
      <c r="L201" t="e">
        <f>IF(#REF!=2,L200+1,0)</f>
        <v>#REF!</v>
      </c>
      <c r="M201" t="e">
        <f>#REF!</f>
        <v>#REF!</v>
      </c>
      <c r="N201" t="e">
        <f>COUNTIFS(#REF!, "=1")</f>
        <v>#REF!</v>
      </c>
      <c r="O201" t="e">
        <f>COUNTIFS(#REF!, "=2")</f>
        <v>#REF!</v>
      </c>
      <c r="P201" t="e">
        <f>#REF!</f>
        <v>#REF!</v>
      </c>
    </row>
    <row r="202" spans="1:16" x14ac:dyDescent="0.25">
      <c r="A202" t="e">
        <f>AND(#REF!=2, COUNTIF(Tables!L$1:L$4,#REF!))</f>
        <v>#REF!</v>
      </c>
      <c r="B202" t="e">
        <f>AND(#REF!=1, COUNTIF(Tables!L$1:L$4,#REF!))</f>
        <v>#REF!</v>
      </c>
      <c r="C202" t="e">
        <f>AND(A202,#REF!= 0)</f>
        <v>#REF!</v>
      </c>
      <c r="D202" t="e">
        <f>AND(B202,#REF!= 0)</f>
        <v>#REF!</v>
      </c>
      <c r="E202" t="e">
        <f>isNetPoint(#REF!)</f>
        <v>#VALUE!</v>
      </c>
      <c r="F202" t="e">
        <f>OR(#REF!=1,#REF!= 1)</f>
        <v>#REF!</v>
      </c>
      <c r="G202" t="e">
        <f>IF(#REF!=1,OR(E202="1",E202="3",F202=TRUE),OR(E202="2",E202="3"))</f>
        <v>#REF!</v>
      </c>
      <c r="H202" t="e">
        <f>IF(#REF!=2,OR(E202="1",E202="3",F202=TRUE),OR(E202="2",E202="3"))</f>
        <v>#REF!</v>
      </c>
      <c r="I202" t="e">
        <f>AND(G202=TRUE,#REF!=1)</f>
        <v>#REF!</v>
      </c>
      <c r="J202" t="e">
        <f>AND(H202=TRUE,#REF!=2)</f>
        <v>#REF!</v>
      </c>
      <c r="K202" t="e">
        <f>IF(#REF!=1,K201+1,0)</f>
        <v>#REF!</v>
      </c>
      <c r="L202" t="e">
        <f>IF(#REF!=2,L201+1,0)</f>
        <v>#REF!</v>
      </c>
      <c r="M202" t="e">
        <f>#REF!</f>
        <v>#REF!</v>
      </c>
      <c r="N202" t="e">
        <f>COUNTIFS(#REF!, "=1")</f>
        <v>#REF!</v>
      </c>
      <c r="O202" t="e">
        <f>COUNTIFS(#REF!, "=2")</f>
        <v>#REF!</v>
      </c>
      <c r="P202" t="e">
        <f>#REF!</f>
        <v>#REF!</v>
      </c>
    </row>
    <row r="203" spans="1:16" x14ac:dyDescent="0.25">
      <c r="A203" t="e">
        <f>AND(#REF!=2, COUNTIF(Tables!L$1:L$4,#REF!))</f>
        <v>#REF!</v>
      </c>
      <c r="B203" t="e">
        <f>AND(#REF!=1, COUNTIF(Tables!L$1:L$4,#REF!))</f>
        <v>#REF!</v>
      </c>
      <c r="C203" t="e">
        <f>AND(A203,#REF!= 0)</f>
        <v>#REF!</v>
      </c>
      <c r="D203" t="e">
        <f>AND(B203,#REF!= 0)</f>
        <v>#REF!</v>
      </c>
      <c r="E203" t="e">
        <f>isNetPoint(#REF!)</f>
        <v>#VALUE!</v>
      </c>
      <c r="F203" t="e">
        <f>OR(#REF!=1,#REF!= 1)</f>
        <v>#REF!</v>
      </c>
      <c r="G203" t="e">
        <f>IF(#REF!=1,OR(E203="1",E203="3",F203=TRUE),OR(E203="2",E203="3"))</f>
        <v>#REF!</v>
      </c>
      <c r="H203" t="e">
        <f>IF(#REF!=2,OR(E203="1",E203="3",F203=TRUE),OR(E203="2",E203="3"))</f>
        <v>#REF!</v>
      </c>
      <c r="I203" t="e">
        <f>AND(G203=TRUE,#REF!=1)</f>
        <v>#REF!</v>
      </c>
      <c r="J203" t="e">
        <f>AND(H203=TRUE,#REF!=2)</f>
        <v>#REF!</v>
      </c>
      <c r="K203" t="e">
        <f>IF(#REF!=1,K202+1,0)</f>
        <v>#REF!</v>
      </c>
      <c r="L203" t="e">
        <f>IF(#REF!=2,L202+1,0)</f>
        <v>#REF!</v>
      </c>
      <c r="M203" t="e">
        <f>#REF!</f>
        <v>#REF!</v>
      </c>
      <c r="N203" t="e">
        <f>COUNTIFS(#REF!, "=1")</f>
        <v>#REF!</v>
      </c>
      <c r="O203" t="e">
        <f>COUNTIFS(#REF!, "=2")</f>
        <v>#REF!</v>
      </c>
      <c r="P203" t="e">
        <f>#REF!</f>
        <v>#REF!</v>
      </c>
    </row>
    <row r="204" spans="1:16" x14ac:dyDescent="0.25">
      <c r="A204" t="e">
        <f>AND(#REF!=2, COUNTIF(Tables!L$1:L$4,#REF!))</f>
        <v>#REF!</v>
      </c>
      <c r="B204" t="e">
        <f>AND(#REF!=1, COUNTIF(Tables!L$1:L$4,#REF!))</f>
        <v>#REF!</v>
      </c>
      <c r="C204" t="e">
        <f>AND(A204,#REF!= 0)</f>
        <v>#REF!</v>
      </c>
      <c r="D204" t="e">
        <f>AND(B204,#REF!= 0)</f>
        <v>#REF!</v>
      </c>
      <c r="E204" t="e">
        <f>isNetPoint(#REF!)</f>
        <v>#VALUE!</v>
      </c>
      <c r="F204" t="e">
        <f>OR(#REF!=1,#REF!= 1)</f>
        <v>#REF!</v>
      </c>
      <c r="G204" t="e">
        <f>IF(#REF!=1,OR(E204="1",E204="3",F204=TRUE),OR(E204="2",E204="3"))</f>
        <v>#REF!</v>
      </c>
      <c r="H204" t="e">
        <f>IF(#REF!=2,OR(E204="1",E204="3",F204=TRUE),OR(E204="2",E204="3"))</f>
        <v>#REF!</v>
      </c>
      <c r="I204" t="e">
        <f>AND(G204=TRUE,#REF!=1)</f>
        <v>#REF!</v>
      </c>
      <c r="J204" t="e">
        <f>AND(H204=TRUE,#REF!=2)</f>
        <v>#REF!</v>
      </c>
      <c r="K204" t="e">
        <f>IF(#REF!=1,K203+1,0)</f>
        <v>#REF!</v>
      </c>
      <c r="L204" t="e">
        <f>IF(#REF!=2,L203+1,0)</f>
        <v>#REF!</v>
      </c>
      <c r="M204" t="e">
        <f>#REF!</f>
        <v>#REF!</v>
      </c>
      <c r="N204" t="e">
        <f>COUNTIFS(#REF!, "=1")</f>
        <v>#REF!</v>
      </c>
      <c r="O204" t="e">
        <f>COUNTIFS(#REF!, "=2")</f>
        <v>#REF!</v>
      </c>
      <c r="P204" t="e">
        <f>#REF!</f>
        <v>#REF!</v>
      </c>
    </row>
    <row r="205" spans="1:16" x14ac:dyDescent="0.25">
      <c r="A205" t="e">
        <f>AND(#REF!=2, COUNTIF(Tables!L$1:L$4,#REF!))</f>
        <v>#REF!</v>
      </c>
      <c r="B205" t="e">
        <f>AND(#REF!=1, COUNTIF(Tables!L$1:L$4,#REF!))</f>
        <v>#REF!</v>
      </c>
      <c r="C205" t="e">
        <f>AND(A205,#REF!= 0)</f>
        <v>#REF!</v>
      </c>
      <c r="D205" t="e">
        <f>AND(B205,#REF!= 0)</f>
        <v>#REF!</v>
      </c>
      <c r="E205" t="e">
        <f>isNetPoint(#REF!)</f>
        <v>#VALUE!</v>
      </c>
      <c r="F205" t="e">
        <f>OR(#REF!=1,#REF!= 1)</f>
        <v>#REF!</v>
      </c>
      <c r="G205" t="e">
        <f>IF(#REF!=1,OR(E205="1",E205="3",F205=TRUE),OR(E205="2",E205="3"))</f>
        <v>#REF!</v>
      </c>
      <c r="H205" t="e">
        <f>IF(#REF!=2,OR(E205="1",E205="3",F205=TRUE),OR(E205="2",E205="3"))</f>
        <v>#REF!</v>
      </c>
      <c r="I205" t="e">
        <f>AND(G205=TRUE,#REF!=1)</f>
        <v>#REF!</v>
      </c>
      <c r="J205" t="e">
        <f>AND(H205=TRUE,#REF!=2)</f>
        <v>#REF!</v>
      </c>
      <c r="K205" t="e">
        <f>IF(#REF!=1,K204+1,0)</f>
        <v>#REF!</v>
      </c>
      <c r="L205" t="e">
        <f>IF(#REF!=2,L204+1,0)</f>
        <v>#REF!</v>
      </c>
      <c r="M205" t="e">
        <f>#REF!</f>
        <v>#REF!</v>
      </c>
      <c r="N205" t="e">
        <f>COUNTIFS(#REF!, "=1")</f>
        <v>#REF!</v>
      </c>
      <c r="O205" t="e">
        <f>COUNTIFS(#REF!, "=2")</f>
        <v>#REF!</v>
      </c>
      <c r="P205" t="e">
        <f>#REF!</f>
        <v>#REF!</v>
      </c>
    </row>
    <row r="206" spans="1:16" x14ac:dyDescent="0.25">
      <c r="A206" t="e">
        <f>AND(#REF!=2, COUNTIF(Tables!L$1:L$4,#REF!))</f>
        <v>#REF!</v>
      </c>
      <c r="B206" t="e">
        <f>AND(#REF!=1, COUNTIF(Tables!L$1:L$4,#REF!))</f>
        <v>#REF!</v>
      </c>
      <c r="C206" t="e">
        <f>AND(A206,#REF!= 0)</f>
        <v>#REF!</v>
      </c>
      <c r="D206" t="e">
        <f>AND(B206,#REF!= 0)</f>
        <v>#REF!</v>
      </c>
      <c r="E206" t="e">
        <f>isNetPoint(#REF!)</f>
        <v>#VALUE!</v>
      </c>
      <c r="F206" t="e">
        <f>OR(#REF!=1,#REF!= 1)</f>
        <v>#REF!</v>
      </c>
      <c r="G206" t="e">
        <f>IF(#REF!=1,OR(E206="1",E206="3",F206=TRUE),OR(E206="2",E206="3"))</f>
        <v>#REF!</v>
      </c>
      <c r="H206" t="e">
        <f>IF(#REF!=2,OR(E206="1",E206="3",F206=TRUE),OR(E206="2",E206="3"))</f>
        <v>#REF!</v>
      </c>
      <c r="I206" t="e">
        <f>AND(G206=TRUE,#REF!=1)</f>
        <v>#REF!</v>
      </c>
      <c r="J206" t="e">
        <f>AND(H206=TRUE,#REF!=2)</f>
        <v>#REF!</v>
      </c>
      <c r="K206" t="e">
        <f>IF(#REF!=1,K205+1,0)</f>
        <v>#REF!</v>
      </c>
      <c r="L206" t="e">
        <f>IF(#REF!=2,L205+1,0)</f>
        <v>#REF!</v>
      </c>
      <c r="M206" t="e">
        <f>#REF!</f>
        <v>#REF!</v>
      </c>
      <c r="N206" t="e">
        <f>COUNTIFS(#REF!, "=1")</f>
        <v>#REF!</v>
      </c>
      <c r="O206" t="e">
        <f>COUNTIFS(#REF!, "=2")</f>
        <v>#REF!</v>
      </c>
      <c r="P206" t="e">
        <f>#REF!</f>
        <v>#REF!</v>
      </c>
    </row>
    <row r="207" spans="1:16" x14ac:dyDescent="0.25">
      <c r="A207" t="e">
        <f>AND(#REF!=2, COUNTIF(Tables!L$1:L$4,#REF!))</f>
        <v>#REF!</v>
      </c>
      <c r="B207" t="e">
        <f>AND(#REF!=1, COUNTIF(Tables!L$1:L$4,#REF!))</f>
        <v>#REF!</v>
      </c>
      <c r="C207" t="e">
        <f>AND(A207,#REF!= 0)</f>
        <v>#REF!</v>
      </c>
      <c r="D207" t="e">
        <f>AND(B207,#REF!= 0)</f>
        <v>#REF!</v>
      </c>
      <c r="E207" t="e">
        <f>isNetPoint(#REF!)</f>
        <v>#VALUE!</v>
      </c>
      <c r="F207" t="e">
        <f>OR(#REF!=1,#REF!= 1)</f>
        <v>#REF!</v>
      </c>
      <c r="G207" t="e">
        <f>IF(#REF!=1,OR(E207="1",E207="3",F207=TRUE),OR(E207="2",E207="3"))</f>
        <v>#REF!</v>
      </c>
      <c r="H207" t="e">
        <f>IF(#REF!=2,OR(E207="1",E207="3",F207=TRUE),OR(E207="2",E207="3"))</f>
        <v>#REF!</v>
      </c>
      <c r="I207" t="e">
        <f>AND(G207=TRUE,#REF!=1)</f>
        <v>#REF!</v>
      </c>
      <c r="J207" t="e">
        <f>AND(H207=TRUE,#REF!=2)</f>
        <v>#REF!</v>
      </c>
      <c r="K207" t="e">
        <f>IF(#REF!=1,K206+1,0)</f>
        <v>#REF!</v>
      </c>
      <c r="L207" t="e">
        <f>IF(#REF!=2,L206+1,0)</f>
        <v>#REF!</v>
      </c>
      <c r="M207" t="e">
        <f>#REF!</f>
        <v>#REF!</v>
      </c>
      <c r="N207" t="e">
        <f>COUNTIFS(#REF!, "=1")</f>
        <v>#REF!</v>
      </c>
      <c r="O207" t="e">
        <f>COUNTIFS(#REF!, "=2")</f>
        <v>#REF!</v>
      </c>
      <c r="P207" t="e">
        <f>#REF!</f>
        <v>#REF!</v>
      </c>
    </row>
    <row r="208" spans="1:16" x14ac:dyDescent="0.25">
      <c r="A208" t="e">
        <f>AND(#REF!=2, COUNTIF(Tables!L$1:L$4,#REF!))</f>
        <v>#REF!</v>
      </c>
      <c r="B208" t="e">
        <f>AND(#REF!=1, COUNTIF(Tables!L$1:L$4,#REF!))</f>
        <v>#REF!</v>
      </c>
      <c r="C208" t="e">
        <f>AND(A208,#REF!= 0)</f>
        <v>#REF!</v>
      </c>
      <c r="D208" t="e">
        <f>AND(B208,#REF!= 0)</f>
        <v>#REF!</v>
      </c>
      <c r="E208" t="e">
        <f>isNetPoint(#REF!)</f>
        <v>#VALUE!</v>
      </c>
      <c r="F208" t="e">
        <f>OR(#REF!=1,#REF!= 1)</f>
        <v>#REF!</v>
      </c>
      <c r="G208" t="e">
        <f>IF(#REF!=1,OR(E208="1",E208="3",F208=TRUE),OR(E208="2",E208="3"))</f>
        <v>#REF!</v>
      </c>
      <c r="H208" t="e">
        <f>IF(#REF!=2,OR(E208="1",E208="3",F208=TRUE),OR(E208="2",E208="3"))</f>
        <v>#REF!</v>
      </c>
      <c r="I208" t="e">
        <f>AND(G208=TRUE,#REF!=1)</f>
        <v>#REF!</v>
      </c>
      <c r="J208" t="e">
        <f>AND(H208=TRUE,#REF!=2)</f>
        <v>#REF!</v>
      </c>
      <c r="K208" t="e">
        <f>IF(#REF!=1,K207+1,0)</f>
        <v>#REF!</v>
      </c>
      <c r="L208" t="e">
        <f>IF(#REF!=2,L207+1,0)</f>
        <v>#REF!</v>
      </c>
      <c r="M208" t="e">
        <f>#REF!</f>
        <v>#REF!</v>
      </c>
      <c r="N208" t="e">
        <f>COUNTIFS(#REF!, "=1")</f>
        <v>#REF!</v>
      </c>
      <c r="O208" t="e">
        <f>COUNTIFS(#REF!, "=2")</f>
        <v>#REF!</v>
      </c>
      <c r="P208" t="e">
        <f>#REF!</f>
        <v>#REF!</v>
      </c>
    </row>
    <row r="209" spans="1:16" x14ac:dyDescent="0.25">
      <c r="A209" t="e">
        <f>AND(#REF!=2, COUNTIF(Tables!L$1:L$4,#REF!))</f>
        <v>#REF!</v>
      </c>
      <c r="B209" t="e">
        <f>AND(#REF!=1, COUNTIF(Tables!L$1:L$4,#REF!))</f>
        <v>#REF!</v>
      </c>
      <c r="C209" t="e">
        <f>AND(A209,#REF!= 0)</f>
        <v>#REF!</v>
      </c>
      <c r="D209" t="e">
        <f>AND(B209,#REF!= 0)</f>
        <v>#REF!</v>
      </c>
      <c r="E209" t="e">
        <f>isNetPoint(#REF!)</f>
        <v>#VALUE!</v>
      </c>
      <c r="F209" t="e">
        <f>OR(#REF!=1,#REF!= 1)</f>
        <v>#REF!</v>
      </c>
      <c r="G209" t="e">
        <f>IF(#REF!=1,OR(E209="1",E209="3",F209=TRUE),OR(E209="2",E209="3"))</f>
        <v>#REF!</v>
      </c>
      <c r="H209" t="e">
        <f>IF(#REF!=2,OR(E209="1",E209="3",F209=TRUE),OR(E209="2",E209="3"))</f>
        <v>#REF!</v>
      </c>
      <c r="I209" t="e">
        <f>AND(G209=TRUE,#REF!=1)</f>
        <v>#REF!</v>
      </c>
      <c r="J209" t="e">
        <f>AND(H209=TRUE,#REF!=2)</f>
        <v>#REF!</v>
      </c>
      <c r="K209" t="e">
        <f>IF(#REF!=1,K208+1,0)</f>
        <v>#REF!</v>
      </c>
      <c r="L209" t="e">
        <f>IF(#REF!=2,L208+1,0)</f>
        <v>#REF!</v>
      </c>
      <c r="M209" t="e">
        <f>#REF!</f>
        <v>#REF!</v>
      </c>
      <c r="N209" t="e">
        <f>COUNTIFS(#REF!, "=1")</f>
        <v>#REF!</v>
      </c>
      <c r="O209" t="e">
        <f>COUNTIFS(#REF!, "=2")</f>
        <v>#REF!</v>
      </c>
      <c r="P209" t="e">
        <f>#REF!</f>
        <v>#REF!</v>
      </c>
    </row>
    <row r="210" spans="1:16" x14ac:dyDescent="0.25">
      <c r="A210" t="e">
        <f>AND(#REF!=2, COUNTIF(Tables!L$1:L$4,#REF!))</f>
        <v>#REF!</v>
      </c>
      <c r="B210" t="e">
        <f>AND(#REF!=1, COUNTIF(Tables!L$1:L$4,#REF!))</f>
        <v>#REF!</v>
      </c>
      <c r="C210" t="e">
        <f>AND(A210,#REF!= 0)</f>
        <v>#REF!</v>
      </c>
      <c r="D210" t="e">
        <f>AND(B210,#REF!= 0)</f>
        <v>#REF!</v>
      </c>
      <c r="E210" t="e">
        <f>isNetPoint(#REF!)</f>
        <v>#VALUE!</v>
      </c>
      <c r="F210" t="e">
        <f>OR(#REF!=1,#REF!= 1)</f>
        <v>#REF!</v>
      </c>
      <c r="G210" t="e">
        <f>IF(#REF!=1,OR(E210="1",E210="3",F210=TRUE),OR(E210="2",E210="3"))</f>
        <v>#REF!</v>
      </c>
      <c r="H210" t="e">
        <f>IF(#REF!=2,OR(E210="1",E210="3",F210=TRUE),OR(E210="2",E210="3"))</f>
        <v>#REF!</v>
      </c>
      <c r="I210" t="e">
        <f>AND(G210=TRUE,#REF!=1)</f>
        <v>#REF!</v>
      </c>
      <c r="J210" t="e">
        <f>AND(H210=TRUE,#REF!=2)</f>
        <v>#REF!</v>
      </c>
      <c r="K210" t="e">
        <f>IF(#REF!=1,K209+1,0)</f>
        <v>#REF!</v>
      </c>
      <c r="L210" t="e">
        <f>IF(#REF!=2,L209+1,0)</f>
        <v>#REF!</v>
      </c>
      <c r="M210" t="e">
        <f>#REF!</f>
        <v>#REF!</v>
      </c>
      <c r="N210" t="e">
        <f>COUNTIFS(#REF!, "=1")</f>
        <v>#REF!</v>
      </c>
      <c r="O210" t="e">
        <f>COUNTIFS(#REF!, "=2")</f>
        <v>#REF!</v>
      </c>
      <c r="P210" t="e">
        <f>#REF!</f>
        <v>#REF!</v>
      </c>
    </row>
    <row r="211" spans="1:16" x14ac:dyDescent="0.25">
      <c r="A211" t="e">
        <f>AND(#REF!=2, COUNTIF(Tables!L$1:L$4,#REF!))</f>
        <v>#REF!</v>
      </c>
      <c r="B211" t="e">
        <f>AND(#REF!=1, COUNTIF(Tables!L$1:L$4,#REF!))</f>
        <v>#REF!</v>
      </c>
      <c r="C211" t="e">
        <f>AND(A211,#REF!= 0)</f>
        <v>#REF!</v>
      </c>
      <c r="D211" t="e">
        <f>AND(B211,#REF!= 0)</f>
        <v>#REF!</v>
      </c>
      <c r="E211" t="e">
        <f>isNetPoint(#REF!)</f>
        <v>#VALUE!</v>
      </c>
      <c r="F211" t="e">
        <f>OR(#REF!=1,#REF!= 1)</f>
        <v>#REF!</v>
      </c>
      <c r="G211" t="e">
        <f>IF(#REF!=1,OR(E211="1",E211="3",F211=TRUE),OR(E211="2",E211="3"))</f>
        <v>#REF!</v>
      </c>
      <c r="H211" t="e">
        <f>IF(#REF!=2,OR(E211="1",E211="3",F211=TRUE),OR(E211="2",E211="3"))</f>
        <v>#REF!</v>
      </c>
      <c r="I211" t="e">
        <f>AND(G211=TRUE,#REF!=1)</f>
        <v>#REF!</v>
      </c>
      <c r="J211" t="e">
        <f>AND(H211=TRUE,#REF!=2)</f>
        <v>#REF!</v>
      </c>
      <c r="K211" t="e">
        <f>IF(#REF!=1,K210+1,0)</f>
        <v>#REF!</v>
      </c>
      <c r="L211" t="e">
        <f>IF(#REF!=2,L210+1,0)</f>
        <v>#REF!</v>
      </c>
      <c r="M211" t="e">
        <f>#REF!</f>
        <v>#REF!</v>
      </c>
      <c r="N211" t="e">
        <f>COUNTIFS(#REF!, "=1")</f>
        <v>#REF!</v>
      </c>
      <c r="O211" t="e">
        <f>COUNTIFS(#REF!, "=2")</f>
        <v>#REF!</v>
      </c>
      <c r="P211" t="e">
        <f>#REF!</f>
        <v>#REF!</v>
      </c>
    </row>
    <row r="212" spans="1:16" x14ac:dyDescent="0.25">
      <c r="A212" t="e">
        <f>AND(#REF!=2, COUNTIF(Tables!L$1:L$4,#REF!))</f>
        <v>#REF!</v>
      </c>
      <c r="B212" t="e">
        <f>AND(#REF!=1, COUNTIF(Tables!L$1:L$4,#REF!))</f>
        <v>#REF!</v>
      </c>
      <c r="C212" t="e">
        <f>AND(A212,#REF!= 0)</f>
        <v>#REF!</v>
      </c>
      <c r="D212" t="e">
        <f>AND(B212,#REF!= 0)</f>
        <v>#REF!</v>
      </c>
      <c r="E212" t="e">
        <f>isNetPoint(#REF!)</f>
        <v>#VALUE!</v>
      </c>
      <c r="F212" t="e">
        <f>OR(#REF!=1,#REF!= 1)</f>
        <v>#REF!</v>
      </c>
      <c r="G212" t="e">
        <f>IF(#REF!=1,OR(E212="1",E212="3",F212=TRUE),OR(E212="2",E212="3"))</f>
        <v>#REF!</v>
      </c>
      <c r="H212" t="e">
        <f>IF(#REF!=2,OR(E212="1",E212="3",F212=TRUE),OR(E212="2",E212="3"))</f>
        <v>#REF!</v>
      </c>
      <c r="I212" t="e">
        <f>AND(G212=TRUE,#REF!=1)</f>
        <v>#REF!</v>
      </c>
      <c r="J212" t="e">
        <f>AND(H212=TRUE,#REF!=2)</f>
        <v>#REF!</v>
      </c>
      <c r="K212" t="e">
        <f>IF(#REF!=1,K211+1,0)</f>
        <v>#REF!</v>
      </c>
      <c r="L212" t="e">
        <f>IF(#REF!=2,L211+1,0)</f>
        <v>#REF!</v>
      </c>
      <c r="M212" t="e">
        <f>#REF!</f>
        <v>#REF!</v>
      </c>
      <c r="N212" t="e">
        <f>COUNTIFS(#REF!, "=1")</f>
        <v>#REF!</v>
      </c>
      <c r="O212" t="e">
        <f>COUNTIFS(#REF!, "=2")</f>
        <v>#REF!</v>
      </c>
      <c r="P212" t="e">
        <f>#REF!</f>
        <v>#REF!</v>
      </c>
    </row>
    <row r="213" spans="1:16" x14ac:dyDescent="0.25">
      <c r="A213" t="e">
        <f>AND(#REF!=2, COUNTIF(Tables!L$1:L$4,#REF!))</f>
        <v>#REF!</v>
      </c>
      <c r="B213" t="e">
        <f>AND(#REF!=1, COUNTIF(Tables!L$1:L$4,#REF!))</f>
        <v>#REF!</v>
      </c>
      <c r="C213" t="e">
        <f>AND(A213,#REF!= 0)</f>
        <v>#REF!</v>
      </c>
      <c r="D213" t="e">
        <f>AND(B213,#REF!= 0)</f>
        <v>#REF!</v>
      </c>
      <c r="E213" t="e">
        <f>isNetPoint(#REF!)</f>
        <v>#VALUE!</v>
      </c>
      <c r="F213" t="e">
        <f>OR(#REF!=1,#REF!= 1)</f>
        <v>#REF!</v>
      </c>
      <c r="G213" t="e">
        <f>IF(#REF!=1,OR(E213="1",E213="3",F213=TRUE),OR(E213="2",E213="3"))</f>
        <v>#REF!</v>
      </c>
      <c r="H213" t="e">
        <f>IF(#REF!=2,OR(E213="1",E213="3",F213=TRUE),OR(E213="2",E213="3"))</f>
        <v>#REF!</v>
      </c>
      <c r="I213" t="e">
        <f>AND(G213=TRUE,#REF!=1)</f>
        <v>#REF!</v>
      </c>
      <c r="J213" t="e">
        <f>AND(H213=TRUE,#REF!=2)</f>
        <v>#REF!</v>
      </c>
      <c r="K213" t="e">
        <f>IF(#REF!=1,K212+1,0)</f>
        <v>#REF!</v>
      </c>
      <c r="L213" t="e">
        <f>IF(#REF!=2,L212+1,0)</f>
        <v>#REF!</v>
      </c>
      <c r="M213" t="e">
        <f>#REF!</f>
        <v>#REF!</v>
      </c>
      <c r="N213" t="e">
        <f>COUNTIFS(#REF!, "=1")</f>
        <v>#REF!</v>
      </c>
      <c r="O213" t="e">
        <f>COUNTIFS(#REF!, "=2")</f>
        <v>#REF!</v>
      </c>
      <c r="P213" t="e">
        <f>#REF!</f>
        <v>#REF!</v>
      </c>
    </row>
    <row r="214" spans="1:16" x14ac:dyDescent="0.25">
      <c r="A214" t="e">
        <f>AND(#REF!=2, COUNTIF(Tables!L$1:L$4,#REF!))</f>
        <v>#REF!</v>
      </c>
      <c r="B214" t="e">
        <f>AND(#REF!=1, COUNTIF(Tables!L$1:L$4,#REF!))</f>
        <v>#REF!</v>
      </c>
      <c r="C214" t="e">
        <f>AND(A214,#REF!= 0)</f>
        <v>#REF!</v>
      </c>
      <c r="D214" t="e">
        <f>AND(B214,#REF!= 0)</f>
        <v>#REF!</v>
      </c>
      <c r="E214" t="e">
        <f>isNetPoint(#REF!)</f>
        <v>#VALUE!</v>
      </c>
      <c r="F214" t="e">
        <f>OR(#REF!=1,#REF!= 1)</f>
        <v>#REF!</v>
      </c>
      <c r="G214" t="e">
        <f>IF(#REF!=1,OR(E214="1",E214="3",F214=TRUE),OR(E214="2",E214="3"))</f>
        <v>#REF!</v>
      </c>
      <c r="H214" t="e">
        <f>IF(#REF!=2,OR(E214="1",E214="3",F214=TRUE),OR(E214="2",E214="3"))</f>
        <v>#REF!</v>
      </c>
      <c r="I214" t="e">
        <f>AND(G214=TRUE,#REF!=1)</f>
        <v>#REF!</v>
      </c>
      <c r="J214" t="e">
        <f>AND(H214=TRUE,#REF!=2)</f>
        <v>#REF!</v>
      </c>
      <c r="K214" t="e">
        <f>IF(#REF!=1,K213+1,0)</f>
        <v>#REF!</v>
      </c>
      <c r="L214" t="e">
        <f>IF(#REF!=2,L213+1,0)</f>
        <v>#REF!</v>
      </c>
      <c r="M214" t="e">
        <f>#REF!</f>
        <v>#REF!</v>
      </c>
      <c r="N214" t="e">
        <f>COUNTIFS(#REF!, "=1")</f>
        <v>#REF!</v>
      </c>
      <c r="O214" t="e">
        <f>COUNTIFS(#REF!, "=2")</f>
        <v>#REF!</v>
      </c>
      <c r="P214" t="e">
        <f>#REF!</f>
        <v>#REF!</v>
      </c>
    </row>
    <row r="215" spans="1:16" x14ac:dyDescent="0.25">
      <c r="A215" t="e">
        <f>AND(#REF!=2, COUNTIF(Tables!L$1:L$4,#REF!))</f>
        <v>#REF!</v>
      </c>
      <c r="B215" t="e">
        <f>AND(#REF!=1, COUNTIF(Tables!L$1:L$4,#REF!))</f>
        <v>#REF!</v>
      </c>
      <c r="C215" t="e">
        <f>AND(A215,#REF!= 0)</f>
        <v>#REF!</v>
      </c>
      <c r="D215" t="e">
        <f>AND(B215,#REF!= 0)</f>
        <v>#REF!</v>
      </c>
      <c r="E215" t="e">
        <f>isNetPoint(#REF!)</f>
        <v>#VALUE!</v>
      </c>
      <c r="F215" t="e">
        <f>OR(#REF!=1,#REF!= 1)</f>
        <v>#REF!</v>
      </c>
      <c r="G215" t="e">
        <f>IF(#REF!=1,OR(E215="1",E215="3",F215=TRUE),OR(E215="2",E215="3"))</f>
        <v>#REF!</v>
      </c>
      <c r="H215" t="e">
        <f>IF(#REF!=2,OR(E215="1",E215="3",F215=TRUE),OR(E215="2",E215="3"))</f>
        <v>#REF!</v>
      </c>
      <c r="I215" t="e">
        <f>AND(G215=TRUE,#REF!=1)</f>
        <v>#REF!</v>
      </c>
      <c r="J215" t="e">
        <f>AND(H215=TRUE,#REF!=2)</f>
        <v>#REF!</v>
      </c>
      <c r="K215" t="e">
        <f>IF(#REF!=1,K214+1,0)</f>
        <v>#REF!</v>
      </c>
      <c r="L215" t="e">
        <f>IF(#REF!=2,L214+1,0)</f>
        <v>#REF!</v>
      </c>
      <c r="M215" t="e">
        <f>#REF!</f>
        <v>#REF!</v>
      </c>
      <c r="N215" t="e">
        <f>COUNTIFS(#REF!, "=1")</f>
        <v>#REF!</v>
      </c>
      <c r="O215" t="e">
        <f>COUNTIFS(#REF!, "=2")</f>
        <v>#REF!</v>
      </c>
      <c r="P215" t="e">
        <f>#REF!</f>
        <v>#REF!</v>
      </c>
    </row>
    <row r="216" spans="1:16" x14ac:dyDescent="0.25">
      <c r="A216" t="e">
        <f>AND(#REF!=2, COUNTIF(Tables!L$1:L$4,#REF!))</f>
        <v>#REF!</v>
      </c>
      <c r="B216" t="e">
        <f>AND(#REF!=1, COUNTIF(Tables!L$1:L$4,#REF!))</f>
        <v>#REF!</v>
      </c>
      <c r="C216" t="e">
        <f>AND(A216,#REF!= 0)</f>
        <v>#REF!</v>
      </c>
      <c r="D216" t="e">
        <f>AND(B216,#REF!= 0)</f>
        <v>#REF!</v>
      </c>
      <c r="E216" t="e">
        <f>isNetPoint(#REF!)</f>
        <v>#VALUE!</v>
      </c>
      <c r="F216" t="e">
        <f>OR(#REF!=1,#REF!= 1)</f>
        <v>#REF!</v>
      </c>
      <c r="G216" t="e">
        <f>IF(#REF!=1,OR(E216="1",E216="3",F216=TRUE),OR(E216="2",E216="3"))</f>
        <v>#REF!</v>
      </c>
      <c r="H216" t="e">
        <f>IF(#REF!=2,OR(E216="1",E216="3",F216=TRUE),OR(E216="2",E216="3"))</f>
        <v>#REF!</v>
      </c>
      <c r="I216" t="e">
        <f>AND(G216=TRUE,#REF!=1)</f>
        <v>#REF!</v>
      </c>
      <c r="J216" t="e">
        <f>AND(H216=TRUE,#REF!=2)</f>
        <v>#REF!</v>
      </c>
      <c r="K216" t="e">
        <f>IF(#REF!=1,K215+1,0)</f>
        <v>#REF!</v>
      </c>
      <c r="L216" t="e">
        <f>IF(#REF!=2,L215+1,0)</f>
        <v>#REF!</v>
      </c>
      <c r="M216" t="e">
        <f>#REF!</f>
        <v>#REF!</v>
      </c>
      <c r="N216" t="e">
        <f>COUNTIFS(#REF!, "=1")</f>
        <v>#REF!</v>
      </c>
      <c r="O216" t="e">
        <f>COUNTIFS(#REF!, "=2")</f>
        <v>#REF!</v>
      </c>
      <c r="P216" t="e">
        <f>#REF!</f>
        <v>#REF!</v>
      </c>
    </row>
    <row r="217" spans="1:16" x14ac:dyDescent="0.25">
      <c r="A217" t="e">
        <f>AND(#REF!=2, COUNTIF(Tables!L$1:L$4,#REF!))</f>
        <v>#REF!</v>
      </c>
      <c r="B217" t="e">
        <f>AND(#REF!=1, COUNTIF(Tables!L$1:L$4,#REF!))</f>
        <v>#REF!</v>
      </c>
      <c r="C217" t="e">
        <f>AND(A217,#REF!= 0)</f>
        <v>#REF!</v>
      </c>
      <c r="D217" t="e">
        <f>AND(B217,#REF!= 0)</f>
        <v>#REF!</v>
      </c>
      <c r="E217" t="e">
        <f>isNetPoint(#REF!)</f>
        <v>#VALUE!</v>
      </c>
      <c r="F217" t="e">
        <f>OR(#REF!=1,#REF!= 1)</f>
        <v>#REF!</v>
      </c>
      <c r="G217" t="e">
        <f>IF(#REF!=1,OR(E217="1",E217="3",F217=TRUE),OR(E217="2",E217="3"))</f>
        <v>#REF!</v>
      </c>
      <c r="H217" t="e">
        <f>IF(#REF!=2,OR(E217="1",E217="3",F217=TRUE),OR(E217="2",E217="3"))</f>
        <v>#REF!</v>
      </c>
      <c r="I217" t="e">
        <f>AND(G217=TRUE,#REF!=1)</f>
        <v>#REF!</v>
      </c>
      <c r="J217" t="e">
        <f>AND(H217=TRUE,#REF!=2)</f>
        <v>#REF!</v>
      </c>
      <c r="K217" t="e">
        <f>IF(#REF!=1,K216+1,0)</f>
        <v>#REF!</v>
      </c>
      <c r="L217" t="e">
        <f>IF(#REF!=2,L216+1,0)</f>
        <v>#REF!</v>
      </c>
      <c r="M217" t="e">
        <f>#REF!</f>
        <v>#REF!</v>
      </c>
      <c r="N217" t="e">
        <f>COUNTIFS(#REF!, "=1")</f>
        <v>#REF!</v>
      </c>
      <c r="O217" t="e">
        <f>COUNTIFS(#REF!, "=2")</f>
        <v>#REF!</v>
      </c>
      <c r="P217" t="e">
        <f>#REF!</f>
        <v>#REF!</v>
      </c>
    </row>
    <row r="218" spans="1:16" x14ac:dyDescent="0.25">
      <c r="A218" t="e">
        <f>AND(#REF!=2, COUNTIF(Tables!L$1:L$4,#REF!))</f>
        <v>#REF!</v>
      </c>
      <c r="B218" t="e">
        <f>AND(#REF!=1, COUNTIF(Tables!L$1:L$4,#REF!))</f>
        <v>#REF!</v>
      </c>
      <c r="C218" t="e">
        <f>AND(A218,#REF!= 0)</f>
        <v>#REF!</v>
      </c>
      <c r="D218" t="e">
        <f>AND(B218,#REF!= 0)</f>
        <v>#REF!</v>
      </c>
      <c r="E218" t="e">
        <f>isNetPoint(#REF!)</f>
        <v>#VALUE!</v>
      </c>
      <c r="F218" t="e">
        <f>OR(#REF!=1,#REF!= 1)</f>
        <v>#REF!</v>
      </c>
      <c r="G218" t="e">
        <f>IF(#REF!=1,OR(E218="1",E218="3",F218=TRUE),OR(E218="2",E218="3"))</f>
        <v>#REF!</v>
      </c>
      <c r="H218" t="e">
        <f>IF(#REF!=2,OR(E218="1",E218="3",F218=TRUE),OR(E218="2",E218="3"))</f>
        <v>#REF!</v>
      </c>
      <c r="I218" t="e">
        <f>AND(G218=TRUE,#REF!=1)</f>
        <v>#REF!</v>
      </c>
      <c r="J218" t="e">
        <f>AND(H218=TRUE,#REF!=2)</f>
        <v>#REF!</v>
      </c>
      <c r="K218" t="e">
        <f>IF(#REF!=1,K217+1,0)</f>
        <v>#REF!</v>
      </c>
      <c r="L218" t="e">
        <f>IF(#REF!=2,L217+1,0)</f>
        <v>#REF!</v>
      </c>
      <c r="M218" t="e">
        <f>#REF!</f>
        <v>#REF!</v>
      </c>
      <c r="N218" t="e">
        <f>COUNTIFS(#REF!, "=1")</f>
        <v>#REF!</v>
      </c>
      <c r="O218" t="e">
        <f>COUNTIFS(#REF!, "=2")</f>
        <v>#REF!</v>
      </c>
      <c r="P218" t="e">
        <f>#REF!</f>
        <v>#REF!</v>
      </c>
    </row>
    <row r="219" spans="1:16" x14ac:dyDescent="0.25">
      <c r="A219" t="e">
        <f>AND(#REF!=2, COUNTIF(Tables!L$1:L$4,#REF!))</f>
        <v>#REF!</v>
      </c>
      <c r="B219" t="e">
        <f>AND(#REF!=1, COUNTIF(Tables!L$1:L$4,#REF!))</f>
        <v>#REF!</v>
      </c>
      <c r="C219" t="e">
        <f>AND(A219,#REF!= 0)</f>
        <v>#REF!</v>
      </c>
      <c r="D219" t="e">
        <f>AND(B219,#REF!= 0)</f>
        <v>#REF!</v>
      </c>
      <c r="E219" t="e">
        <f>isNetPoint(#REF!)</f>
        <v>#VALUE!</v>
      </c>
      <c r="F219" t="e">
        <f>OR(#REF!=1,#REF!= 1)</f>
        <v>#REF!</v>
      </c>
      <c r="G219" t="e">
        <f>IF(#REF!=1,OR(E219="1",E219="3",F219=TRUE),OR(E219="2",E219="3"))</f>
        <v>#REF!</v>
      </c>
      <c r="H219" t="e">
        <f>IF(#REF!=2,OR(E219="1",E219="3",F219=TRUE),OR(E219="2",E219="3"))</f>
        <v>#REF!</v>
      </c>
      <c r="I219" t="e">
        <f>AND(G219=TRUE,#REF!=1)</f>
        <v>#REF!</v>
      </c>
      <c r="J219" t="e">
        <f>AND(H219=TRUE,#REF!=2)</f>
        <v>#REF!</v>
      </c>
      <c r="K219" t="e">
        <f>IF(#REF!=1,K218+1,0)</f>
        <v>#REF!</v>
      </c>
      <c r="L219" t="e">
        <f>IF(#REF!=2,L218+1,0)</f>
        <v>#REF!</v>
      </c>
      <c r="M219" t="e">
        <f>#REF!</f>
        <v>#REF!</v>
      </c>
      <c r="N219" t="e">
        <f>COUNTIFS(#REF!, "=1")</f>
        <v>#REF!</v>
      </c>
      <c r="O219" t="e">
        <f>COUNTIFS(#REF!, "=2")</f>
        <v>#REF!</v>
      </c>
      <c r="P219" t="e">
        <f>#REF!</f>
        <v>#REF!</v>
      </c>
    </row>
    <row r="220" spans="1:16" x14ac:dyDescent="0.25">
      <c r="A220" t="e">
        <f>AND(#REF!=2, COUNTIF(Tables!L$1:L$4,#REF!))</f>
        <v>#REF!</v>
      </c>
      <c r="B220" t="e">
        <f>AND(#REF!=1, COUNTIF(Tables!L$1:L$4,#REF!))</f>
        <v>#REF!</v>
      </c>
      <c r="C220" t="e">
        <f>AND(A220,#REF!= 0)</f>
        <v>#REF!</v>
      </c>
      <c r="D220" t="e">
        <f>AND(B220,#REF!= 0)</f>
        <v>#REF!</v>
      </c>
      <c r="E220" t="e">
        <f>isNetPoint(#REF!)</f>
        <v>#VALUE!</v>
      </c>
      <c r="F220" t="e">
        <f>OR(#REF!=1,#REF!= 1)</f>
        <v>#REF!</v>
      </c>
      <c r="G220" t="e">
        <f>IF(#REF!=1,OR(E220="1",E220="3",F220=TRUE),OR(E220="2",E220="3"))</f>
        <v>#REF!</v>
      </c>
      <c r="H220" t="e">
        <f>IF(#REF!=2,OR(E220="1",E220="3",F220=TRUE),OR(E220="2",E220="3"))</f>
        <v>#REF!</v>
      </c>
      <c r="I220" t="e">
        <f>AND(G220=TRUE,#REF!=1)</f>
        <v>#REF!</v>
      </c>
      <c r="J220" t="e">
        <f>AND(H220=TRUE,#REF!=2)</f>
        <v>#REF!</v>
      </c>
      <c r="K220" t="e">
        <f>IF(#REF!=1,K219+1,0)</f>
        <v>#REF!</v>
      </c>
      <c r="L220" t="e">
        <f>IF(#REF!=2,L219+1,0)</f>
        <v>#REF!</v>
      </c>
      <c r="M220" t="e">
        <f>#REF!</f>
        <v>#REF!</v>
      </c>
      <c r="N220" t="e">
        <f>COUNTIFS(#REF!, "=1")</f>
        <v>#REF!</v>
      </c>
      <c r="O220" t="e">
        <f>COUNTIFS(#REF!, "=2")</f>
        <v>#REF!</v>
      </c>
      <c r="P220" t="e">
        <f>#REF!</f>
        <v>#REF!</v>
      </c>
    </row>
    <row r="221" spans="1:16" x14ac:dyDescent="0.25">
      <c r="A221" t="e">
        <f>AND(#REF!=2, COUNTIF(Tables!L$1:L$4,#REF!))</f>
        <v>#REF!</v>
      </c>
      <c r="B221" t="e">
        <f>AND(#REF!=1, COUNTIF(Tables!L$1:L$4,#REF!))</f>
        <v>#REF!</v>
      </c>
      <c r="C221" t="e">
        <f>AND(A221,#REF!= 0)</f>
        <v>#REF!</v>
      </c>
      <c r="D221" t="e">
        <f>AND(B221,#REF!= 0)</f>
        <v>#REF!</v>
      </c>
      <c r="E221" t="e">
        <f>isNetPoint(#REF!)</f>
        <v>#VALUE!</v>
      </c>
      <c r="F221" t="e">
        <f>OR(#REF!=1,#REF!= 1)</f>
        <v>#REF!</v>
      </c>
      <c r="G221" t="e">
        <f>IF(#REF!=1,OR(E221="1",E221="3",F221=TRUE),OR(E221="2",E221="3"))</f>
        <v>#REF!</v>
      </c>
      <c r="H221" t="e">
        <f>IF(#REF!=2,OR(E221="1",E221="3",F221=TRUE),OR(E221="2",E221="3"))</f>
        <v>#REF!</v>
      </c>
      <c r="I221" t="e">
        <f>AND(G221=TRUE,#REF!=1)</f>
        <v>#REF!</v>
      </c>
      <c r="J221" t="e">
        <f>AND(H221=TRUE,#REF!=2)</f>
        <v>#REF!</v>
      </c>
      <c r="K221" t="e">
        <f>IF(#REF!=1,K220+1,0)</f>
        <v>#REF!</v>
      </c>
      <c r="L221" t="e">
        <f>IF(#REF!=2,L220+1,0)</f>
        <v>#REF!</v>
      </c>
      <c r="M221" t="e">
        <f>#REF!</f>
        <v>#REF!</v>
      </c>
      <c r="N221" t="e">
        <f>COUNTIFS(#REF!, "=1")</f>
        <v>#REF!</v>
      </c>
      <c r="O221" t="e">
        <f>COUNTIFS(#REF!, "=2")</f>
        <v>#REF!</v>
      </c>
      <c r="P221" t="e">
        <f>#REF!</f>
        <v>#REF!</v>
      </c>
    </row>
    <row r="222" spans="1:16" x14ac:dyDescent="0.25">
      <c r="A222" t="e">
        <f>AND(#REF!=2, COUNTIF(Tables!L$1:L$4,#REF!))</f>
        <v>#REF!</v>
      </c>
      <c r="B222" t="e">
        <f>AND(#REF!=1, COUNTIF(Tables!L$1:L$4,#REF!))</f>
        <v>#REF!</v>
      </c>
      <c r="C222" t="e">
        <f>AND(A222,#REF!= 0)</f>
        <v>#REF!</v>
      </c>
      <c r="D222" t="e">
        <f>AND(B222,#REF!= 0)</f>
        <v>#REF!</v>
      </c>
      <c r="E222" t="e">
        <f>isNetPoint(#REF!)</f>
        <v>#VALUE!</v>
      </c>
      <c r="F222" t="e">
        <f>OR(#REF!=1,#REF!= 1)</f>
        <v>#REF!</v>
      </c>
      <c r="G222" t="e">
        <f>IF(#REF!=1,OR(E222="1",E222="3",F222=TRUE),OR(E222="2",E222="3"))</f>
        <v>#REF!</v>
      </c>
      <c r="H222" t="e">
        <f>IF(#REF!=2,OR(E222="1",E222="3",F222=TRUE),OR(E222="2",E222="3"))</f>
        <v>#REF!</v>
      </c>
      <c r="I222" t="e">
        <f>AND(G222=TRUE,#REF!=1)</f>
        <v>#REF!</v>
      </c>
      <c r="J222" t="e">
        <f>AND(H222=TRUE,#REF!=2)</f>
        <v>#REF!</v>
      </c>
      <c r="K222" t="e">
        <f>IF(#REF!=1,K221+1,0)</f>
        <v>#REF!</v>
      </c>
      <c r="L222" t="e">
        <f>IF(#REF!=2,L221+1,0)</f>
        <v>#REF!</v>
      </c>
      <c r="M222" t="e">
        <f>#REF!</f>
        <v>#REF!</v>
      </c>
      <c r="N222" t="e">
        <f>COUNTIFS(#REF!, "=1")</f>
        <v>#REF!</v>
      </c>
      <c r="O222" t="e">
        <f>COUNTIFS(#REF!, "=2")</f>
        <v>#REF!</v>
      </c>
      <c r="P222" t="e">
        <f>#REF!</f>
        <v>#REF!</v>
      </c>
    </row>
    <row r="223" spans="1:16" x14ac:dyDescent="0.25">
      <c r="A223" t="e">
        <f>AND(#REF!=2, COUNTIF(Tables!L$1:L$4,#REF!))</f>
        <v>#REF!</v>
      </c>
      <c r="B223" t="e">
        <f>AND(#REF!=1, COUNTIF(Tables!L$1:L$4,#REF!))</f>
        <v>#REF!</v>
      </c>
      <c r="C223" t="e">
        <f>AND(A223,#REF!= 0)</f>
        <v>#REF!</v>
      </c>
      <c r="D223" t="e">
        <f>AND(B223,#REF!= 0)</f>
        <v>#REF!</v>
      </c>
      <c r="E223" t="e">
        <f>isNetPoint(#REF!)</f>
        <v>#VALUE!</v>
      </c>
      <c r="F223" t="e">
        <f>OR(#REF!=1,#REF!= 1)</f>
        <v>#REF!</v>
      </c>
      <c r="G223" t="e">
        <f>IF(#REF!=1,OR(E223="1",E223="3",F223=TRUE),OR(E223="2",E223="3"))</f>
        <v>#REF!</v>
      </c>
      <c r="H223" t="e">
        <f>IF(#REF!=2,OR(E223="1",E223="3",F223=TRUE),OR(E223="2",E223="3"))</f>
        <v>#REF!</v>
      </c>
      <c r="I223" t="e">
        <f>AND(G223=TRUE,#REF!=1)</f>
        <v>#REF!</v>
      </c>
      <c r="J223" t="e">
        <f>AND(H223=TRUE,#REF!=2)</f>
        <v>#REF!</v>
      </c>
      <c r="K223" t="e">
        <f>IF(#REF!=1,K222+1,0)</f>
        <v>#REF!</v>
      </c>
      <c r="L223" t="e">
        <f>IF(#REF!=2,L222+1,0)</f>
        <v>#REF!</v>
      </c>
      <c r="M223" t="e">
        <f>#REF!</f>
        <v>#REF!</v>
      </c>
      <c r="N223" t="e">
        <f>COUNTIFS(#REF!, "=1")</f>
        <v>#REF!</v>
      </c>
      <c r="O223" t="e">
        <f>COUNTIFS(#REF!, "=2")</f>
        <v>#REF!</v>
      </c>
      <c r="P223" t="e">
        <f>#REF!</f>
        <v>#REF!</v>
      </c>
    </row>
    <row r="224" spans="1:16" x14ac:dyDescent="0.25">
      <c r="A224" t="e">
        <f>AND(#REF!=2, COUNTIF(Tables!L$1:L$4,#REF!))</f>
        <v>#REF!</v>
      </c>
      <c r="B224" t="e">
        <f>AND(#REF!=1, COUNTIF(Tables!L$1:L$4,#REF!))</f>
        <v>#REF!</v>
      </c>
      <c r="C224" t="e">
        <f>AND(A224,#REF!= 0)</f>
        <v>#REF!</v>
      </c>
      <c r="D224" t="e">
        <f>AND(B224,#REF!= 0)</f>
        <v>#REF!</v>
      </c>
      <c r="E224" t="e">
        <f>isNetPoint(#REF!)</f>
        <v>#VALUE!</v>
      </c>
      <c r="F224" t="e">
        <f>OR(#REF!=1,#REF!= 1)</f>
        <v>#REF!</v>
      </c>
      <c r="G224" t="e">
        <f>IF(#REF!=1,OR(E224="1",E224="3",F224=TRUE),OR(E224="2",E224="3"))</f>
        <v>#REF!</v>
      </c>
      <c r="H224" t="e">
        <f>IF(#REF!=2,OR(E224="1",E224="3",F224=TRUE),OR(E224="2",E224="3"))</f>
        <v>#REF!</v>
      </c>
      <c r="I224" t="e">
        <f>AND(G224=TRUE,#REF!=1)</f>
        <v>#REF!</v>
      </c>
      <c r="J224" t="e">
        <f>AND(H224=TRUE,#REF!=2)</f>
        <v>#REF!</v>
      </c>
      <c r="K224" t="e">
        <f>IF(#REF!=1,K223+1,0)</f>
        <v>#REF!</v>
      </c>
      <c r="L224" t="e">
        <f>IF(#REF!=2,L223+1,0)</f>
        <v>#REF!</v>
      </c>
      <c r="M224" t="e">
        <f>#REF!</f>
        <v>#REF!</v>
      </c>
      <c r="N224" t="e">
        <f>COUNTIFS(#REF!, "=1")</f>
        <v>#REF!</v>
      </c>
      <c r="O224" t="e">
        <f>COUNTIFS(#REF!, "=2")</f>
        <v>#REF!</v>
      </c>
      <c r="P224" t="e">
        <f>#REF!</f>
        <v>#REF!</v>
      </c>
    </row>
    <row r="225" spans="1:16" x14ac:dyDescent="0.25">
      <c r="A225" t="e">
        <f>AND(#REF!=2, COUNTIF(Tables!L$1:L$4,#REF!))</f>
        <v>#REF!</v>
      </c>
      <c r="B225" t="e">
        <f>AND(#REF!=1, COUNTIF(Tables!L$1:L$4,#REF!))</f>
        <v>#REF!</v>
      </c>
      <c r="C225" t="e">
        <f>AND(A225,#REF!= 0)</f>
        <v>#REF!</v>
      </c>
      <c r="D225" t="e">
        <f>AND(B225,#REF!= 0)</f>
        <v>#REF!</v>
      </c>
      <c r="E225" t="e">
        <f>isNetPoint(#REF!)</f>
        <v>#VALUE!</v>
      </c>
      <c r="F225" t="e">
        <f>OR(#REF!=1,#REF!= 1)</f>
        <v>#REF!</v>
      </c>
      <c r="G225" t="e">
        <f>IF(#REF!=1,OR(E225="1",E225="3",F225=TRUE),OR(E225="2",E225="3"))</f>
        <v>#REF!</v>
      </c>
      <c r="H225" t="e">
        <f>IF(#REF!=2,OR(E225="1",E225="3",F225=TRUE),OR(E225="2",E225="3"))</f>
        <v>#REF!</v>
      </c>
      <c r="I225" t="e">
        <f>AND(G225=TRUE,#REF!=1)</f>
        <v>#REF!</v>
      </c>
      <c r="J225" t="e">
        <f>AND(H225=TRUE,#REF!=2)</f>
        <v>#REF!</v>
      </c>
      <c r="K225" t="e">
        <f>IF(#REF!=1,K224+1,0)</f>
        <v>#REF!</v>
      </c>
      <c r="L225" t="e">
        <f>IF(#REF!=2,L224+1,0)</f>
        <v>#REF!</v>
      </c>
      <c r="M225" t="e">
        <f>#REF!</f>
        <v>#REF!</v>
      </c>
      <c r="N225" t="e">
        <f>COUNTIFS(#REF!, "=1")</f>
        <v>#REF!</v>
      </c>
      <c r="O225" t="e">
        <f>COUNTIFS(#REF!, "=2")</f>
        <v>#REF!</v>
      </c>
      <c r="P225" t="e">
        <f>#REF!</f>
        <v>#REF!</v>
      </c>
    </row>
    <row r="226" spans="1:16" x14ac:dyDescent="0.25">
      <c r="A226" t="e">
        <f>AND(#REF!=2, COUNTIF(Tables!L$1:L$4,#REF!))</f>
        <v>#REF!</v>
      </c>
      <c r="B226" t="e">
        <f>AND(#REF!=1, COUNTIF(Tables!L$1:L$4,#REF!))</f>
        <v>#REF!</v>
      </c>
      <c r="C226" t="e">
        <f>AND(A226,#REF!= 0)</f>
        <v>#REF!</v>
      </c>
      <c r="D226" t="e">
        <f>AND(B226,#REF!= 0)</f>
        <v>#REF!</v>
      </c>
      <c r="E226" t="e">
        <f>isNetPoint(#REF!)</f>
        <v>#VALUE!</v>
      </c>
      <c r="F226" t="e">
        <f>OR(#REF!=1,#REF!= 1)</f>
        <v>#REF!</v>
      </c>
      <c r="G226" t="e">
        <f>IF(#REF!=1,OR(E226="1",E226="3",F226=TRUE),OR(E226="2",E226="3"))</f>
        <v>#REF!</v>
      </c>
      <c r="H226" t="e">
        <f>IF(#REF!=2,OR(E226="1",E226="3",F226=TRUE),OR(E226="2",E226="3"))</f>
        <v>#REF!</v>
      </c>
      <c r="I226" t="e">
        <f>AND(G226=TRUE,#REF!=1)</f>
        <v>#REF!</v>
      </c>
      <c r="J226" t="e">
        <f>AND(H226=TRUE,#REF!=2)</f>
        <v>#REF!</v>
      </c>
      <c r="K226" t="e">
        <f>IF(#REF!=1,K225+1,0)</f>
        <v>#REF!</v>
      </c>
      <c r="L226" t="e">
        <f>IF(#REF!=2,L225+1,0)</f>
        <v>#REF!</v>
      </c>
      <c r="M226" t="e">
        <f>#REF!</f>
        <v>#REF!</v>
      </c>
      <c r="N226" t="e">
        <f>COUNTIFS(#REF!, "=1")</f>
        <v>#REF!</v>
      </c>
      <c r="O226" t="e">
        <f>COUNTIFS(#REF!, "=2")</f>
        <v>#REF!</v>
      </c>
      <c r="P226" t="e">
        <f>#REF!</f>
        <v>#REF!</v>
      </c>
    </row>
    <row r="227" spans="1:16" x14ac:dyDescent="0.25">
      <c r="A227" t="e">
        <f>AND(#REF!=2, COUNTIF(Tables!L$1:L$4,#REF!))</f>
        <v>#REF!</v>
      </c>
      <c r="B227" t="e">
        <f>AND(#REF!=1, COUNTIF(Tables!L$1:L$4,#REF!))</f>
        <v>#REF!</v>
      </c>
      <c r="C227" t="e">
        <f>AND(A227,#REF!= 0)</f>
        <v>#REF!</v>
      </c>
      <c r="D227" t="e">
        <f>AND(B227,#REF!= 0)</f>
        <v>#REF!</v>
      </c>
      <c r="E227" t="e">
        <f>isNetPoint(#REF!)</f>
        <v>#VALUE!</v>
      </c>
      <c r="F227" t="e">
        <f>OR(#REF!=1,#REF!= 1)</f>
        <v>#REF!</v>
      </c>
      <c r="G227" t="e">
        <f>IF(#REF!=1,OR(E227="1",E227="3",F227=TRUE),OR(E227="2",E227="3"))</f>
        <v>#REF!</v>
      </c>
      <c r="H227" t="e">
        <f>IF(#REF!=2,OR(E227="1",E227="3",F227=TRUE),OR(E227="2",E227="3"))</f>
        <v>#REF!</v>
      </c>
      <c r="I227" t="e">
        <f>AND(G227=TRUE,#REF!=1)</f>
        <v>#REF!</v>
      </c>
      <c r="J227" t="e">
        <f>AND(H227=TRUE,#REF!=2)</f>
        <v>#REF!</v>
      </c>
      <c r="K227" t="e">
        <f>IF(#REF!=1,K226+1,0)</f>
        <v>#REF!</v>
      </c>
      <c r="L227" t="e">
        <f>IF(#REF!=2,L226+1,0)</f>
        <v>#REF!</v>
      </c>
      <c r="M227" t="e">
        <f>#REF!</f>
        <v>#REF!</v>
      </c>
      <c r="N227" t="e">
        <f>COUNTIFS(#REF!, "=1")</f>
        <v>#REF!</v>
      </c>
      <c r="O227" t="e">
        <f>COUNTIFS(#REF!, "=2")</f>
        <v>#REF!</v>
      </c>
      <c r="P227" t="e">
        <f>#REF!</f>
        <v>#REF!</v>
      </c>
    </row>
    <row r="228" spans="1:16" x14ac:dyDescent="0.25">
      <c r="A228" t="e">
        <f>AND(#REF!=2, COUNTIF(Tables!L$1:L$4,#REF!))</f>
        <v>#REF!</v>
      </c>
      <c r="B228" t="e">
        <f>AND(#REF!=1, COUNTIF(Tables!L$1:L$4,#REF!))</f>
        <v>#REF!</v>
      </c>
      <c r="C228" t="e">
        <f>AND(A228,#REF!= 0)</f>
        <v>#REF!</v>
      </c>
      <c r="D228" t="e">
        <f>AND(B228,#REF!= 0)</f>
        <v>#REF!</v>
      </c>
      <c r="E228" t="e">
        <f>isNetPoint(#REF!)</f>
        <v>#VALUE!</v>
      </c>
      <c r="F228" t="e">
        <f>OR(#REF!=1,#REF!= 1)</f>
        <v>#REF!</v>
      </c>
      <c r="G228" t="e">
        <f>IF(#REF!=1,OR(E228="1",E228="3",F228=TRUE),OR(E228="2",E228="3"))</f>
        <v>#REF!</v>
      </c>
      <c r="H228" t="e">
        <f>IF(#REF!=2,OR(E228="1",E228="3",F228=TRUE),OR(E228="2",E228="3"))</f>
        <v>#REF!</v>
      </c>
      <c r="I228" t="e">
        <f>AND(G228=TRUE,#REF!=1)</f>
        <v>#REF!</v>
      </c>
      <c r="J228" t="e">
        <f>AND(H228=TRUE,#REF!=2)</f>
        <v>#REF!</v>
      </c>
      <c r="K228" t="e">
        <f>IF(#REF!=1,K227+1,0)</f>
        <v>#REF!</v>
      </c>
      <c r="L228" t="e">
        <f>IF(#REF!=2,L227+1,0)</f>
        <v>#REF!</v>
      </c>
      <c r="M228" t="e">
        <f>#REF!</f>
        <v>#REF!</v>
      </c>
      <c r="N228" t="e">
        <f>COUNTIFS(#REF!, "=1")</f>
        <v>#REF!</v>
      </c>
      <c r="O228" t="e">
        <f>COUNTIFS(#REF!, "=2")</f>
        <v>#REF!</v>
      </c>
      <c r="P228" t="e">
        <f>#REF!</f>
        <v>#REF!</v>
      </c>
    </row>
    <row r="229" spans="1:16" x14ac:dyDescent="0.25">
      <c r="A229" t="e">
        <f>AND(#REF!=2, COUNTIF(Tables!L$1:L$4,#REF!))</f>
        <v>#REF!</v>
      </c>
      <c r="B229" t="e">
        <f>AND(#REF!=1, COUNTIF(Tables!L$1:L$4,#REF!))</f>
        <v>#REF!</v>
      </c>
      <c r="C229" t="e">
        <f>AND(A229,#REF!= 0)</f>
        <v>#REF!</v>
      </c>
      <c r="D229" t="e">
        <f>AND(B229,#REF!= 0)</f>
        <v>#REF!</v>
      </c>
      <c r="E229" t="e">
        <f>isNetPoint(#REF!)</f>
        <v>#VALUE!</v>
      </c>
      <c r="F229" t="e">
        <f>OR(#REF!=1,#REF!= 1)</f>
        <v>#REF!</v>
      </c>
      <c r="G229" t="e">
        <f>IF(#REF!=1,OR(E229="1",E229="3",F229=TRUE),OR(E229="2",E229="3"))</f>
        <v>#REF!</v>
      </c>
      <c r="H229" t="e">
        <f>IF(#REF!=2,OR(E229="1",E229="3",F229=TRUE),OR(E229="2",E229="3"))</f>
        <v>#REF!</v>
      </c>
      <c r="I229" t="e">
        <f>AND(G229=TRUE,#REF!=1)</f>
        <v>#REF!</v>
      </c>
      <c r="J229" t="e">
        <f>AND(H229=TRUE,#REF!=2)</f>
        <v>#REF!</v>
      </c>
      <c r="K229" t="e">
        <f>IF(#REF!=1,K228+1,0)</f>
        <v>#REF!</v>
      </c>
      <c r="L229" t="e">
        <f>IF(#REF!=2,L228+1,0)</f>
        <v>#REF!</v>
      </c>
      <c r="M229" t="e">
        <f>#REF!</f>
        <v>#REF!</v>
      </c>
      <c r="N229" t="e">
        <f>COUNTIFS(#REF!, "=1")</f>
        <v>#REF!</v>
      </c>
      <c r="O229" t="e">
        <f>COUNTIFS(#REF!, "=2")</f>
        <v>#REF!</v>
      </c>
      <c r="P229" t="e">
        <f>#REF!</f>
        <v>#REF!</v>
      </c>
    </row>
    <row r="230" spans="1:16" x14ac:dyDescent="0.25">
      <c r="A230" t="e">
        <f>AND(#REF!=2, COUNTIF(Tables!L$1:L$4,#REF!))</f>
        <v>#REF!</v>
      </c>
      <c r="B230" t="e">
        <f>AND(#REF!=1, COUNTIF(Tables!L$1:L$4,#REF!))</f>
        <v>#REF!</v>
      </c>
      <c r="C230" t="e">
        <f>AND(A230,#REF!= 0)</f>
        <v>#REF!</v>
      </c>
      <c r="D230" t="e">
        <f>AND(B230,#REF!= 0)</f>
        <v>#REF!</v>
      </c>
      <c r="E230" t="e">
        <f>isNetPoint(#REF!)</f>
        <v>#VALUE!</v>
      </c>
      <c r="F230" t="e">
        <f>OR(#REF!=1,#REF!= 1)</f>
        <v>#REF!</v>
      </c>
      <c r="G230" t="e">
        <f>IF(#REF!=1,OR(E230="1",E230="3",F230=TRUE),OR(E230="2",E230="3"))</f>
        <v>#REF!</v>
      </c>
      <c r="H230" t="e">
        <f>IF(#REF!=2,OR(E230="1",E230="3",F230=TRUE),OR(E230="2",E230="3"))</f>
        <v>#REF!</v>
      </c>
      <c r="I230" t="e">
        <f>AND(G230=TRUE,#REF!=1)</f>
        <v>#REF!</v>
      </c>
      <c r="J230" t="e">
        <f>AND(H230=TRUE,#REF!=2)</f>
        <v>#REF!</v>
      </c>
      <c r="K230" t="e">
        <f>IF(#REF!=1,K229+1,0)</f>
        <v>#REF!</v>
      </c>
      <c r="L230" t="e">
        <f>IF(#REF!=2,L229+1,0)</f>
        <v>#REF!</v>
      </c>
      <c r="M230" t="e">
        <f>#REF!</f>
        <v>#REF!</v>
      </c>
      <c r="N230" t="e">
        <f>COUNTIFS(#REF!, "=1")</f>
        <v>#REF!</v>
      </c>
      <c r="O230" t="e">
        <f>COUNTIFS(#REF!, "=2")</f>
        <v>#REF!</v>
      </c>
      <c r="P230" t="e">
        <f>#REF!</f>
        <v>#REF!</v>
      </c>
    </row>
    <row r="231" spans="1:16" x14ac:dyDescent="0.25">
      <c r="A231" t="e">
        <f>AND(#REF!=2, COUNTIF(Tables!L$1:L$4,#REF!))</f>
        <v>#REF!</v>
      </c>
      <c r="B231" t="e">
        <f>AND(#REF!=1, COUNTIF(Tables!L$1:L$4,#REF!))</f>
        <v>#REF!</v>
      </c>
      <c r="C231" t="e">
        <f>AND(A231,#REF!= 0)</f>
        <v>#REF!</v>
      </c>
      <c r="D231" t="e">
        <f>AND(B231,#REF!= 0)</f>
        <v>#REF!</v>
      </c>
      <c r="E231" t="e">
        <f>isNetPoint(#REF!)</f>
        <v>#VALUE!</v>
      </c>
      <c r="F231" t="e">
        <f>OR(#REF!=1,#REF!= 1)</f>
        <v>#REF!</v>
      </c>
      <c r="G231" t="e">
        <f>IF(#REF!=1,OR(E231="1",E231="3",F231=TRUE),OR(E231="2",E231="3"))</f>
        <v>#REF!</v>
      </c>
      <c r="H231" t="e">
        <f>IF(#REF!=2,OR(E231="1",E231="3",F231=TRUE),OR(E231="2",E231="3"))</f>
        <v>#REF!</v>
      </c>
      <c r="I231" t="e">
        <f>AND(G231=TRUE,#REF!=1)</f>
        <v>#REF!</v>
      </c>
      <c r="J231" t="e">
        <f>AND(H231=TRUE,#REF!=2)</f>
        <v>#REF!</v>
      </c>
      <c r="K231" t="e">
        <f>IF(#REF!=1,K230+1,0)</f>
        <v>#REF!</v>
      </c>
      <c r="L231" t="e">
        <f>IF(#REF!=2,L230+1,0)</f>
        <v>#REF!</v>
      </c>
      <c r="M231" t="e">
        <f>#REF!</f>
        <v>#REF!</v>
      </c>
      <c r="N231" t="e">
        <f>COUNTIFS(#REF!, "=1")</f>
        <v>#REF!</v>
      </c>
      <c r="O231" t="e">
        <f>COUNTIFS(#REF!, "=2")</f>
        <v>#REF!</v>
      </c>
      <c r="P231" t="e">
        <f>#REF!</f>
        <v>#REF!</v>
      </c>
    </row>
    <row r="232" spans="1:16" x14ac:dyDescent="0.25">
      <c r="A232" t="e">
        <f>AND(#REF!=2, COUNTIF(Tables!L$1:L$4,#REF!))</f>
        <v>#REF!</v>
      </c>
      <c r="B232" t="e">
        <f>AND(#REF!=1, COUNTIF(Tables!L$1:L$4,#REF!))</f>
        <v>#REF!</v>
      </c>
      <c r="C232" t="e">
        <f>AND(A232,#REF!= 0)</f>
        <v>#REF!</v>
      </c>
      <c r="D232" t="e">
        <f>AND(B232,#REF!= 0)</f>
        <v>#REF!</v>
      </c>
      <c r="E232" t="e">
        <f>isNetPoint(#REF!)</f>
        <v>#VALUE!</v>
      </c>
      <c r="F232" t="e">
        <f>OR(#REF!=1,#REF!= 1)</f>
        <v>#REF!</v>
      </c>
      <c r="G232" t="e">
        <f>IF(#REF!=1,OR(E232="1",E232="3",F232=TRUE),OR(E232="2",E232="3"))</f>
        <v>#REF!</v>
      </c>
      <c r="H232" t="e">
        <f>IF(#REF!=2,OR(E232="1",E232="3",F232=TRUE),OR(E232="2",E232="3"))</f>
        <v>#REF!</v>
      </c>
      <c r="I232" t="e">
        <f>AND(G232=TRUE,#REF!=1)</f>
        <v>#REF!</v>
      </c>
      <c r="J232" t="e">
        <f>AND(H232=TRUE,#REF!=2)</f>
        <v>#REF!</v>
      </c>
      <c r="K232" t="e">
        <f>IF(#REF!=1,K231+1,0)</f>
        <v>#REF!</v>
      </c>
      <c r="L232" t="e">
        <f>IF(#REF!=2,L231+1,0)</f>
        <v>#REF!</v>
      </c>
      <c r="M232" t="e">
        <f>#REF!</f>
        <v>#REF!</v>
      </c>
      <c r="N232" t="e">
        <f>COUNTIFS(#REF!, "=1")</f>
        <v>#REF!</v>
      </c>
      <c r="O232" t="e">
        <f>COUNTIFS(#REF!, "=2")</f>
        <v>#REF!</v>
      </c>
      <c r="P232" t="e">
        <f>#REF!</f>
        <v>#REF!</v>
      </c>
    </row>
    <row r="233" spans="1:16" x14ac:dyDescent="0.25">
      <c r="A233" t="e">
        <f>AND(#REF!=2, COUNTIF(Tables!L$1:L$4,#REF!))</f>
        <v>#REF!</v>
      </c>
      <c r="B233" t="e">
        <f>AND(#REF!=1, COUNTIF(Tables!L$1:L$4,#REF!))</f>
        <v>#REF!</v>
      </c>
      <c r="C233" t="e">
        <f>AND(A233,#REF!= 0)</f>
        <v>#REF!</v>
      </c>
      <c r="D233" t="e">
        <f>AND(B233,#REF!= 0)</f>
        <v>#REF!</v>
      </c>
      <c r="E233" t="e">
        <f>isNetPoint(#REF!)</f>
        <v>#VALUE!</v>
      </c>
      <c r="F233" t="e">
        <f>OR(#REF!=1,#REF!= 1)</f>
        <v>#REF!</v>
      </c>
      <c r="G233" t="e">
        <f>IF(#REF!=1,OR(E233="1",E233="3",F233=TRUE),OR(E233="2",E233="3"))</f>
        <v>#REF!</v>
      </c>
      <c r="H233" t="e">
        <f>IF(#REF!=2,OR(E233="1",E233="3",F233=TRUE),OR(E233="2",E233="3"))</f>
        <v>#REF!</v>
      </c>
      <c r="I233" t="e">
        <f>AND(G233=TRUE,#REF!=1)</f>
        <v>#REF!</v>
      </c>
      <c r="J233" t="e">
        <f>AND(H233=TRUE,#REF!=2)</f>
        <v>#REF!</v>
      </c>
      <c r="K233" t="e">
        <f>IF(#REF!=1,K232+1,0)</f>
        <v>#REF!</v>
      </c>
      <c r="L233" t="e">
        <f>IF(#REF!=2,L232+1,0)</f>
        <v>#REF!</v>
      </c>
      <c r="M233" t="e">
        <f>#REF!</f>
        <v>#REF!</v>
      </c>
      <c r="N233" t="e">
        <f>COUNTIFS(#REF!, "=1")</f>
        <v>#REF!</v>
      </c>
      <c r="O233" t="e">
        <f>COUNTIFS(#REF!, "=2")</f>
        <v>#REF!</v>
      </c>
      <c r="P233" t="e">
        <f>#REF!</f>
        <v>#REF!</v>
      </c>
    </row>
    <row r="234" spans="1:16" x14ac:dyDescent="0.25">
      <c r="A234" t="e">
        <f>AND(#REF!=2, COUNTIF(Tables!L$1:L$4,#REF!))</f>
        <v>#REF!</v>
      </c>
      <c r="B234" t="e">
        <f>AND(#REF!=1, COUNTIF(Tables!L$1:L$4,#REF!))</f>
        <v>#REF!</v>
      </c>
      <c r="C234" t="e">
        <f>AND(A234,#REF!= 0)</f>
        <v>#REF!</v>
      </c>
      <c r="D234" t="e">
        <f>AND(B234,#REF!= 0)</f>
        <v>#REF!</v>
      </c>
      <c r="E234" t="e">
        <f>isNetPoint(#REF!)</f>
        <v>#VALUE!</v>
      </c>
      <c r="F234" t="e">
        <f>OR(#REF!=1,#REF!= 1)</f>
        <v>#REF!</v>
      </c>
      <c r="G234" t="e">
        <f>IF(#REF!=1,OR(E234="1",E234="3",F234=TRUE),OR(E234="2",E234="3"))</f>
        <v>#REF!</v>
      </c>
      <c r="H234" t="e">
        <f>IF(#REF!=2,OR(E234="1",E234="3",F234=TRUE),OR(E234="2",E234="3"))</f>
        <v>#REF!</v>
      </c>
      <c r="I234" t="e">
        <f>AND(G234=TRUE,#REF!=1)</f>
        <v>#REF!</v>
      </c>
      <c r="J234" t="e">
        <f>AND(H234=TRUE,#REF!=2)</f>
        <v>#REF!</v>
      </c>
      <c r="K234" t="e">
        <f>IF(#REF!=1,K233+1,0)</f>
        <v>#REF!</v>
      </c>
      <c r="L234" t="e">
        <f>IF(#REF!=2,L233+1,0)</f>
        <v>#REF!</v>
      </c>
      <c r="M234" t="e">
        <f>#REF!</f>
        <v>#REF!</v>
      </c>
      <c r="N234" t="e">
        <f>COUNTIFS(#REF!, "=1")</f>
        <v>#REF!</v>
      </c>
      <c r="O234" t="e">
        <f>COUNTIFS(#REF!, "=2")</f>
        <v>#REF!</v>
      </c>
      <c r="P234" t="e">
        <f>#REF!</f>
        <v>#REF!</v>
      </c>
    </row>
    <row r="235" spans="1:16" x14ac:dyDescent="0.25">
      <c r="A235" t="e">
        <f>AND(#REF!=2, COUNTIF(Tables!L$1:L$4,#REF!))</f>
        <v>#REF!</v>
      </c>
      <c r="B235" t="e">
        <f>AND(#REF!=1, COUNTIF(Tables!L$1:L$4,#REF!))</f>
        <v>#REF!</v>
      </c>
      <c r="C235" t="e">
        <f>AND(A235,#REF!= 0)</f>
        <v>#REF!</v>
      </c>
      <c r="D235" t="e">
        <f>AND(B235,#REF!= 0)</f>
        <v>#REF!</v>
      </c>
      <c r="E235" t="e">
        <f>isNetPoint(#REF!)</f>
        <v>#VALUE!</v>
      </c>
      <c r="F235" t="e">
        <f>OR(#REF!=1,#REF!= 1)</f>
        <v>#REF!</v>
      </c>
      <c r="G235" t="e">
        <f>IF(#REF!=1,OR(E235="1",E235="3",F235=TRUE),OR(E235="2",E235="3"))</f>
        <v>#REF!</v>
      </c>
      <c r="H235" t="e">
        <f>IF(#REF!=2,OR(E235="1",E235="3",F235=TRUE),OR(E235="2",E235="3"))</f>
        <v>#REF!</v>
      </c>
      <c r="I235" t="e">
        <f>AND(G235=TRUE,#REF!=1)</f>
        <v>#REF!</v>
      </c>
      <c r="J235" t="e">
        <f>AND(H235=TRUE,#REF!=2)</f>
        <v>#REF!</v>
      </c>
      <c r="K235" t="e">
        <f>IF(#REF!=1,K234+1,0)</f>
        <v>#REF!</v>
      </c>
      <c r="L235" t="e">
        <f>IF(#REF!=2,L234+1,0)</f>
        <v>#REF!</v>
      </c>
      <c r="M235" t="e">
        <f>#REF!</f>
        <v>#REF!</v>
      </c>
      <c r="N235" t="e">
        <f>COUNTIFS(#REF!, "=1")</f>
        <v>#REF!</v>
      </c>
      <c r="O235" t="e">
        <f>COUNTIFS(#REF!, "=2")</f>
        <v>#REF!</v>
      </c>
      <c r="P235" t="e">
        <f>#REF!</f>
        <v>#REF!</v>
      </c>
    </row>
    <row r="236" spans="1:16" x14ac:dyDescent="0.25">
      <c r="A236" t="e">
        <f>AND(#REF!=2, COUNTIF(Tables!L$1:L$4,#REF!))</f>
        <v>#REF!</v>
      </c>
      <c r="B236" t="e">
        <f>AND(#REF!=1, COUNTIF(Tables!L$1:L$4,#REF!))</f>
        <v>#REF!</v>
      </c>
      <c r="C236" t="e">
        <f>AND(A236,#REF!= 0)</f>
        <v>#REF!</v>
      </c>
      <c r="D236" t="e">
        <f>AND(B236,#REF!= 0)</f>
        <v>#REF!</v>
      </c>
      <c r="E236" t="e">
        <f>isNetPoint(#REF!)</f>
        <v>#VALUE!</v>
      </c>
      <c r="F236" t="e">
        <f>OR(#REF!=1,#REF!= 1)</f>
        <v>#REF!</v>
      </c>
      <c r="G236" t="e">
        <f>IF(#REF!=1,OR(E236="1",E236="3",F236=TRUE),OR(E236="2",E236="3"))</f>
        <v>#REF!</v>
      </c>
      <c r="H236" t="e">
        <f>IF(#REF!=2,OR(E236="1",E236="3",F236=TRUE),OR(E236="2",E236="3"))</f>
        <v>#REF!</v>
      </c>
      <c r="I236" t="e">
        <f>AND(G236=TRUE,#REF!=1)</f>
        <v>#REF!</v>
      </c>
      <c r="J236" t="e">
        <f>AND(H236=TRUE,#REF!=2)</f>
        <v>#REF!</v>
      </c>
      <c r="K236" t="e">
        <f>IF(#REF!=1,K235+1,0)</f>
        <v>#REF!</v>
      </c>
      <c r="L236" t="e">
        <f>IF(#REF!=2,L235+1,0)</f>
        <v>#REF!</v>
      </c>
      <c r="M236" t="e">
        <f>#REF!</f>
        <v>#REF!</v>
      </c>
      <c r="N236" t="e">
        <f>COUNTIFS(#REF!, "=1")</f>
        <v>#REF!</v>
      </c>
      <c r="O236" t="e">
        <f>COUNTIFS(#REF!, "=2")</f>
        <v>#REF!</v>
      </c>
      <c r="P236" t="e">
        <f>#REF!</f>
        <v>#REF!</v>
      </c>
    </row>
    <row r="237" spans="1:16" x14ac:dyDescent="0.25">
      <c r="A237" t="e">
        <f>AND(#REF!=2, COUNTIF(Tables!L$1:L$4,#REF!))</f>
        <v>#REF!</v>
      </c>
      <c r="B237" t="e">
        <f>AND(#REF!=1, COUNTIF(Tables!L$1:L$4,#REF!))</f>
        <v>#REF!</v>
      </c>
      <c r="C237" t="e">
        <f>AND(A237,#REF!= 0)</f>
        <v>#REF!</v>
      </c>
      <c r="D237" t="e">
        <f>AND(B237,#REF!= 0)</f>
        <v>#REF!</v>
      </c>
      <c r="E237" t="e">
        <f>isNetPoint(#REF!)</f>
        <v>#VALUE!</v>
      </c>
      <c r="F237" t="e">
        <f>OR(#REF!=1,#REF!= 1)</f>
        <v>#REF!</v>
      </c>
      <c r="G237" t="e">
        <f>IF(#REF!=1,OR(E237="1",E237="3",F237=TRUE),OR(E237="2",E237="3"))</f>
        <v>#REF!</v>
      </c>
      <c r="H237" t="e">
        <f>IF(#REF!=2,OR(E237="1",E237="3",F237=TRUE),OR(E237="2",E237="3"))</f>
        <v>#REF!</v>
      </c>
      <c r="I237" t="e">
        <f>AND(G237=TRUE,#REF!=1)</f>
        <v>#REF!</v>
      </c>
      <c r="J237" t="e">
        <f>AND(H237=TRUE,#REF!=2)</f>
        <v>#REF!</v>
      </c>
      <c r="K237" t="e">
        <f>IF(#REF!=1,K236+1,0)</f>
        <v>#REF!</v>
      </c>
      <c r="L237" t="e">
        <f>IF(#REF!=2,L236+1,0)</f>
        <v>#REF!</v>
      </c>
      <c r="M237" t="e">
        <f>#REF!</f>
        <v>#REF!</v>
      </c>
      <c r="N237" t="e">
        <f>COUNTIFS(#REF!, "=1")</f>
        <v>#REF!</v>
      </c>
      <c r="O237" t="e">
        <f>COUNTIFS(#REF!, "=2")</f>
        <v>#REF!</v>
      </c>
      <c r="P237" t="e">
        <f>#REF!</f>
        <v>#REF!</v>
      </c>
    </row>
    <row r="238" spans="1:16" x14ac:dyDescent="0.25">
      <c r="A238" t="e">
        <f>AND(#REF!=2, COUNTIF(Tables!L$1:L$4,#REF!))</f>
        <v>#REF!</v>
      </c>
      <c r="B238" t="e">
        <f>AND(#REF!=1, COUNTIF(Tables!L$1:L$4,#REF!))</f>
        <v>#REF!</v>
      </c>
      <c r="C238" t="e">
        <f>AND(A238,#REF!= 0)</f>
        <v>#REF!</v>
      </c>
      <c r="D238" t="e">
        <f>AND(B238,#REF!= 0)</f>
        <v>#REF!</v>
      </c>
      <c r="E238" t="e">
        <f>isNetPoint(#REF!)</f>
        <v>#VALUE!</v>
      </c>
      <c r="F238" t="e">
        <f>OR(#REF!=1,#REF!= 1)</f>
        <v>#REF!</v>
      </c>
      <c r="G238" t="e">
        <f>IF(#REF!=1,OR(E238="1",E238="3",F238=TRUE),OR(E238="2",E238="3"))</f>
        <v>#REF!</v>
      </c>
      <c r="H238" t="e">
        <f>IF(#REF!=2,OR(E238="1",E238="3",F238=TRUE),OR(E238="2",E238="3"))</f>
        <v>#REF!</v>
      </c>
      <c r="I238" t="e">
        <f>AND(G238=TRUE,#REF!=1)</f>
        <v>#REF!</v>
      </c>
      <c r="J238" t="e">
        <f>AND(H238=TRUE,#REF!=2)</f>
        <v>#REF!</v>
      </c>
      <c r="K238" t="e">
        <f>IF(#REF!=1,K237+1,0)</f>
        <v>#REF!</v>
      </c>
      <c r="L238" t="e">
        <f>IF(#REF!=2,L237+1,0)</f>
        <v>#REF!</v>
      </c>
      <c r="M238" t="e">
        <f>#REF!</f>
        <v>#REF!</v>
      </c>
      <c r="N238" t="e">
        <f>COUNTIFS(#REF!, "=1")</f>
        <v>#REF!</v>
      </c>
      <c r="O238" t="e">
        <f>COUNTIFS(#REF!, "=2")</f>
        <v>#REF!</v>
      </c>
      <c r="P238" t="e">
        <f>#REF!</f>
        <v>#REF!</v>
      </c>
    </row>
    <row r="239" spans="1:16" x14ac:dyDescent="0.25">
      <c r="A239" t="e">
        <f>AND(#REF!=2, COUNTIF(Tables!L$1:L$4,#REF!))</f>
        <v>#REF!</v>
      </c>
      <c r="B239" t="e">
        <f>AND(#REF!=1, COUNTIF(Tables!L$1:L$4,#REF!))</f>
        <v>#REF!</v>
      </c>
      <c r="C239" t="e">
        <f>AND(A239,#REF!= 0)</f>
        <v>#REF!</v>
      </c>
      <c r="D239" t="e">
        <f>AND(B239,#REF!= 0)</f>
        <v>#REF!</v>
      </c>
      <c r="E239" t="e">
        <f>isNetPoint(#REF!)</f>
        <v>#VALUE!</v>
      </c>
      <c r="F239" t="e">
        <f>OR(#REF!=1,#REF!= 1)</f>
        <v>#REF!</v>
      </c>
      <c r="G239" t="e">
        <f>IF(#REF!=1,OR(E239="1",E239="3",F239=TRUE),OR(E239="2",E239="3"))</f>
        <v>#REF!</v>
      </c>
      <c r="H239" t="e">
        <f>IF(#REF!=2,OR(E239="1",E239="3",F239=TRUE),OR(E239="2",E239="3"))</f>
        <v>#REF!</v>
      </c>
      <c r="I239" t="e">
        <f>AND(G239=TRUE,#REF!=1)</f>
        <v>#REF!</v>
      </c>
      <c r="J239" t="e">
        <f>AND(H239=TRUE,#REF!=2)</f>
        <v>#REF!</v>
      </c>
      <c r="K239" t="e">
        <f>IF(#REF!=1,K238+1,0)</f>
        <v>#REF!</v>
      </c>
      <c r="L239" t="e">
        <f>IF(#REF!=2,L238+1,0)</f>
        <v>#REF!</v>
      </c>
      <c r="M239" t="e">
        <f>#REF!</f>
        <v>#REF!</v>
      </c>
      <c r="N239" t="e">
        <f>COUNTIFS(#REF!, "=1")</f>
        <v>#REF!</v>
      </c>
      <c r="O239" t="e">
        <f>COUNTIFS(#REF!, "=2")</f>
        <v>#REF!</v>
      </c>
      <c r="P239" t="e">
        <f>#REF!</f>
        <v>#REF!</v>
      </c>
    </row>
    <row r="240" spans="1:16" x14ac:dyDescent="0.25">
      <c r="A240" t="e">
        <f>AND(#REF!=2, COUNTIF(Tables!L$1:L$4,#REF!))</f>
        <v>#REF!</v>
      </c>
      <c r="B240" t="e">
        <f>AND(#REF!=1, COUNTIF(Tables!L$1:L$4,#REF!))</f>
        <v>#REF!</v>
      </c>
      <c r="C240" t="e">
        <f>AND(A240,#REF!= 0)</f>
        <v>#REF!</v>
      </c>
      <c r="D240" t="e">
        <f>AND(B240,#REF!= 0)</f>
        <v>#REF!</v>
      </c>
      <c r="E240" t="e">
        <f>isNetPoint(#REF!)</f>
        <v>#VALUE!</v>
      </c>
      <c r="F240" t="e">
        <f>OR(#REF!=1,#REF!= 1)</f>
        <v>#REF!</v>
      </c>
      <c r="G240" t="e">
        <f>IF(#REF!=1,OR(E240="1",E240="3",F240=TRUE),OR(E240="2",E240="3"))</f>
        <v>#REF!</v>
      </c>
      <c r="H240" t="e">
        <f>IF(#REF!=2,OR(E240="1",E240="3",F240=TRUE),OR(E240="2",E240="3"))</f>
        <v>#REF!</v>
      </c>
      <c r="I240" t="e">
        <f>AND(G240=TRUE,#REF!=1)</f>
        <v>#REF!</v>
      </c>
      <c r="J240" t="e">
        <f>AND(H240=TRUE,#REF!=2)</f>
        <v>#REF!</v>
      </c>
      <c r="K240" t="e">
        <f>IF(#REF!=1,K239+1,0)</f>
        <v>#REF!</v>
      </c>
      <c r="L240" t="e">
        <f>IF(#REF!=2,L239+1,0)</f>
        <v>#REF!</v>
      </c>
      <c r="M240" t="e">
        <f>#REF!</f>
        <v>#REF!</v>
      </c>
      <c r="N240" t="e">
        <f>COUNTIFS(#REF!, "=1")</f>
        <v>#REF!</v>
      </c>
      <c r="O240" t="e">
        <f>COUNTIFS(#REF!, "=2")</f>
        <v>#REF!</v>
      </c>
      <c r="P240" t="e">
        <f>#REF!</f>
        <v>#REF!</v>
      </c>
    </row>
    <row r="241" spans="1:16" x14ac:dyDescent="0.25">
      <c r="A241" t="e">
        <f>AND(#REF!=2, COUNTIF(Tables!L$1:L$4,#REF!))</f>
        <v>#REF!</v>
      </c>
      <c r="B241" t="e">
        <f>AND(#REF!=1, COUNTIF(Tables!L$1:L$4,#REF!))</f>
        <v>#REF!</v>
      </c>
      <c r="C241" t="e">
        <f>AND(A241,#REF!= 0)</f>
        <v>#REF!</v>
      </c>
      <c r="D241" t="e">
        <f>AND(B241,#REF!= 0)</f>
        <v>#REF!</v>
      </c>
      <c r="E241" t="e">
        <f>isNetPoint(#REF!)</f>
        <v>#VALUE!</v>
      </c>
      <c r="F241" t="e">
        <f>OR(#REF!=1,#REF!= 1)</f>
        <v>#REF!</v>
      </c>
      <c r="G241" t="e">
        <f>IF(#REF!=1,OR(E241="1",E241="3",F241=TRUE),OR(E241="2",E241="3"))</f>
        <v>#REF!</v>
      </c>
      <c r="H241" t="e">
        <f>IF(#REF!=2,OR(E241="1",E241="3",F241=TRUE),OR(E241="2",E241="3"))</f>
        <v>#REF!</v>
      </c>
      <c r="I241" t="e">
        <f>AND(G241=TRUE,#REF!=1)</f>
        <v>#REF!</v>
      </c>
      <c r="J241" t="e">
        <f>AND(H241=TRUE,#REF!=2)</f>
        <v>#REF!</v>
      </c>
      <c r="K241" t="e">
        <f>IF(#REF!=1,K240+1,0)</f>
        <v>#REF!</v>
      </c>
      <c r="L241" t="e">
        <f>IF(#REF!=2,L240+1,0)</f>
        <v>#REF!</v>
      </c>
      <c r="M241" t="e">
        <f>#REF!</f>
        <v>#REF!</v>
      </c>
      <c r="N241" t="e">
        <f>COUNTIFS(#REF!, "=1")</f>
        <v>#REF!</v>
      </c>
      <c r="O241" t="e">
        <f>COUNTIFS(#REF!, "=2")</f>
        <v>#REF!</v>
      </c>
      <c r="P241" t="e">
        <f>#REF!</f>
        <v>#REF!</v>
      </c>
    </row>
    <row r="242" spans="1:16" x14ac:dyDescent="0.25">
      <c r="A242" t="e">
        <f>AND(#REF!=2, COUNTIF(Tables!L$1:L$4,#REF!))</f>
        <v>#REF!</v>
      </c>
      <c r="B242" t="e">
        <f>AND(#REF!=1, COUNTIF(Tables!L$1:L$4,#REF!))</f>
        <v>#REF!</v>
      </c>
      <c r="C242" t="e">
        <f>AND(A242,#REF!= 0)</f>
        <v>#REF!</v>
      </c>
      <c r="D242" t="e">
        <f>AND(B242,#REF!= 0)</f>
        <v>#REF!</v>
      </c>
      <c r="E242" t="e">
        <f>isNetPoint(#REF!)</f>
        <v>#VALUE!</v>
      </c>
      <c r="F242" t="e">
        <f>OR(#REF!=1,#REF!= 1)</f>
        <v>#REF!</v>
      </c>
      <c r="G242" t="e">
        <f>IF(#REF!=1,OR(E242="1",E242="3",F242=TRUE),OR(E242="2",E242="3"))</f>
        <v>#REF!</v>
      </c>
      <c r="H242" t="e">
        <f>IF(#REF!=2,OR(E242="1",E242="3",F242=TRUE),OR(E242="2",E242="3"))</f>
        <v>#REF!</v>
      </c>
      <c r="I242" t="e">
        <f>AND(G242=TRUE,#REF!=1)</f>
        <v>#REF!</v>
      </c>
      <c r="J242" t="e">
        <f>AND(H242=TRUE,#REF!=2)</f>
        <v>#REF!</v>
      </c>
      <c r="K242" t="e">
        <f>IF(#REF!=1,K241+1,0)</f>
        <v>#REF!</v>
      </c>
      <c r="L242" t="e">
        <f>IF(#REF!=2,L241+1,0)</f>
        <v>#REF!</v>
      </c>
      <c r="M242" t="e">
        <f>#REF!</f>
        <v>#REF!</v>
      </c>
      <c r="N242" t="e">
        <f>COUNTIFS(#REF!, "=1")</f>
        <v>#REF!</v>
      </c>
      <c r="O242" t="e">
        <f>COUNTIFS(#REF!, "=2")</f>
        <v>#REF!</v>
      </c>
      <c r="P242" t="e">
        <f>#REF!</f>
        <v>#REF!</v>
      </c>
    </row>
    <row r="243" spans="1:16" x14ac:dyDescent="0.25">
      <c r="A243" t="e">
        <f>AND(#REF!=2, COUNTIF(Tables!L$1:L$4,#REF!))</f>
        <v>#REF!</v>
      </c>
      <c r="B243" t="e">
        <f>AND(#REF!=1, COUNTIF(Tables!L$1:L$4,#REF!))</f>
        <v>#REF!</v>
      </c>
      <c r="C243" t="e">
        <f>AND(A243,#REF!= 0)</f>
        <v>#REF!</v>
      </c>
      <c r="D243" t="e">
        <f>AND(B243,#REF!= 0)</f>
        <v>#REF!</v>
      </c>
      <c r="E243" t="e">
        <f>isNetPoint(#REF!)</f>
        <v>#VALUE!</v>
      </c>
      <c r="F243" t="e">
        <f>OR(#REF!=1,#REF!= 1)</f>
        <v>#REF!</v>
      </c>
      <c r="G243" t="e">
        <f>IF(#REF!=1,OR(E243="1",E243="3",F243=TRUE),OR(E243="2",E243="3"))</f>
        <v>#REF!</v>
      </c>
      <c r="H243" t="e">
        <f>IF(#REF!=2,OR(E243="1",E243="3",F243=TRUE),OR(E243="2",E243="3"))</f>
        <v>#REF!</v>
      </c>
      <c r="I243" t="e">
        <f>AND(G243=TRUE,#REF!=1)</f>
        <v>#REF!</v>
      </c>
      <c r="J243" t="e">
        <f>AND(H243=TRUE,#REF!=2)</f>
        <v>#REF!</v>
      </c>
      <c r="K243" t="e">
        <f>IF(#REF!=1,K242+1,0)</f>
        <v>#REF!</v>
      </c>
      <c r="L243" t="e">
        <f>IF(#REF!=2,L242+1,0)</f>
        <v>#REF!</v>
      </c>
      <c r="M243" t="e">
        <f>#REF!</f>
        <v>#REF!</v>
      </c>
      <c r="N243" t="e">
        <f>COUNTIFS(#REF!, "=1")</f>
        <v>#REF!</v>
      </c>
      <c r="O243" t="e">
        <f>COUNTIFS(#REF!, "=2")</f>
        <v>#REF!</v>
      </c>
      <c r="P243" t="e">
        <f>#REF!</f>
        <v>#REF!</v>
      </c>
    </row>
    <row r="244" spans="1:16" x14ac:dyDescent="0.25">
      <c r="A244" t="e">
        <f>AND(#REF!=2, COUNTIF(Tables!L$1:L$4,#REF!))</f>
        <v>#REF!</v>
      </c>
      <c r="B244" t="e">
        <f>AND(#REF!=1, COUNTIF(Tables!L$1:L$4,#REF!))</f>
        <v>#REF!</v>
      </c>
      <c r="C244" t="e">
        <f>AND(A244,#REF!= 0)</f>
        <v>#REF!</v>
      </c>
      <c r="D244" t="e">
        <f>AND(B244,#REF!= 0)</f>
        <v>#REF!</v>
      </c>
      <c r="E244" t="e">
        <f>isNetPoint(#REF!)</f>
        <v>#VALUE!</v>
      </c>
      <c r="F244" t="e">
        <f>OR(#REF!=1,#REF!= 1)</f>
        <v>#REF!</v>
      </c>
      <c r="G244" t="e">
        <f>IF(#REF!=1,OR(E244="1",E244="3",F244=TRUE),OR(E244="2",E244="3"))</f>
        <v>#REF!</v>
      </c>
      <c r="H244" t="e">
        <f>IF(#REF!=2,OR(E244="1",E244="3",F244=TRUE),OR(E244="2",E244="3"))</f>
        <v>#REF!</v>
      </c>
      <c r="I244" t="e">
        <f>AND(G244=TRUE,#REF!=1)</f>
        <v>#REF!</v>
      </c>
      <c r="J244" t="e">
        <f>AND(H244=TRUE,#REF!=2)</f>
        <v>#REF!</v>
      </c>
      <c r="K244" t="e">
        <f>IF(#REF!=1,K243+1,0)</f>
        <v>#REF!</v>
      </c>
      <c r="L244" t="e">
        <f>IF(#REF!=2,L243+1,0)</f>
        <v>#REF!</v>
      </c>
      <c r="M244" t="e">
        <f>#REF!</f>
        <v>#REF!</v>
      </c>
      <c r="N244" t="e">
        <f>COUNTIFS(#REF!, "=1")</f>
        <v>#REF!</v>
      </c>
      <c r="O244" t="e">
        <f>COUNTIFS(#REF!, "=2")</f>
        <v>#REF!</v>
      </c>
      <c r="P244" t="e">
        <f>#REF!</f>
        <v>#REF!</v>
      </c>
    </row>
    <row r="245" spans="1:16" x14ac:dyDescent="0.25">
      <c r="A245" t="e">
        <f>AND(#REF!=2, COUNTIF(Tables!L$1:L$4,#REF!))</f>
        <v>#REF!</v>
      </c>
      <c r="B245" t="e">
        <f>AND(#REF!=1, COUNTIF(Tables!L$1:L$4,#REF!))</f>
        <v>#REF!</v>
      </c>
      <c r="C245" t="e">
        <f>AND(A245,#REF!= 0)</f>
        <v>#REF!</v>
      </c>
      <c r="D245" t="e">
        <f>AND(B245,#REF!= 0)</f>
        <v>#REF!</v>
      </c>
      <c r="E245" t="e">
        <f>isNetPoint(#REF!)</f>
        <v>#VALUE!</v>
      </c>
      <c r="F245" t="e">
        <f>OR(#REF!=1,#REF!= 1)</f>
        <v>#REF!</v>
      </c>
      <c r="G245" t="e">
        <f>IF(#REF!=1,OR(E245="1",E245="3",F245=TRUE),OR(E245="2",E245="3"))</f>
        <v>#REF!</v>
      </c>
      <c r="H245" t="e">
        <f>IF(#REF!=2,OR(E245="1",E245="3",F245=TRUE),OR(E245="2",E245="3"))</f>
        <v>#REF!</v>
      </c>
      <c r="I245" t="e">
        <f>AND(G245=TRUE,#REF!=1)</f>
        <v>#REF!</v>
      </c>
      <c r="J245" t="e">
        <f>AND(H245=TRUE,#REF!=2)</f>
        <v>#REF!</v>
      </c>
      <c r="K245" t="e">
        <f>IF(#REF!=1,K244+1,0)</f>
        <v>#REF!</v>
      </c>
      <c r="L245" t="e">
        <f>IF(#REF!=2,L244+1,0)</f>
        <v>#REF!</v>
      </c>
      <c r="M245" t="e">
        <f>#REF!</f>
        <v>#REF!</v>
      </c>
      <c r="N245" t="e">
        <f>COUNTIFS(#REF!, "=1")</f>
        <v>#REF!</v>
      </c>
      <c r="O245" t="e">
        <f>COUNTIFS(#REF!, "=2")</f>
        <v>#REF!</v>
      </c>
      <c r="P245" t="e">
        <f>#REF!</f>
        <v>#REF!</v>
      </c>
    </row>
    <row r="246" spans="1:16" x14ac:dyDescent="0.25">
      <c r="A246" t="e">
        <f>AND(#REF!=2, COUNTIF(Tables!L$1:L$4,#REF!))</f>
        <v>#REF!</v>
      </c>
      <c r="B246" t="e">
        <f>AND(#REF!=1, COUNTIF(Tables!L$1:L$4,#REF!))</f>
        <v>#REF!</v>
      </c>
      <c r="C246" t="e">
        <f>AND(A246,#REF!= 0)</f>
        <v>#REF!</v>
      </c>
      <c r="D246" t="e">
        <f>AND(B246,#REF!= 0)</f>
        <v>#REF!</v>
      </c>
      <c r="E246" t="e">
        <f>isNetPoint(#REF!)</f>
        <v>#VALUE!</v>
      </c>
      <c r="F246" t="e">
        <f>OR(#REF!=1,#REF!= 1)</f>
        <v>#REF!</v>
      </c>
      <c r="G246" t="e">
        <f>IF(#REF!=1,OR(E246="1",E246="3",F246=TRUE),OR(E246="2",E246="3"))</f>
        <v>#REF!</v>
      </c>
      <c r="H246" t="e">
        <f>IF(#REF!=2,OR(E246="1",E246="3",F246=TRUE),OR(E246="2",E246="3"))</f>
        <v>#REF!</v>
      </c>
      <c r="I246" t="e">
        <f>AND(G246=TRUE,#REF!=1)</f>
        <v>#REF!</v>
      </c>
      <c r="J246" t="e">
        <f>AND(H246=TRUE,#REF!=2)</f>
        <v>#REF!</v>
      </c>
      <c r="K246" t="e">
        <f>IF(#REF!=1,K245+1,0)</f>
        <v>#REF!</v>
      </c>
      <c r="L246" t="e">
        <f>IF(#REF!=2,L245+1,0)</f>
        <v>#REF!</v>
      </c>
      <c r="M246" t="e">
        <f>#REF!</f>
        <v>#REF!</v>
      </c>
      <c r="N246" t="e">
        <f>COUNTIFS(#REF!, "=1")</f>
        <v>#REF!</v>
      </c>
      <c r="O246" t="e">
        <f>COUNTIFS(#REF!, "=2")</f>
        <v>#REF!</v>
      </c>
      <c r="P246" t="e">
        <f>#REF!</f>
        <v>#REF!</v>
      </c>
    </row>
    <row r="247" spans="1:16" x14ac:dyDescent="0.25">
      <c r="A247" t="e">
        <f>AND(#REF!=2, COUNTIF(Tables!L$1:L$4,#REF!))</f>
        <v>#REF!</v>
      </c>
      <c r="B247" t="e">
        <f>AND(#REF!=1, COUNTIF(Tables!L$1:L$4,#REF!))</f>
        <v>#REF!</v>
      </c>
      <c r="C247" t="e">
        <f>AND(A247,#REF!= 0)</f>
        <v>#REF!</v>
      </c>
      <c r="D247" t="e">
        <f>AND(B247,#REF!= 0)</f>
        <v>#REF!</v>
      </c>
      <c r="E247" t="e">
        <f>isNetPoint(#REF!)</f>
        <v>#VALUE!</v>
      </c>
      <c r="F247" t="e">
        <f>OR(#REF!=1,#REF!= 1)</f>
        <v>#REF!</v>
      </c>
      <c r="G247" t="e">
        <f>IF(#REF!=1,OR(E247="1",E247="3",F247=TRUE),OR(E247="2",E247="3"))</f>
        <v>#REF!</v>
      </c>
      <c r="H247" t="e">
        <f>IF(#REF!=2,OR(E247="1",E247="3",F247=TRUE),OR(E247="2",E247="3"))</f>
        <v>#REF!</v>
      </c>
      <c r="I247" t="e">
        <f>AND(G247=TRUE,#REF!=1)</f>
        <v>#REF!</v>
      </c>
      <c r="J247" t="e">
        <f>AND(H247=TRUE,#REF!=2)</f>
        <v>#REF!</v>
      </c>
      <c r="K247" t="e">
        <f>IF(#REF!=1,K246+1,0)</f>
        <v>#REF!</v>
      </c>
      <c r="L247" t="e">
        <f>IF(#REF!=2,L246+1,0)</f>
        <v>#REF!</v>
      </c>
      <c r="M247" t="e">
        <f>#REF!</f>
        <v>#REF!</v>
      </c>
      <c r="N247" t="e">
        <f>COUNTIFS(#REF!, "=1")</f>
        <v>#REF!</v>
      </c>
      <c r="O247" t="e">
        <f>COUNTIFS(#REF!, "=2")</f>
        <v>#REF!</v>
      </c>
      <c r="P247" t="e">
        <f>#REF!</f>
        <v>#REF!</v>
      </c>
    </row>
    <row r="248" spans="1:16" x14ac:dyDescent="0.25">
      <c r="A248" t="e">
        <f>AND(#REF!=2, COUNTIF(Tables!L$1:L$4,#REF!))</f>
        <v>#REF!</v>
      </c>
      <c r="B248" t="e">
        <f>AND(#REF!=1, COUNTIF(Tables!L$1:L$4,#REF!))</f>
        <v>#REF!</v>
      </c>
      <c r="C248" t="e">
        <f>AND(A248,#REF!= 0)</f>
        <v>#REF!</v>
      </c>
      <c r="D248" t="e">
        <f>AND(B248,#REF!= 0)</f>
        <v>#REF!</v>
      </c>
      <c r="E248" t="e">
        <f>isNetPoint(#REF!)</f>
        <v>#VALUE!</v>
      </c>
      <c r="F248" t="e">
        <f>OR(#REF!=1,#REF!= 1)</f>
        <v>#REF!</v>
      </c>
      <c r="G248" t="e">
        <f>IF(#REF!=1,OR(E248="1",E248="3",F248=TRUE),OR(E248="2",E248="3"))</f>
        <v>#REF!</v>
      </c>
      <c r="H248" t="e">
        <f>IF(#REF!=2,OR(E248="1",E248="3",F248=TRUE),OR(E248="2",E248="3"))</f>
        <v>#REF!</v>
      </c>
      <c r="I248" t="e">
        <f>AND(G248=TRUE,#REF!=1)</f>
        <v>#REF!</v>
      </c>
      <c r="J248" t="e">
        <f>AND(H248=TRUE,#REF!=2)</f>
        <v>#REF!</v>
      </c>
      <c r="K248" t="e">
        <f>IF(#REF!=1,K247+1,0)</f>
        <v>#REF!</v>
      </c>
      <c r="L248" t="e">
        <f>IF(#REF!=2,L247+1,0)</f>
        <v>#REF!</v>
      </c>
      <c r="M248" t="e">
        <f>#REF!</f>
        <v>#REF!</v>
      </c>
      <c r="N248" t="e">
        <f>COUNTIFS(#REF!, "=1")</f>
        <v>#REF!</v>
      </c>
      <c r="O248" t="e">
        <f>COUNTIFS(#REF!, "=2")</f>
        <v>#REF!</v>
      </c>
      <c r="P248" t="e">
        <f>#REF!</f>
        <v>#REF!</v>
      </c>
    </row>
    <row r="249" spans="1:16" x14ac:dyDescent="0.25">
      <c r="A249" t="e">
        <f>AND(#REF!=2, COUNTIF(Tables!L$1:L$4,#REF!))</f>
        <v>#REF!</v>
      </c>
      <c r="B249" t="e">
        <f>AND(#REF!=1, COUNTIF(Tables!L$1:L$4,#REF!))</f>
        <v>#REF!</v>
      </c>
      <c r="C249" t="e">
        <f>AND(A249,#REF!= 0)</f>
        <v>#REF!</v>
      </c>
      <c r="D249" t="e">
        <f>AND(B249,#REF!= 0)</f>
        <v>#REF!</v>
      </c>
      <c r="E249" t="e">
        <f>isNetPoint(#REF!)</f>
        <v>#VALUE!</v>
      </c>
      <c r="F249" t="e">
        <f>OR(#REF!=1,#REF!= 1)</f>
        <v>#REF!</v>
      </c>
      <c r="G249" t="e">
        <f>IF(#REF!=1,OR(E249="1",E249="3",F249=TRUE),OR(E249="2",E249="3"))</f>
        <v>#REF!</v>
      </c>
      <c r="H249" t="e">
        <f>IF(#REF!=2,OR(E249="1",E249="3",F249=TRUE),OR(E249="2",E249="3"))</f>
        <v>#REF!</v>
      </c>
      <c r="I249" t="e">
        <f>AND(G249=TRUE,#REF!=1)</f>
        <v>#REF!</v>
      </c>
      <c r="J249" t="e">
        <f>AND(H249=TRUE,#REF!=2)</f>
        <v>#REF!</v>
      </c>
      <c r="K249" t="e">
        <f>IF(#REF!=1,K248+1,0)</f>
        <v>#REF!</v>
      </c>
      <c r="L249" t="e">
        <f>IF(#REF!=2,L248+1,0)</f>
        <v>#REF!</v>
      </c>
      <c r="M249" t="e">
        <f>#REF!</f>
        <v>#REF!</v>
      </c>
      <c r="N249" t="e">
        <f>COUNTIFS(#REF!, "=1")</f>
        <v>#REF!</v>
      </c>
      <c r="O249" t="e">
        <f>COUNTIFS(#REF!, "=2")</f>
        <v>#REF!</v>
      </c>
      <c r="P249" t="e">
        <f>#REF!</f>
        <v>#REF!</v>
      </c>
    </row>
    <row r="250" spans="1:16" x14ac:dyDescent="0.25">
      <c r="A250" t="e">
        <f>AND(#REF!=2, COUNTIF(Tables!L$1:L$4,#REF!))</f>
        <v>#REF!</v>
      </c>
      <c r="B250" t="e">
        <f>AND(#REF!=1, COUNTIF(Tables!L$1:L$4,#REF!))</f>
        <v>#REF!</v>
      </c>
      <c r="C250" t="e">
        <f>AND(A250,#REF!= 0)</f>
        <v>#REF!</v>
      </c>
      <c r="D250" t="e">
        <f>AND(B250,#REF!= 0)</f>
        <v>#REF!</v>
      </c>
      <c r="E250" t="e">
        <f>isNetPoint(#REF!)</f>
        <v>#VALUE!</v>
      </c>
      <c r="F250" t="e">
        <f>OR(#REF!=1,#REF!= 1)</f>
        <v>#REF!</v>
      </c>
      <c r="G250" t="e">
        <f>IF(#REF!=1,OR(E250="1",E250="3",F250=TRUE),OR(E250="2",E250="3"))</f>
        <v>#REF!</v>
      </c>
      <c r="H250" t="e">
        <f>IF(#REF!=2,OR(E250="1",E250="3",F250=TRUE),OR(E250="2",E250="3"))</f>
        <v>#REF!</v>
      </c>
      <c r="I250" t="e">
        <f>AND(G250=TRUE,#REF!=1)</f>
        <v>#REF!</v>
      </c>
      <c r="J250" t="e">
        <f>AND(H250=TRUE,#REF!=2)</f>
        <v>#REF!</v>
      </c>
      <c r="K250" t="e">
        <f>IF(#REF!=1,K249+1,0)</f>
        <v>#REF!</v>
      </c>
      <c r="L250" t="e">
        <f>IF(#REF!=2,L249+1,0)</f>
        <v>#REF!</v>
      </c>
      <c r="M250" t="e">
        <f>#REF!</f>
        <v>#REF!</v>
      </c>
      <c r="N250" t="e">
        <f>COUNTIFS(#REF!, "=1")</f>
        <v>#REF!</v>
      </c>
      <c r="O250" t="e">
        <f>COUNTIFS(#REF!, "=2")</f>
        <v>#REF!</v>
      </c>
      <c r="P250" t="e">
        <f>#REF!</f>
        <v>#REF!</v>
      </c>
    </row>
    <row r="251" spans="1:16" x14ac:dyDescent="0.25">
      <c r="A251" t="e">
        <f>AND(#REF!=2, COUNTIF(Tables!L$1:L$4,#REF!))</f>
        <v>#REF!</v>
      </c>
      <c r="B251" t="e">
        <f>AND(#REF!=1, COUNTIF(Tables!L$1:L$4,#REF!))</f>
        <v>#REF!</v>
      </c>
      <c r="C251" t="e">
        <f>AND(A251,#REF!= 0)</f>
        <v>#REF!</v>
      </c>
      <c r="D251" t="e">
        <f>AND(B251,#REF!= 0)</f>
        <v>#REF!</v>
      </c>
      <c r="E251" t="e">
        <f>isNetPoint(#REF!)</f>
        <v>#VALUE!</v>
      </c>
      <c r="F251" t="e">
        <f>OR(#REF!=1,#REF!= 1)</f>
        <v>#REF!</v>
      </c>
      <c r="G251" t="e">
        <f>IF(#REF!=1,OR(E251="1",E251="3",F251=TRUE),OR(E251="2",E251="3"))</f>
        <v>#REF!</v>
      </c>
      <c r="H251" t="e">
        <f>IF(#REF!=2,OR(E251="1",E251="3",F251=TRUE),OR(E251="2",E251="3"))</f>
        <v>#REF!</v>
      </c>
      <c r="I251" t="e">
        <f>AND(G251=TRUE,#REF!=1)</f>
        <v>#REF!</v>
      </c>
      <c r="J251" t="e">
        <f>AND(H251=TRUE,#REF!=2)</f>
        <v>#REF!</v>
      </c>
      <c r="K251" t="e">
        <f>IF(#REF!=1,K250+1,0)</f>
        <v>#REF!</v>
      </c>
      <c r="L251" t="e">
        <f>IF(#REF!=2,L250+1,0)</f>
        <v>#REF!</v>
      </c>
      <c r="M251" t="e">
        <f>#REF!</f>
        <v>#REF!</v>
      </c>
      <c r="N251" t="e">
        <f>COUNTIFS(#REF!, "=1")</f>
        <v>#REF!</v>
      </c>
      <c r="O251" t="e">
        <f>COUNTIFS(#REF!, "=2")</f>
        <v>#REF!</v>
      </c>
      <c r="P251" t="e">
        <f>#REF!</f>
        <v>#REF!</v>
      </c>
    </row>
    <row r="252" spans="1:16" x14ac:dyDescent="0.25">
      <c r="A252" t="e">
        <f>AND(#REF!=2, COUNTIF(Tables!L$1:L$4,#REF!))</f>
        <v>#REF!</v>
      </c>
      <c r="B252" t="e">
        <f>AND(#REF!=1, COUNTIF(Tables!L$1:L$4,#REF!))</f>
        <v>#REF!</v>
      </c>
      <c r="C252" t="e">
        <f>AND(A252,#REF!= 0)</f>
        <v>#REF!</v>
      </c>
      <c r="D252" t="e">
        <f>AND(B252,#REF!= 0)</f>
        <v>#REF!</v>
      </c>
      <c r="E252" t="e">
        <f>isNetPoint(#REF!)</f>
        <v>#VALUE!</v>
      </c>
      <c r="F252" t="e">
        <f>OR(#REF!=1,#REF!= 1)</f>
        <v>#REF!</v>
      </c>
      <c r="G252" t="e">
        <f>IF(#REF!=1,OR(E252="1",E252="3",F252=TRUE),OR(E252="2",E252="3"))</f>
        <v>#REF!</v>
      </c>
      <c r="H252" t="e">
        <f>IF(#REF!=2,OR(E252="1",E252="3",F252=TRUE),OR(E252="2",E252="3"))</f>
        <v>#REF!</v>
      </c>
      <c r="I252" t="e">
        <f>AND(G252=TRUE,#REF!=1)</f>
        <v>#REF!</v>
      </c>
      <c r="J252" t="e">
        <f>AND(H252=TRUE,#REF!=2)</f>
        <v>#REF!</v>
      </c>
      <c r="K252" t="e">
        <f>IF(#REF!=1,K251+1,0)</f>
        <v>#REF!</v>
      </c>
      <c r="L252" t="e">
        <f>IF(#REF!=2,L251+1,0)</f>
        <v>#REF!</v>
      </c>
      <c r="M252" t="e">
        <f>#REF!</f>
        <v>#REF!</v>
      </c>
      <c r="N252" t="e">
        <f>COUNTIFS(#REF!, "=1")</f>
        <v>#REF!</v>
      </c>
      <c r="O252" t="e">
        <f>COUNTIFS(#REF!, "=2")</f>
        <v>#REF!</v>
      </c>
      <c r="P252" t="e">
        <f>#REF!</f>
        <v>#REF!</v>
      </c>
    </row>
    <row r="253" spans="1:16" x14ac:dyDescent="0.25">
      <c r="A253" t="e">
        <f>AND(#REF!=2, COUNTIF(Tables!L$1:L$4,#REF!))</f>
        <v>#REF!</v>
      </c>
      <c r="B253" t="e">
        <f>AND(#REF!=1, COUNTIF(Tables!L$1:L$4,#REF!))</f>
        <v>#REF!</v>
      </c>
      <c r="C253" t="e">
        <f>AND(A253,#REF!= 0)</f>
        <v>#REF!</v>
      </c>
      <c r="D253" t="e">
        <f>AND(B253,#REF!= 0)</f>
        <v>#REF!</v>
      </c>
      <c r="E253" t="e">
        <f>isNetPoint(#REF!)</f>
        <v>#VALUE!</v>
      </c>
      <c r="F253" t="e">
        <f>OR(#REF!=1,#REF!= 1)</f>
        <v>#REF!</v>
      </c>
      <c r="G253" t="e">
        <f>IF(#REF!=1,OR(E253="1",E253="3",F253=TRUE),OR(E253="2",E253="3"))</f>
        <v>#REF!</v>
      </c>
      <c r="H253" t="e">
        <f>IF(#REF!=2,OR(E253="1",E253="3",F253=TRUE),OR(E253="2",E253="3"))</f>
        <v>#REF!</v>
      </c>
      <c r="I253" t="e">
        <f>AND(G253=TRUE,#REF!=1)</f>
        <v>#REF!</v>
      </c>
      <c r="J253" t="e">
        <f>AND(H253=TRUE,#REF!=2)</f>
        <v>#REF!</v>
      </c>
      <c r="K253" t="e">
        <f>IF(#REF!=1,K252+1,0)</f>
        <v>#REF!</v>
      </c>
      <c r="L253" t="e">
        <f>IF(#REF!=2,L252+1,0)</f>
        <v>#REF!</v>
      </c>
      <c r="M253" t="e">
        <f>#REF!</f>
        <v>#REF!</v>
      </c>
      <c r="N253" t="e">
        <f>COUNTIFS(#REF!, "=1")</f>
        <v>#REF!</v>
      </c>
      <c r="O253" t="e">
        <f>COUNTIFS(#REF!, "=2")</f>
        <v>#REF!</v>
      </c>
      <c r="P253" t="e">
        <f>#REF!</f>
        <v>#REF!</v>
      </c>
    </row>
    <row r="254" spans="1:16" x14ac:dyDescent="0.25">
      <c r="A254" t="e">
        <f>AND(#REF!=2, COUNTIF(Tables!L$1:L$4,#REF!))</f>
        <v>#REF!</v>
      </c>
      <c r="B254" t="e">
        <f>AND(#REF!=1, COUNTIF(Tables!L$1:L$4,#REF!))</f>
        <v>#REF!</v>
      </c>
      <c r="C254" t="e">
        <f>AND(A254,#REF!= 0)</f>
        <v>#REF!</v>
      </c>
      <c r="D254" t="e">
        <f>AND(B254,#REF!= 0)</f>
        <v>#REF!</v>
      </c>
      <c r="E254" t="e">
        <f>isNetPoint(#REF!)</f>
        <v>#VALUE!</v>
      </c>
      <c r="F254" t="e">
        <f>OR(#REF!=1,#REF!= 1)</f>
        <v>#REF!</v>
      </c>
      <c r="G254" t="e">
        <f>IF(#REF!=1,OR(E254="1",E254="3",F254=TRUE),OR(E254="2",E254="3"))</f>
        <v>#REF!</v>
      </c>
      <c r="H254" t="e">
        <f>IF(#REF!=2,OR(E254="1",E254="3",F254=TRUE),OR(E254="2",E254="3"))</f>
        <v>#REF!</v>
      </c>
      <c r="I254" t="e">
        <f>AND(G254=TRUE,#REF!=1)</f>
        <v>#REF!</v>
      </c>
      <c r="J254" t="e">
        <f>AND(H254=TRUE,#REF!=2)</f>
        <v>#REF!</v>
      </c>
      <c r="K254" t="e">
        <f>IF(#REF!=1,K253+1,0)</f>
        <v>#REF!</v>
      </c>
      <c r="L254" t="e">
        <f>IF(#REF!=2,L253+1,0)</f>
        <v>#REF!</v>
      </c>
      <c r="M254" t="e">
        <f>#REF!</f>
        <v>#REF!</v>
      </c>
      <c r="N254" t="e">
        <f>COUNTIFS(#REF!, "=1")</f>
        <v>#REF!</v>
      </c>
      <c r="O254" t="e">
        <f>COUNTIFS(#REF!, "=2")</f>
        <v>#REF!</v>
      </c>
      <c r="P254" t="e">
        <f>#REF!</f>
        <v>#REF!</v>
      </c>
    </row>
    <row r="255" spans="1:16" x14ac:dyDescent="0.25">
      <c r="A255" t="e">
        <f>AND(#REF!=2, COUNTIF(Tables!L$1:L$4,#REF!))</f>
        <v>#REF!</v>
      </c>
      <c r="B255" t="e">
        <f>AND(#REF!=1, COUNTIF(Tables!L$1:L$4,#REF!))</f>
        <v>#REF!</v>
      </c>
      <c r="C255" t="e">
        <f>AND(A255,#REF!= 0)</f>
        <v>#REF!</v>
      </c>
      <c r="D255" t="e">
        <f>AND(B255,#REF!= 0)</f>
        <v>#REF!</v>
      </c>
      <c r="E255" t="e">
        <f>isNetPoint(#REF!)</f>
        <v>#VALUE!</v>
      </c>
      <c r="F255" t="e">
        <f>OR(#REF!=1,#REF!= 1)</f>
        <v>#REF!</v>
      </c>
      <c r="G255" t="e">
        <f>IF(#REF!=1,OR(E255="1",E255="3",F255=TRUE),OR(E255="2",E255="3"))</f>
        <v>#REF!</v>
      </c>
      <c r="H255" t="e">
        <f>IF(#REF!=2,OR(E255="1",E255="3",F255=TRUE),OR(E255="2",E255="3"))</f>
        <v>#REF!</v>
      </c>
      <c r="I255" t="e">
        <f>AND(G255=TRUE,#REF!=1)</f>
        <v>#REF!</v>
      </c>
      <c r="J255" t="e">
        <f>AND(H255=TRUE,#REF!=2)</f>
        <v>#REF!</v>
      </c>
      <c r="K255" t="e">
        <f>IF(#REF!=1,K254+1,0)</f>
        <v>#REF!</v>
      </c>
      <c r="L255" t="e">
        <f>IF(#REF!=2,L254+1,0)</f>
        <v>#REF!</v>
      </c>
      <c r="M255" t="e">
        <f>#REF!</f>
        <v>#REF!</v>
      </c>
      <c r="N255" t="e">
        <f>COUNTIFS(#REF!, "=1")</f>
        <v>#REF!</v>
      </c>
      <c r="O255" t="e">
        <f>COUNTIFS(#REF!, "=2")</f>
        <v>#REF!</v>
      </c>
      <c r="P255" t="e">
        <f>#REF!</f>
        <v>#REF!</v>
      </c>
    </row>
    <row r="256" spans="1:16" x14ac:dyDescent="0.25">
      <c r="A256" t="e">
        <f>AND(#REF!=2, COUNTIF(Tables!L$1:L$4,#REF!))</f>
        <v>#REF!</v>
      </c>
      <c r="B256" t="e">
        <f>AND(#REF!=1, COUNTIF(Tables!L$1:L$4,#REF!))</f>
        <v>#REF!</v>
      </c>
      <c r="C256" t="e">
        <f>AND(A256,#REF!= 0)</f>
        <v>#REF!</v>
      </c>
      <c r="D256" t="e">
        <f>AND(B256,#REF!= 0)</f>
        <v>#REF!</v>
      </c>
      <c r="E256" t="e">
        <f>isNetPoint(#REF!)</f>
        <v>#VALUE!</v>
      </c>
      <c r="F256" t="e">
        <f>OR(#REF!=1,#REF!= 1)</f>
        <v>#REF!</v>
      </c>
      <c r="G256" t="e">
        <f>IF(#REF!=1,OR(E256="1",E256="3",F256=TRUE),OR(E256="2",E256="3"))</f>
        <v>#REF!</v>
      </c>
      <c r="H256" t="e">
        <f>IF(#REF!=2,OR(E256="1",E256="3",F256=TRUE),OR(E256="2",E256="3"))</f>
        <v>#REF!</v>
      </c>
      <c r="I256" t="e">
        <f>AND(G256=TRUE,#REF!=1)</f>
        <v>#REF!</v>
      </c>
      <c r="J256" t="e">
        <f>AND(H256=TRUE,#REF!=2)</f>
        <v>#REF!</v>
      </c>
      <c r="K256" t="e">
        <f>IF(#REF!=1,K255+1,0)</f>
        <v>#REF!</v>
      </c>
      <c r="L256" t="e">
        <f>IF(#REF!=2,L255+1,0)</f>
        <v>#REF!</v>
      </c>
      <c r="M256" t="e">
        <f>#REF!</f>
        <v>#REF!</v>
      </c>
      <c r="N256" t="e">
        <f>COUNTIFS(#REF!, "=1")</f>
        <v>#REF!</v>
      </c>
      <c r="O256" t="e">
        <f>COUNTIFS(#REF!, "=2")</f>
        <v>#REF!</v>
      </c>
      <c r="P256" t="e">
        <f>#REF!</f>
        <v>#REF!</v>
      </c>
    </row>
    <row r="257" spans="1:16" x14ac:dyDescent="0.25">
      <c r="A257" t="e">
        <f>AND(#REF!=2, COUNTIF(Tables!L$1:L$4,#REF!))</f>
        <v>#REF!</v>
      </c>
      <c r="B257" t="e">
        <f>AND(#REF!=1, COUNTIF(Tables!L$1:L$4,#REF!))</f>
        <v>#REF!</v>
      </c>
      <c r="C257" t="e">
        <f>AND(A257,#REF!= 0)</f>
        <v>#REF!</v>
      </c>
      <c r="D257" t="e">
        <f>AND(B257,#REF!= 0)</f>
        <v>#REF!</v>
      </c>
      <c r="E257" t="e">
        <f>isNetPoint(#REF!)</f>
        <v>#VALUE!</v>
      </c>
      <c r="F257" t="e">
        <f>OR(#REF!=1,#REF!= 1)</f>
        <v>#REF!</v>
      </c>
      <c r="G257" t="e">
        <f>IF(#REF!=1,OR(E257="1",E257="3",F257=TRUE),OR(E257="2",E257="3"))</f>
        <v>#REF!</v>
      </c>
      <c r="H257" t="e">
        <f>IF(#REF!=2,OR(E257="1",E257="3",F257=TRUE),OR(E257="2",E257="3"))</f>
        <v>#REF!</v>
      </c>
      <c r="I257" t="e">
        <f>AND(G257=TRUE,#REF!=1)</f>
        <v>#REF!</v>
      </c>
      <c r="J257" t="e">
        <f>AND(H257=TRUE,#REF!=2)</f>
        <v>#REF!</v>
      </c>
      <c r="K257" t="e">
        <f>IF(#REF!=1,K256+1,0)</f>
        <v>#REF!</v>
      </c>
      <c r="L257" t="e">
        <f>IF(#REF!=2,L256+1,0)</f>
        <v>#REF!</v>
      </c>
      <c r="M257" t="e">
        <f>#REF!</f>
        <v>#REF!</v>
      </c>
      <c r="N257" t="e">
        <f>COUNTIFS(#REF!, "=1")</f>
        <v>#REF!</v>
      </c>
      <c r="O257" t="e">
        <f>COUNTIFS(#REF!, "=2")</f>
        <v>#REF!</v>
      </c>
      <c r="P257" t="e">
        <f>#REF!</f>
        <v>#REF!</v>
      </c>
    </row>
    <row r="258" spans="1:16" x14ac:dyDescent="0.25">
      <c r="A258" t="e">
        <f>AND(#REF!=2, COUNTIF(Tables!L$1:L$4,#REF!))</f>
        <v>#REF!</v>
      </c>
      <c r="B258" t="e">
        <f>AND(#REF!=1, COUNTIF(Tables!L$1:L$4,#REF!))</f>
        <v>#REF!</v>
      </c>
      <c r="C258" t="e">
        <f>AND(A258,#REF!= 0)</f>
        <v>#REF!</v>
      </c>
      <c r="D258" t="e">
        <f>AND(B258,#REF!= 0)</f>
        <v>#REF!</v>
      </c>
      <c r="E258" t="e">
        <f>isNetPoint(#REF!)</f>
        <v>#VALUE!</v>
      </c>
      <c r="F258" t="e">
        <f>OR(#REF!=1,#REF!= 1)</f>
        <v>#REF!</v>
      </c>
      <c r="G258" t="e">
        <f>IF(#REF!=1,OR(E258="1",E258="3",F258=TRUE),OR(E258="2",E258="3"))</f>
        <v>#REF!</v>
      </c>
      <c r="H258" t="e">
        <f>IF(#REF!=2,OR(E258="1",E258="3",F258=TRUE),OR(E258="2",E258="3"))</f>
        <v>#REF!</v>
      </c>
      <c r="I258" t="e">
        <f>AND(G258=TRUE,#REF!=1)</f>
        <v>#REF!</v>
      </c>
      <c r="J258" t="e">
        <f>AND(H258=TRUE,#REF!=2)</f>
        <v>#REF!</v>
      </c>
      <c r="K258" t="e">
        <f>IF(#REF!=1,K257+1,0)</f>
        <v>#REF!</v>
      </c>
      <c r="L258" t="e">
        <f>IF(#REF!=2,L257+1,0)</f>
        <v>#REF!</v>
      </c>
      <c r="M258" t="e">
        <f>#REF!</f>
        <v>#REF!</v>
      </c>
      <c r="N258" t="e">
        <f>COUNTIFS(#REF!, "=1")</f>
        <v>#REF!</v>
      </c>
      <c r="O258" t="e">
        <f>COUNTIFS(#REF!, "=2")</f>
        <v>#REF!</v>
      </c>
      <c r="P258" t="e">
        <f>#REF!</f>
        <v>#REF!</v>
      </c>
    </row>
    <row r="259" spans="1:16" x14ac:dyDescent="0.25">
      <c r="A259" t="e">
        <f>AND(#REF!=2, COUNTIF(Tables!L$1:L$4,#REF!))</f>
        <v>#REF!</v>
      </c>
      <c r="B259" t="e">
        <f>AND(#REF!=1, COUNTIF(Tables!L$1:L$4,#REF!))</f>
        <v>#REF!</v>
      </c>
      <c r="C259" t="e">
        <f>AND(A259,#REF!= 0)</f>
        <v>#REF!</v>
      </c>
      <c r="D259" t="e">
        <f>AND(B259,#REF!= 0)</f>
        <v>#REF!</v>
      </c>
      <c r="E259" t="e">
        <f>isNetPoint(#REF!)</f>
        <v>#VALUE!</v>
      </c>
      <c r="F259" t="e">
        <f>OR(#REF!=1,#REF!= 1)</f>
        <v>#REF!</v>
      </c>
      <c r="G259" t="e">
        <f>IF(#REF!=1,OR(E259="1",E259="3",F259=TRUE),OR(E259="2",E259="3"))</f>
        <v>#REF!</v>
      </c>
      <c r="H259" t="e">
        <f>IF(#REF!=2,OR(E259="1",E259="3",F259=TRUE),OR(E259="2",E259="3"))</f>
        <v>#REF!</v>
      </c>
      <c r="I259" t="e">
        <f>AND(G259=TRUE,#REF!=1)</f>
        <v>#REF!</v>
      </c>
      <c r="J259" t="e">
        <f>AND(H259=TRUE,#REF!=2)</f>
        <v>#REF!</v>
      </c>
      <c r="K259" t="e">
        <f>IF(#REF!=1,K258+1,0)</f>
        <v>#REF!</v>
      </c>
      <c r="L259" t="e">
        <f>IF(#REF!=2,L258+1,0)</f>
        <v>#REF!</v>
      </c>
      <c r="M259" t="e">
        <f>#REF!</f>
        <v>#REF!</v>
      </c>
      <c r="N259" t="e">
        <f>COUNTIFS(#REF!, "=1")</f>
        <v>#REF!</v>
      </c>
      <c r="O259" t="e">
        <f>COUNTIFS(#REF!, "=2")</f>
        <v>#REF!</v>
      </c>
      <c r="P259" t="e">
        <f>#REF!</f>
        <v>#REF!</v>
      </c>
    </row>
    <row r="260" spans="1:16" x14ac:dyDescent="0.25">
      <c r="A260" t="e">
        <f>AND(#REF!=2, COUNTIF(Tables!L$1:L$4,#REF!))</f>
        <v>#REF!</v>
      </c>
      <c r="B260" t="e">
        <f>AND(#REF!=1, COUNTIF(Tables!L$1:L$4,#REF!))</f>
        <v>#REF!</v>
      </c>
      <c r="C260" t="e">
        <f>AND(A260,#REF!= 0)</f>
        <v>#REF!</v>
      </c>
      <c r="D260" t="e">
        <f>AND(B260,#REF!= 0)</f>
        <v>#REF!</v>
      </c>
      <c r="E260" t="e">
        <f>isNetPoint(#REF!)</f>
        <v>#VALUE!</v>
      </c>
      <c r="F260" t="e">
        <f>OR(#REF!=1,#REF!= 1)</f>
        <v>#REF!</v>
      </c>
      <c r="G260" t="e">
        <f>IF(#REF!=1,OR(E260="1",E260="3",F260=TRUE),OR(E260="2",E260="3"))</f>
        <v>#REF!</v>
      </c>
      <c r="H260" t="e">
        <f>IF(#REF!=2,OR(E260="1",E260="3",F260=TRUE),OR(E260="2",E260="3"))</f>
        <v>#REF!</v>
      </c>
      <c r="I260" t="e">
        <f>AND(G260=TRUE,#REF!=1)</f>
        <v>#REF!</v>
      </c>
      <c r="J260" t="e">
        <f>AND(H260=TRUE,#REF!=2)</f>
        <v>#REF!</v>
      </c>
      <c r="K260" t="e">
        <f>IF(#REF!=1,K259+1,0)</f>
        <v>#REF!</v>
      </c>
      <c r="L260" t="e">
        <f>IF(#REF!=2,L259+1,0)</f>
        <v>#REF!</v>
      </c>
      <c r="M260" t="e">
        <f>#REF!</f>
        <v>#REF!</v>
      </c>
      <c r="N260" t="e">
        <f>COUNTIFS(#REF!, "=1")</f>
        <v>#REF!</v>
      </c>
      <c r="O260" t="e">
        <f>COUNTIFS(#REF!, "=2")</f>
        <v>#REF!</v>
      </c>
      <c r="P260" t="e">
        <f>#REF!</f>
        <v>#REF!</v>
      </c>
    </row>
    <row r="261" spans="1:16" x14ac:dyDescent="0.25">
      <c r="A261" t="e">
        <f>AND(#REF!=2, COUNTIF(Tables!L$1:L$4,#REF!))</f>
        <v>#REF!</v>
      </c>
      <c r="B261" t="e">
        <f>AND(#REF!=1, COUNTIF(Tables!L$1:L$4,#REF!))</f>
        <v>#REF!</v>
      </c>
      <c r="C261" t="e">
        <f>AND(A261,#REF!= 0)</f>
        <v>#REF!</v>
      </c>
      <c r="D261" t="e">
        <f>AND(B261,#REF!= 0)</f>
        <v>#REF!</v>
      </c>
      <c r="E261" t="e">
        <f>isNetPoint(#REF!)</f>
        <v>#VALUE!</v>
      </c>
      <c r="F261" t="e">
        <f>OR(#REF!=1,#REF!= 1)</f>
        <v>#REF!</v>
      </c>
      <c r="G261" t="e">
        <f>IF(#REF!=1,OR(E261="1",E261="3",F261=TRUE),OR(E261="2",E261="3"))</f>
        <v>#REF!</v>
      </c>
      <c r="H261" t="e">
        <f>IF(#REF!=2,OR(E261="1",E261="3",F261=TRUE),OR(E261="2",E261="3"))</f>
        <v>#REF!</v>
      </c>
      <c r="I261" t="e">
        <f>AND(G261=TRUE,#REF!=1)</f>
        <v>#REF!</v>
      </c>
      <c r="J261" t="e">
        <f>AND(H261=TRUE,#REF!=2)</f>
        <v>#REF!</v>
      </c>
      <c r="K261" t="e">
        <f>IF(#REF!=1,K260+1,0)</f>
        <v>#REF!</v>
      </c>
      <c r="L261" t="e">
        <f>IF(#REF!=2,L260+1,0)</f>
        <v>#REF!</v>
      </c>
      <c r="M261" t="e">
        <f>#REF!</f>
        <v>#REF!</v>
      </c>
      <c r="N261" t="e">
        <f>COUNTIFS(#REF!, "=1")</f>
        <v>#REF!</v>
      </c>
      <c r="O261" t="e">
        <f>COUNTIFS(#REF!, "=2")</f>
        <v>#REF!</v>
      </c>
      <c r="P261" t="e">
        <f>#REF!</f>
        <v>#REF!</v>
      </c>
    </row>
    <row r="262" spans="1:16" x14ac:dyDescent="0.25">
      <c r="A262" t="e">
        <f>AND(#REF!=2, COUNTIF(Tables!L$1:L$4,#REF!))</f>
        <v>#REF!</v>
      </c>
      <c r="B262" t="e">
        <f>AND(#REF!=1, COUNTIF(Tables!L$1:L$4,#REF!))</f>
        <v>#REF!</v>
      </c>
      <c r="C262" t="e">
        <f>AND(A262,#REF!= 0)</f>
        <v>#REF!</v>
      </c>
      <c r="D262" t="e">
        <f>AND(B262,#REF!= 0)</f>
        <v>#REF!</v>
      </c>
      <c r="E262" t="e">
        <f>isNetPoint(#REF!)</f>
        <v>#VALUE!</v>
      </c>
      <c r="F262" t="e">
        <f>OR(#REF!=1,#REF!= 1)</f>
        <v>#REF!</v>
      </c>
      <c r="G262" t="e">
        <f>IF(#REF!=1,OR(E262="1",E262="3",F262=TRUE),OR(E262="2",E262="3"))</f>
        <v>#REF!</v>
      </c>
      <c r="H262" t="e">
        <f>IF(#REF!=2,OR(E262="1",E262="3",F262=TRUE),OR(E262="2",E262="3"))</f>
        <v>#REF!</v>
      </c>
      <c r="I262" t="e">
        <f>AND(G262=TRUE,#REF!=1)</f>
        <v>#REF!</v>
      </c>
      <c r="J262" t="e">
        <f>AND(H262=TRUE,#REF!=2)</f>
        <v>#REF!</v>
      </c>
      <c r="K262" t="e">
        <f>IF(#REF!=1,K261+1,0)</f>
        <v>#REF!</v>
      </c>
      <c r="L262" t="e">
        <f>IF(#REF!=2,L261+1,0)</f>
        <v>#REF!</v>
      </c>
      <c r="M262" t="e">
        <f>#REF!</f>
        <v>#REF!</v>
      </c>
      <c r="N262" t="e">
        <f>COUNTIFS(#REF!, "=1")</f>
        <v>#REF!</v>
      </c>
      <c r="O262" t="e">
        <f>COUNTIFS(#REF!, "=2")</f>
        <v>#REF!</v>
      </c>
      <c r="P262" t="e">
        <f>#REF!</f>
        <v>#REF!</v>
      </c>
    </row>
    <row r="263" spans="1:16" x14ac:dyDescent="0.25">
      <c r="A263" t="e">
        <f>AND(#REF!=2, COUNTIF(Tables!L$1:L$4,#REF!))</f>
        <v>#REF!</v>
      </c>
      <c r="B263" t="e">
        <f>AND(#REF!=1, COUNTIF(Tables!L$1:L$4,#REF!))</f>
        <v>#REF!</v>
      </c>
      <c r="C263" t="e">
        <f>AND(A263,#REF!= 0)</f>
        <v>#REF!</v>
      </c>
      <c r="D263" t="e">
        <f>AND(B263,#REF!= 0)</f>
        <v>#REF!</v>
      </c>
      <c r="E263" t="e">
        <f>isNetPoint(#REF!)</f>
        <v>#VALUE!</v>
      </c>
      <c r="F263" t="e">
        <f>OR(#REF!=1,#REF!= 1)</f>
        <v>#REF!</v>
      </c>
      <c r="G263" t="e">
        <f>IF(#REF!=1,OR(E263="1",E263="3",F263=TRUE),OR(E263="2",E263="3"))</f>
        <v>#REF!</v>
      </c>
      <c r="H263" t="e">
        <f>IF(#REF!=2,OR(E263="1",E263="3",F263=TRUE),OR(E263="2",E263="3"))</f>
        <v>#REF!</v>
      </c>
      <c r="I263" t="e">
        <f>AND(G263=TRUE,#REF!=1)</f>
        <v>#REF!</v>
      </c>
      <c r="J263" t="e">
        <f>AND(H263=TRUE,#REF!=2)</f>
        <v>#REF!</v>
      </c>
      <c r="K263" t="e">
        <f>IF(#REF!=1,K262+1,0)</f>
        <v>#REF!</v>
      </c>
      <c r="L263" t="e">
        <f>IF(#REF!=2,L262+1,0)</f>
        <v>#REF!</v>
      </c>
      <c r="M263" t="e">
        <f>#REF!</f>
        <v>#REF!</v>
      </c>
      <c r="N263" t="e">
        <f>COUNTIFS(#REF!, "=1")</f>
        <v>#REF!</v>
      </c>
      <c r="O263" t="e">
        <f>COUNTIFS(#REF!, "=2")</f>
        <v>#REF!</v>
      </c>
      <c r="P263" t="e">
        <f>#REF!</f>
        <v>#REF!</v>
      </c>
    </row>
    <row r="264" spans="1:16" x14ac:dyDescent="0.25">
      <c r="A264" t="e">
        <f>AND(#REF!=2, COUNTIF(Tables!L$1:L$4,#REF!))</f>
        <v>#REF!</v>
      </c>
      <c r="B264" t="e">
        <f>AND(#REF!=1, COUNTIF(Tables!L$1:L$4,#REF!))</f>
        <v>#REF!</v>
      </c>
      <c r="C264" t="e">
        <f>AND(A264,#REF!= 0)</f>
        <v>#REF!</v>
      </c>
      <c r="D264" t="e">
        <f>AND(B264,#REF!= 0)</f>
        <v>#REF!</v>
      </c>
      <c r="E264" t="e">
        <f>isNetPoint(#REF!)</f>
        <v>#VALUE!</v>
      </c>
      <c r="F264" t="e">
        <f>OR(#REF!=1,#REF!= 1)</f>
        <v>#REF!</v>
      </c>
      <c r="G264" t="e">
        <f>IF(#REF!=1,OR(E264="1",E264="3",F264=TRUE),OR(E264="2",E264="3"))</f>
        <v>#REF!</v>
      </c>
      <c r="H264" t="e">
        <f>IF(#REF!=2,OR(E264="1",E264="3",F264=TRUE),OR(E264="2",E264="3"))</f>
        <v>#REF!</v>
      </c>
      <c r="I264" t="e">
        <f>AND(G264=TRUE,#REF!=1)</f>
        <v>#REF!</v>
      </c>
      <c r="J264" t="e">
        <f>AND(H264=TRUE,#REF!=2)</f>
        <v>#REF!</v>
      </c>
      <c r="K264" t="e">
        <f>IF(#REF!=1,K263+1,0)</f>
        <v>#REF!</v>
      </c>
      <c r="L264" t="e">
        <f>IF(#REF!=2,L263+1,0)</f>
        <v>#REF!</v>
      </c>
      <c r="M264" t="e">
        <f>#REF!</f>
        <v>#REF!</v>
      </c>
      <c r="N264" t="e">
        <f>COUNTIFS(#REF!, "=1")</f>
        <v>#REF!</v>
      </c>
      <c r="O264" t="e">
        <f>COUNTIFS(#REF!, "=2")</f>
        <v>#REF!</v>
      </c>
      <c r="P264" t="e">
        <f>#REF!</f>
        <v>#REF!</v>
      </c>
    </row>
    <row r="265" spans="1:16" x14ac:dyDescent="0.25">
      <c r="A265" t="e">
        <f>AND(#REF!=2, COUNTIF(Tables!L$1:L$4,#REF!))</f>
        <v>#REF!</v>
      </c>
      <c r="B265" t="e">
        <f>AND(#REF!=1, COUNTIF(Tables!L$1:L$4,#REF!))</f>
        <v>#REF!</v>
      </c>
      <c r="C265" t="e">
        <f>AND(A265,#REF!= 0)</f>
        <v>#REF!</v>
      </c>
      <c r="D265" t="e">
        <f>AND(B265,#REF!= 0)</f>
        <v>#REF!</v>
      </c>
      <c r="E265" t="e">
        <f>isNetPoint(#REF!)</f>
        <v>#VALUE!</v>
      </c>
      <c r="F265" t="e">
        <f>OR(#REF!=1,#REF!= 1)</f>
        <v>#REF!</v>
      </c>
      <c r="G265" t="e">
        <f>IF(#REF!=1,OR(E265="1",E265="3",F265=TRUE),OR(E265="2",E265="3"))</f>
        <v>#REF!</v>
      </c>
      <c r="H265" t="e">
        <f>IF(#REF!=2,OR(E265="1",E265="3",F265=TRUE),OR(E265="2",E265="3"))</f>
        <v>#REF!</v>
      </c>
      <c r="I265" t="e">
        <f>AND(G265=TRUE,#REF!=1)</f>
        <v>#REF!</v>
      </c>
      <c r="J265" t="e">
        <f>AND(H265=TRUE,#REF!=2)</f>
        <v>#REF!</v>
      </c>
      <c r="K265" t="e">
        <f>IF(#REF!=1,K264+1,0)</f>
        <v>#REF!</v>
      </c>
      <c r="L265" t="e">
        <f>IF(#REF!=2,L264+1,0)</f>
        <v>#REF!</v>
      </c>
      <c r="M265" t="e">
        <f>#REF!</f>
        <v>#REF!</v>
      </c>
      <c r="N265" t="e">
        <f>COUNTIFS(#REF!, "=1")</f>
        <v>#REF!</v>
      </c>
      <c r="O265" t="e">
        <f>COUNTIFS(#REF!, "=2")</f>
        <v>#REF!</v>
      </c>
      <c r="P265" t="e">
        <f>#REF!</f>
        <v>#REF!</v>
      </c>
    </row>
    <row r="266" spans="1:16" x14ac:dyDescent="0.25">
      <c r="A266" t="e">
        <f>AND(#REF!=2, COUNTIF(Tables!L$1:L$4,#REF!))</f>
        <v>#REF!</v>
      </c>
      <c r="B266" t="e">
        <f>AND(#REF!=1, COUNTIF(Tables!L$1:L$4,#REF!))</f>
        <v>#REF!</v>
      </c>
      <c r="C266" t="e">
        <f>AND(A266,#REF!= 0)</f>
        <v>#REF!</v>
      </c>
      <c r="D266" t="e">
        <f>AND(B266,#REF!= 0)</f>
        <v>#REF!</v>
      </c>
      <c r="E266" t="e">
        <f>isNetPoint(#REF!)</f>
        <v>#VALUE!</v>
      </c>
      <c r="F266" t="e">
        <f>OR(#REF!=1,#REF!= 1)</f>
        <v>#REF!</v>
      </c>
      <c r="G266" t="e">
        <f>IF(#REF!=1,OR(E266="1",E266="3",F266=TRUE),OR(E266="2",E266="3"))</f>
        <v>#REF!</v>
      </c>
      <c r="H266" t="e">
        <f>IF(#REF!=2,OR(E266="1",E266="3",F266=TRUE),OR(E266="2",E266="3"))</f>
        <v>#REF!</v>
      </c>
      <c r="I266" t="e">
        <f>AND(G266=TRUE,#REF!=1)</f>
        <v>#REF!</v>
      </c>
      <c r="J266" t="e">
        <f>AND(H266=TRUE,#REF!=2)</f>
        <v>#REF!</v>
      </c>
      <c r="K266" t="e">
        <f>IF(#REF!=1,K265+1,0)</f>
        <v>#REF!</v>
      </c>
      <c r="L266" t="e">
        <f>IF(#REF!=2,L265+1,0)</f>
        <v>#REF!</v>
      </c>
      <c r="M266" t="e">
        <f>#REF!</f>
        <v>#REF!</v>
      </c>
      <c r="N266" t="e">
        <f>COUNTIFS(#REF!, "=1")</f>
        <v>#REF!</v>
      </c>
      <c r="O266" t="e">
        <f>COUNTIFS(#REF!, "=2")</f>
        <v>#REF!</v>
      </c>
      <c r="P266" t="e">
        <f>#REF!</f>
        <v>#REF!</v>
      </c>
    </row>
    <row r="267" spans="1:16" x14ac:dyDescent="0.25">
      <c r="A267" t="e">
        <f>AND(#REF!=2, COUNTIF(Tables!L$1:L$4,#REF!))</f>
        <v>#REF!</v>
      </c>
      <c r="B267" t="e">
        <f>AND(#REF!=1, COUNTIF(Tables!L$1:L$4,#REF!))</f>
        <v>#REF!</v>
      </c>
      <c r="C267" t="e">
        <f>AND(A267,#REF!= 0)</f>
        <v>#REF!</v>
      </c>
      <c r="D267" t="e">
        <f>AND(B267,#REF!= 0)</f>
        <v>#REF!</v>
      </c>
      <c r="E267" t="e">
        <f>isNetPoint(#REF!)</f>
        <v>#VALUE!</v>
      </c>
      <c r="F267" t="e">
        <f>OR(#REF!=1,#REF!= 1)</f>
        <v>#REF!</v>
      </c>
      <c r="G267" t="e">
        <f>IF(#REF!=1,OR(E267="1",E267="3",F267=TRUE),OR(E267="2",E267="3"))</f>
        <v>#REF!</v>
      </c>
      <c r="H267" t="e">
        <f>IF(#REF!=2,OR(E267="1",E267="3",F267=TRUE),OR(E267="2",E267="3"))</f>
        <v>#REF!</v>
      </c>
      <c r="I267" t="e">
        <f>AND(G267=TRUE,#REF!=1)</f>
        <v>#REF!</v>
      </c>
      <c r="J267" t="e">
        <f>AND(H267=TRUE,#REF!=2)</f>
        <v>#REF!</v>
      </c>
      <c r="K267" t="e">
        <f>IF(#REF!=1,K266+1,0)</f>
        <v>#REF!</v>
      </c>
      <c r="L267" t="e">
        <f>IF(#REF!=2,L266+1,0)</f>
        <v>#REF!</v>
      </c>
      <c r="M267" t="e">
        <f>#REF!</f>
        <v>#REF!</v>
      </c>
      <c r="N267" t="e">
        <f>COUNTIFS(#REF!, "=1")</f>
        <v>#REF!</v>
      </c>
      <c r="O267" t="e">
        <f>COUNTIFS(#REF!, "=2")</f>
        <v>#REF!</v>
      </c>
      <c r="P267" t="e">
        <f>#REF!</f>
        <v>#REF!</v>
      </c>
    </row>
    <row r="268" spans="1:16" x14ac:dyDescent="0.25">
      <c r="A268" t="e">
        <f>AND(#REF!=2, COUNTIF(Tables!L$1:L$4,#REF!))</f>
        <v>#REF!</v>
      </c>
      <c r="B268" t="e">
        <f>AND(#REF!=1, COUNTIF(Tables!L$1:L$4,#REF!))</f>
        <v>#REF!</v>
      </c>
      <c r="C268" t="e">
        <f>AND(A268,#REF!= 0)</f>
        <v>#REF!</v>
      </c>
      <c r="D268" t="e">
        <f>AND(B268,#REF!= 0)</f>
        <v>#REF!</v>
      </c>
      <c r="E268" t="e">
        <f>isNetPoint(#REF!)</f>
        <v>#VALUE!</v>
      </c>
      <c r="F268" t="e">
        <f>OR(#REF!=1,#REF!= 1)</f>
        <v>#REF!</v>
      </c>
      <c r="G268" t="e">
        <f>IF(#REF!=1,OR(E268="1",E268="3",F268=TRUE),OR(E268="2",E268="3"))</f>
        <v>#REF!</v>
      </c>
      <c r="H268" t="e">
        <f>IF(#REF!=2,OR(E268="1",E268="3",F268=TRUE),OR(E268="2",E268="3"))</f>
        <v>#REF!</v>
      </c>
      <c r="I268" t="e">
        <f>AND(G268=TRUE,#REF!=1)</f>
        <v>#REF!</v>
      </c>
      <c r="J268" t="e">
        <f>AND(H268=TRUE,#REF!=2)</f>
        <v>#REF!</v>
      </c>
      <c r="K268" t="e">
        <f>IF(#REF!=1,K267+1,0)</f>
        <v>#REF!</v>
      </c>
      <c r="L268" t="e">
        <f>IF(#REF!=2,L267+1,0)</f>
        <v>#REF!</v>
      </c>
      <c r="M268" t="e">
        <f>#REF!</f>
        <v>#REF!</v>
      </c>
      <c r="N268" t="e">
        <f>COUNTIFS(#REF!, "=1")</f>
        <v>#REF!</v>
      </c>
      <c r="O268" t="e">
        <f>COUNTIFS(#REF!, "=2")</f>
        <v>#REF!</v>
      </c>
      <c r="P268" t="e">
        <f>#REF!</f>
        <v>#REF!</v>
      </c>
    </row>
    <row r="269" spans="1:16" x14ac:dyDescent="0.25">
      <c r="A269" t="e">
        <f>AND(#REF!=2, COUNTIF(Tables!L$1:L$4,#REF!))</f>
        <v>#REF!</v>
      </c>
      <c r="B269" t="e">
        <f>AND(#REF!=1, COUNTIF(Tables!L$1:L$4,#REF!))</f>
        <v>#REF!</v>
      </c>
      <c r="C269" t="e">
        <f>AND(A269,#REF!= 0)</f>
        <v>#REF!</v>
      </c>
      <c r="D269" t="e">
        <f>AND(B269,#REF!= 0)</f>
        <v>#REF!</v>
      </c>
      <c r="E269" t="e">
        <f>isNetPoint(#REF!)</f>
        <v>#VALUE!</v>
      </c>
      <c r="F269" t="e">
        <f>OR(#REF!=1,#REF!= 1)</f>
        <v>#REF!</v>
      </c>
      <c r="G269" t="e">
        <f>IF(#REF!=1,OR(E269="1",E269="3",F269=TRUE),OR(E269="2",E269="3"))</f>
        <v>#REF!</v>
      </c>
      <c r="H269" t="e">
        <f>IF(#REF!=2,OR(E269="1",E269="3",F269=TRUE),OR(E269="2",E269="3"))</f>
        <v>#REF!</v>
      </c>
      <c r="I269" t="e">
        <f>AND(G269=TRUE,#REF!=1)</f>
        <v>#REF!</v>
      </c>
      <c r="J269" t="e">
        <f>AND(H269=TRUE,#REF!=2)</f>
        <v>#REF!</v>
      </c>
      <c r="K269" t="e">
        <f>IF(#REF!=1,K268+1,0)</f>
        <v>#REF!</v>
      </c>
      <c r="L269" t="e">
        <f>IF(#REF!=2,L268+1,0)</f>
        <v>#REF!</v>
      </c>
      <c r="M269" t="e">
        <f>#REF!</f>
        <v>#REF!</v>
      </c>
      <c r="N269" t="e">
        <f>COUNTIFS(#REF!, "=1")</f>
        <v>#REF!</v>
      </c>
      <c r="O269" t="e">
        <f>COUNTIFS(#REF!, "=2")</f>
        <v>#REF!</v>
      </c>
      <c r="P269" t="e">
        <f>#REF!</f>
        <v>#REF!</v>
      </c>
    </row>
    <row r="270" spans="1:16" x14ac:dyDescent="0.25">
      <c r="A270" t="e">
        <f>AND(#REF!=2, COUNTIF(Tables!L$1:L$4,#REF!))</f>
        <v>#REF!</v>
      </c>
      <c r="B270" t="e">
        <f>AND(#REF!=1, COUNTIF(Tables!L$1:L$4,#REF!))</f>
        <v>#REF!</v>
      </c>
      <c r="C270" t="e">
        <f>AND(A270,#REF!= 0)</f>
        <v>#REF!</v>
      </c>
      <c r="D270" t="e">
        <f>AND(B270,#REF!= 0)</f>
        <v>#REF!</v>
      </c>
      <c r="E270" t="e">
        <f>isNetPoint(#REF!)</f>
        <v>#VALUE!</v>
      </c>
      <c r="F270" t="e">
        <f>OR(#REF!=1,#REF!= 1)</f>
        <v>#REF!</v>
      </c>
      <c r="G270" t="e">
        <f>IF(#REF!=1,OR(E270="1",E270="3",F270=TRUE),OR(E270="2",E270="3"))</f>
        <v>#REF!</v>
      </c>
      <c r="H270" t="e">
        <f>IF(#REF!=2,OR(E270="1",E270="3",F270=TRUE),OR(E270="2",E270="3"))</f>
        <v>#REF!</v>
      </c>
      <c r="I270" t="e">
        <f>AND(G270=TRUE,#REF!=1)</f>
        <v>#REF!</v>
      </c>
      <c r="J270" t="e">
        <f>AND(H270=TRUE,#REF!=2)</f>
        <v>#REF!</v>
      </c>
      <c r="K270" t="e">
        <f>IF(#REF!=1,K269+1,0)</f>
        <v>#REF!</v>
      </c>
      <c r="L270" t="e">
        <f>IF(#REF!=2,L269+1,0)</f>
        <v>#REF!</v>
      </c>
      <c r="M270" t="e">
        <f>#REF!</f>
        <v>#REF!</v>
      </c>
      <c r="N270" t="e">
        <f>COUNTIFS(#REF!, "=1")</f>
        <v>#REF!</v>
      </c>
      <c r="O270" t="e">
        <f>COUNTIFS(#REF!, "=2")</f>
        <v>#REF!</v>
      </c>
      <c r="P270" t="e">
        <f>#REF!</f>
        <v>#REF!</v>
      </c>
    </row>
    <row r="271" spans="1:16" x14ac:dyDescent="0.25">
      <c r="A271" t="e">
        <f>AND(#REF!=2, COUNTIF(Tables!L$1:L$4,#REF!))</f>
        <v>#REF!</v>
      </c>
      <c r="B271" t="e">
        <f>AND(#REF!=1, COUNTIF(Tables!L$1:L$4,#REF!))</f>
        <v>#REF!</v>
      </c>
      <c r="C271" t="e">
        <f>AND(A271,#REF!= 0)</f>
        <v>#REF!</v>
      </c>
      <c r="D271" t="e">
        <f>AND(B271,#REF!= 0)</f>
        <v>#REF!</v>
      </c>
      <c r="E271" t="e">
        <f>isNetPoint(#REF!)</f>
        <v>#VALUE!</v>
      </c>
      <c r="F271" t="e">
        <f>OR(#REF!=1,#REF!= 1)</f>
        <v>#REF!</v>
      </c>
      <c r="G271" t="e">
        <f>IF(#REF!=1,OR(E271="1",E271="3",F271=TRUE),OR(E271="2",E271="3"))</f>
        <v>#REF!</v>
      </c>
      <c r="H271" t="e">
        <f>IF(#REF!=2,OR(E271="1",E271="3",F271=TRUE),OR(E271="2",E271="3"))</f>
        <v>#REF!</v>
      </c>
      <c r="I271" t="e">
        <f>AND(G271=TRUE,#REF!=1)</f>
        <v>#REF!</v>
      </c>
      <c r="J271" t="e">
        <f>AND(H271=TRUE,#REF!=2)</f>
        <v>#REF!</v>
      </c>
      <c r="K271" t="e">
        <f>IF(#REF!=1,K270+1,0)</f>
        <v>#REF!</v>
      </c>
      <c r="L271" t="e">
        <f>IF(#REF!=2,L270+1,0)</f>
        <v>#REF!</v>
      </c>
      <c r="M271" t="e">
        <f>#REF!</f>
        <v>#REF!</v>
      </c>
      <c r="N271" t="e">
        <f>COUNTIFS(#REF!, "=1")</f>
        <v>#REF!</v>
      </c>
      <c r="O271" t="e">
        <f>COUNTIFS(#REF!, "=2")</f>
        <v>#REF!</v>
      </c>
      <c r="P271" t="e">
        <f>#REF!</f>
        <v>#REF!</v>
      </c>
    </row>
    <row r="272" spans="1:16" x14ac:dyDescent="0.25">
      <c r="A272" t="e">
        <f>AND(#REF!=2, COUNTIF(Tables!L$1:L$4,#REF!))</f>
        <v>#REF!</v>
      </c>
      <c r="B272" t="e">
        <f>AND(#REF!=1, COUNTIF(Tables!L$1:L$4,#REF!))</f>
        <v>#REF!</v>
      </c>
      <c r="C272" t="e">
        <f>AND(A272,#REF!= 0)</f>
        <v>#REF!</v>
      </c>
      <c r="D272" t="e">
        <f>AND(B272,#REF!= 0)</f>
        <v>#REF!</v>
      </c>
      <c r="E272" t="e">
        <f>isNetPoint(#REF!)</f>
        <v>#VALUE!</v>
      </c>
      <c r="F272" t="e">
        <f>OR(#REF!=1,#REF!= 1)</f>
        <v>#REF!</v>
      </c>
      <c r="G272" t="e">
        <f>IF(#REF!=1,OR(E272="1",E272="3",F272=TRUE),OR(E272="2",E272="3"))</f>
        <v>#REF!</v>
      </c>
      <c r="H272" t="e">
        <f>IF(#REF!=2,OR(E272="1",E272="3",F272=TRUE),OR(E272="2",E272="3"))</f>
        <v>#REF!</v>
      </c>
      <c r="I272" t="e">
        <f>AND(G272=TRUE,#REF!=1)</f>
        <v>#REF!</v>
      </c>
      <c r="J272" t="e">
        <f>AND(H272=TRUE,#REF!=2)</f>
        <v>#REF!</v>
      </c>
      <c r="K272" t="e">
        <f>IF(#REF!=1,K271+1,0)</f>
        <v>#REF!</v>
      </c>
      <c r="L272" t="e">
        <f>IF(#REF!=2,L271+1,0)</f>
        <v>#REF!</v>
      </c>
      <c r="M272" t="e">
        <f>#REF!</f>
        <v>#REF!</v>
      </c>
      <c r="N272" t="e">
        <f>COUNTIFS(#REF!, "=1")</f>
        <v>#REF!</v>
      </c>
      <c r="O272" t="e">
        <f>COUNTIFS(#REF!, "=2")</f>
        <v>#REF!</v>
      </c>
      <c r="P272" t="e">
        <f>#REF!</f>
        <v>#REF!</v>
      </c>
    </row>
    <row r="273" spans="1:16" x14ac:dyDescent="0.25">
      <c r="A273" t="e">
        <f>AND(#REF!=2, COUNTIF(Tables!L$1:L$4,#REF!))</f>
        <v>#REF!</v>
      </c>
      <c r="B273" t="e">
        <f>AND(#REF!=1, COUNTIF(Tables!L$1:L$4,#REF!))</f>
        <v>#REF!</v>
      </c>
      <c r="C273" t="e">
        <f>AND(A273,#REF!= 0)</f>
        <v>#REF!</v>
      </c>
      <c r="D273" t="e">
        <f>AND(B273,#REF!= 0)</f>
        <v>#REF!</v>
      </c>
      <c r="E273" t="e">
        <f>isNetPoint(#REF!)</f>
        <v>#VALUE!</v>
      </c>
      <c r="F273" t="e">
        <f>OR(#REF!=1,#REF!= 1)</f>
        <v>#REF!</v>
      </c>
      <c r="G273" t="e">
        <f>IF(#REF!=1,OR(E273="1",E273="3",F273=TRUE),OR(E273="2",E273="3"))</f>
        <v>#REF!</v>
      </c>
      <c r="H273" t="e">
        <f>IF(#REF!=2,OR(E273="1",E273="3",F273=TRUE),OR(E273="2",E273="3"))</f>
        <v>#REF!</v>
      </c>
      <c r="I273" t="e">
        <f>AND(G273=TRUE,#REF!=1)</f>
        <v>#REF!</v>
      </c>
      <c r="J273" t="e">
        <f>AND(H273=TRUE,#REF!=2)</f>
        <v>#REF!</v>
      </c>
      <c r="K273" t="e">
        <f>IF(#REF!=1,K272+1,0)</f>
        <v>#REF!</v>
      </c>
      <c r="L273" t="e">
        <f>IF(#REF!=2,L272+1,0)</f>
        <v>#REF!</v>
      </c>
      <c r="M273" t="e">
        <f>#REF!</f>
        <v>#REF!</v>
      </c>
      <c r="N273" t="e">
        <f>COUNTIFS(#REF!, "=1")</f>
        <v>#REF!</v>
      </c>
      <c r="O273" t="e">
        <f>COUNTIFS(#REF!, "=2")</f>
        <v>#REF!</v>
      </c>
      <c r="P273" t="e">
        <f>#REF!</f>
        <v>#REF!</v>
      </c>
    </row>
    <row r="274" spans="1:16" x14ac:dyDescent="0.25">
      <c r="A274" t="e">
        <f>AND(#REF!=2, COUNTIF(Tables!L$1:L$4,#REF!))</f>
        <v>#REF!</v>
      </c>
      <c r="B274" t="e">
        <f>AND(#REF!=1, COUNTIF(Tables!L$1:L$4,#REF!))</f>
        <v>#REF!</v>
      </c>
      <c r="C274" t="e">
        <f>AND(A274,#REF!= 0)</f>
        <v>#REF!</v>
      </c>
      <c r="D274" t="e">
        <f>AND(B274,#REF!= 0)</f>
        <v>#REF!</v>
      </c>
      <c r="E274" t="e">
        <f>isNetPoint(#REF!)</f>
        <v>#VALUE!</v>
      </c>
      <c r="F274" t="e">
        <f>OR(#REF!=1,#REF!= 1)</f>
        <v>#REF!</v>
      </c>
      <c r="G274" t="e">
        <f>IF(#REF!=1,OR(E274="1",E274="3",F274=TRUE),OR(E274="2",E274="3"))</f>
        <v>#REF!</v>
      </c>
      <c r="H274" t="e">
        <f>IF(#REF!=2,OR(E274="1",E274="3",F274=TRUE),OR(E274="2",E274="3"))</f>
        <v>#REF!</v>
      </c>
      <c r="I274" t="e">
        <f>AND(G274=TRUE,#REF!=1)</f>
        <v>#REF!</v>
      </c>
      <c r="J274" t="e">
        <f>AND(H274=TRUE,#REF!=2)</f>
        <v>#REF!</v>
      </c>
      <c r="K274" t="e">
        <f>IF(#REF!=1,K273+1,0)</f>
        <v>#REF!</v>
      </c>
      <c r="L274" t="e">
        <f>IF(#REF!=2,L273+1,0)</f>
        <v>#REF!</v>
      </c>
      <c r="M274" t="e">
        <f>#REF!</f>
        <v>#REF!</v>
      </c>
      <c r="N274" t="e">
        <f>COUNTIFS(#REF!, "=1")</f>
        <v>#REF!</v>
      </c>
      <c r="O274" t="e">
        <f>COUNTIFS(#REF!, "=2")</f>
        <v>#REF!</v>
      </c>
      <c r="P274" t="e">
        <f>#REF!</f>
        <v>#REF!</v>
      </c>
    </row>
    <row r="275" spans="1:16" x14ac:dyDescent="0.25">
      <c r="A275" t="e">
        <f>AND(#REF!=2, COUNTIF(Tables!L$1:L$4,#REF!))</f>
        <v>#REF!</v>
      </c>
      <c r="B275" t="e">
        <f>AND(#REF!=1, COUNTIF(Tables!L$1:L$4,#REF!))</f>
        <v>#REF!</v>
      </c>
      <c r="C275" t="e">
        <f>AND(A275,#REF!= 0)</f>
        <v>#REF!</v>
      </c>
      <c r="D275" t="e">
        <f>AND(B275,#REF!= 0)</f>
        <v>#REF!</v>
      </c>
      <c r="E275" t="e">
        <f>isNetPoint(#REF!)</f>
        <v>#VALUE!</v>
      </c>
      <c r="F275" t="e">
        <f>OR(#REF!=1,#REF!= 1)</f>
        <v>#REF!</v>
      </c>
      <c r="G275" t="e">
        <f>IF(#REF!=1,OR(E275="1",E275="3",F275=TRUE),OR(E275="2",E275="3"))</f>
        <v>#REF!</v>
      </c>
      <c r="H275" t="e">
        <f>IF(#REF!=2,OR(E275="1",E275="3",F275=TRUE),OR(E275="2",E275="3"))</f>
        <v>#REF!</v>
      </c>
      <c r="I275" t="e">
        <f>AND(G275=TRUE,#REF!=1)</f>
        <v>#REF!</v>
      </c>
      <c r="J275" t="e">
        <f>AND(H275=TRUE,#REF!=2)</f>
        <v>#REF!</v>
      </c>
      <c r="K275" t="e">
        <f>IF(#REF!=1,K274+1,0)</f>
        <v>#REF!</v>
      </c>
      <c r="L275" t="e">
        <f>IF(#REF!=2,L274+1,0)</f>
        <v>#REF!</v>
      </c>
      <c r="M275" t="e">
        <f>#REF!</f>
        <v>#REF!</v>
      </c>
      <c r="N275" t="e">
        <f>COUNTIFS(#REF!, "=1")</f>
        <v>#REF!</v>
      </c>
      <c r="O275" t="e">
        <f>COUNTIFS(#REF!, "=2")</f>
        <v>#REF!</v>
      </c>
      <c r="P275" t="e">
        <f>#REF!</f>
        <v>#REF!</v>
      </c>
    </row>
    <row r="276" spans="1:16" x14ac:dyDescent="0.25">
      <c r="A276" t="e">
        <f>AND(#REF!=2, COUNTIF(Tables!L$1:L$4,#REF!))</f>
        <v>#REF!</v>
      </c>
      <c r="B276" t="e">
        <f>AND(#REF!=1, COUNTIF(Tables!L$1:L$4,#REF!))</f>
        <v>#REF!</v>
      </c>
      <c r="C276" t="e">
        <f>AND(A276,#REF!= 0)</f>
        <v>#REF!</v>
      </c>
      <c r="D276" t="e">
        <f>AND(B276,#REF!= 0)</f>
        <v>#REF!</v>
      </c>
      <c r="E276" t="e">
        <f>isNetPoint(#REF!)</f>
        <v>#VALUE!</v>
      </c>
      <c r="F276" t="e">
        <f>OR(#REF!=1,#REF!= 1)</f>
        <v>#REF!</v>
      </c>
      <c r="G276" t="e">
        <f>IF(#REF!=1,OR(E276="1",E276="3",F276=TRUE),OR(E276="2",E276="3"))</f>
        <v>#REF!</v>
      </c>
      <c r="H276" t="e">
        <f>IF(#REF!=2,OR(E276="1",E276="3",F276=TRUE),OR(E276="2",E276="3"))</f>
        <v>#REF!</v>
      </c>
      <c r="I276" t="e">
        <f>AND(G276=TRUE,#REF!=1)</f>
        <v>#REF!</v>
      </c>
      <c r="J276" t="e">
        <f>AND(H276=TRUE,#REF!=2)</f>
        <v>#REF!</v>
      </c>
      <c r="K276" t="e">
        <f>IF(#REF!=1,K275+1,0)</f>
        <v>#REF!</v>
      </c>
      <c r="L276" t="e">
        <f>IF(#REF!=2,L275+1,0)</f>
        <v>#REF!</v>
      </c>
      <c r="M276" t="e">
        <f>#REF!</f>
        <v>#REF!</v>
      </c>
      <c r="N276" t="e">
        <f>COUNTIFS(#REF!, "=1")</f>
        <v>#REF!</v>
      </c>
      <c r="O276" t="e">
        <f>COUNTIFS(#REF!, "=2")</f>
        <v>#REF!</v>
      </c>
      <c r="P276" t="e">
        <f>#REF!</f>
        <v>#REF!</v>
      </c>
    </row>
    <row r="277" spans="1:16" x14ac:dyDescent="0.25">
      <c r="A277" t="e">
        <f>AND(#REF!=2, COUNTIF(Tables!L$1:L$4,#REF!))</f>
        <v>#REF!</v>
      </c>
      <c r="B277" t="e">
        <f>AND(#REF!=1, COUNTIF(Tables!L$1:L$4,#REF!))</f>
        <v>#REF!</v>
      </c>
      <c r="C277" t="e">
        <f>AND(A277,#REF!= 0)</f>
        <v>#REF!</v>
      </c>
      <c r="D277" t="e">
        <f>AND(B277,#REF!= 0)</f>
        <v>#REF!</v>
      </c>
      <c r="E277" t="e">
        <f>isNetPoint(#REF!)</f>
        <v>#VALUE!</v>
      </c>
      <c r="F277" t="e">
        <f>OR(#REF!=1,#REF!= 1)</f>
        <v>#REF!</v>
      </c>
      <c r="G277" t="e">
        <f>IF(#REF!=1,OR(E277="1",E277="3",F277=TRUE),OR(E277="2",E277="3"))</f>
        <v>#REF!</v>
      </c>
      <c r="H277" t="e">
        <f>IF(#REF!=2,OR(E277="1",E277="3",F277=TRUE),OR(E277="2",E277="3"))</f>
        <v>#REF!</v>
      </c>
      <c r="I277" t="e">
        <f>AND(G277=TRUE,#REF!=1)</f>
        <v>#REF!</v>
      </c>
      <c r="J277" t="e">
        <f>AND(H277=TRUE,#REF!=2)</f>
        <v>#REF!</v>
      </c>
      <c r="K277" t="e">
        <f>IF(#REF!=1,K276+1,0)</f>
        <v>#REF!</v>
      </c>
      <c r="L277" t="e">
        <f>IF(#REF!=2,L276+1,0)</f>
        <v>#REF!</v>
      </c>
      <c r="M277" t="e">
        <f>#REF!</f>
        <v>#REF!</v>
      </c>
      <c r="N277" t="e">
        <f>COUNTIFS(#REF!, "=1")</f>
        <v>#REF!</v>
      </c>
      <c r="O277" t="e">
        <f>COUNTIFS(#REF!, "=2")</f>
        <v>#REF!</v>
      </c>
      <c r="P277" t="e">
        <f>#REF!</f>
        <v>#REF!</v>
      </c>
    </row>
    <row r="278" spans="1:16" x14ac:dyDescent="0.25">
      <c r="A278" t="e">
        <f>AND(#REF!=2, COUNTIF(Tables!L$1:L$4,#REF!))</f>
        <v>#REF!</v>
      </c>
      <c r="B278" t="e">
        <f>AND(#REF!=1, COUNTIF(Tables!L$1:L$4,#REF!))</f>
        <v>#REF!</v>
      </c>
      <c r="C278" t="e">
        <f>AND(A278,#REF!= 0)</f>
        <v>#REF!</v>
      </c>
      <c r="D278" t="e">
        <f>AND(B278,#REF!= 0)</f>
        <v>#REF!</v>
      </c>
      <c r="E278" t="e">
        <f>isNetPoint(#REF!)</f>
        <v>#VALUE!</v>
      </c>
      <c r="F278" t="e">
        <f>OR(#REF!=1,#REF!= 1)</f>
        <v>#REF!</v>
      </c>
      <c r="G278" t="e">
        <f>IF(#REF!=1,OR(E278="1",E278="3",F278=TRUE),OR(E278="2",E278="3"))</f>
        <v>#REF!</v>
      </c>
      <c r="H278" t="e">
        <f>IF(#REF!=2,OR(E278="1",E278="3",F278=TRUE),OR(E278="2",E278="3"))</f>
        <v>#REF!</v>
      </c>
      <c r="I278" t="e">
        <f>AND(G278=TRUE,#REF!=1)</f>
        <v>#REF!</v>
      </c>
      <c r="J278" t="e">
        <f>AND(H278=TRUE,#REF!=2)</f>
        <v>#REF!</v>
      </c>
      <c r="K278" t="e">
        <f>IF(#REF!=1,K277+1,0)</f>
        <v>#REF!</v>
      </c>
      <c r="L278" t="e">
        <f>IF(#REF!=2,L277+1,0)</f>
        <v>#REF!</v>
      </c>
      <c r="M278" t="e">
        <f>#REF!</f>
        <v>#REF!</v>
      </c>
      <c r="N278" t="e">
        <f>COUNTIFS(#REF!, "=1")</f>
        <v>#REF!</v>
      </c>
      <c r="O278" t="e">
        <f>COUNTIFS(#REF!, "=2")</f>
        <v>#REF!</v>
      </c>
      <c r="P278" t="e">
        <f>#REF!</f>
        <v>#REF!</v>
      </c>
    </row>
    <row r="279" spans="1:16" x14ac:dyDescent="0.25">
      <c r="A279" t="e">
        <f>AND(#REF!=2, COUNTIF(Tables!L$1:L$4,#REF!))</f>
        <v>#REF!</v>
      </c>
      <c r="B279" t="e">
        <f>AND(#REF!=1, COUNTIF(Tables!L$1:L$4,#REF!))</f>
        <v>#REF!</v>
      </c>
      <c r="C279" t="e">
        <f>AND(A279,#REF!= 0)</f>
        <v>#REF!</v>
      </c>
      <c r="D279" t="e">
        <f>AND(B279,#REF!= 0)</f>
        <v>#REF!</v>
      </c>
      <c r="E279" t="e">
        <f>isNetPoint(#REF!)</f>
        <v>#VALUE!</v>
      </c>
      <c r="F279" t="e">
        <f>OR(#REF!=1,#REF!= 1)</f>
        <v>#REF!</v>
      </c>
      <c r="G279" t="e">
        <f>IF(#REF!=1,OR(E279="1",E279="3",F279=TRUE),OR(E279="2",E279="3"))</f>
        <v>#REF!</v>
      </c>
      <c r="H279" t="e">
        <f>IF(#REF!=2,OR(E279="1",E279="3",F279=TRUE),OR(E279="2",E279="3"))</f>
        <v>#REF!</v>
      </c>
      <c r="I279" t="e">
        <f>AND(G279=TRUE,#REF!=1)</f>
        <v>#REF!</v>
      </c>
      <c r="J279" t="e">
        <f>AND(H279=TRUE,#REF!=2)</f>
        <v>#REF!</v>
      </c>
      <c r="K279" t="e">
        <f>IF(#REF!=1,K278+1,0)</f>
        <v>#REF!</v>
      </c>
      <c r="L279" t="e">
        <f>IF(#REF!=2,L278+1,0)</f>
        <v>#REF!</v>
      </c>
      <c r="M279" t="e">
        <f>#REF!</f>
        <v>#REF!</v>
      </c>
      <c r="N279" t="e">
        <f>COUNTIFS(#REF!, "=1")</f>
        <v>#REF!</v>
      </c>
      <c r="O279" t="e">
        <f>COUNTIFS(#REF!, "=2")</f>
        <v>#REF!</v>
      </c>
      <c r="P279" t="e">
        <f>#REF!</f>
        <v>#REF!</v>
      </c>
    </row>
    <row r="280" spans="1:16" x14ac:dyDescent="0.25">
      <c r="A280" t="e">
        <f>AND(#REF!=2, COUNTIF(Tables!L$1:L$4,#REF!))</f>
        <v>#REF!</v>
      </c>
      <c r="B280" t="e">
        <f>AND(#REF!=1, COUNTIF(Tables!L$1:L$4,#REF!))</f>
        <v>#REF!</v>
      </c>
      <c r="C280" t="e">
        <f>AND(A280,#REF!= 0)</f>
        <v>#REF!</v>
      </c>
      <c r="D280" t="e">
        <f>AND(B280,#REF!= 0)</f>
        <v>#REF!</v>
      </c>
      <c r="E280" t="e">
        <f>isNetPoint(#REF!)</f>
        <v>#VALUE!</v>
      </c>
      <c r="F280" t="e">
        <f>OR(#REF!=1,#REF!= 1)</f>
        <v>#REF!</v>
      </c>
      <c r="G280" t="e">
        <f>IF(#REF!=1,OR(E280="1",E280="3",F280=TRUE),OR(E280="2",E280="3"))</f>
        <v>#REF!</v>
      </c>
      <c r="H280" t="e">
        <f>IF(#REF!=2,OR(E280="1",E280="3",F280=TRUE),OR(E280="2",E280="3"))</f>
        <v>#REF!</v>
      </c>
      <c r="I280" t="e">
        <f>AND(G280=TRUE,#REF!=1)</f>
        <v>#REF!</v>
      </c>
      <c r="J280" t="e">
        <f>AND(H280=TRUE,#REF!=2)</f>
        <v>#REF!</v>
      </c>
      <c r="K280" t="e">
        <f>IF(#REF!=1,K279+1,0)</f>
        <v>#REF!</v>
      </c>
      <c r="L280" t="e">
        <f>IF(#REF!=2,L279+1,0)</f>
        <v>#REF!</v>
      </c>
      <c r="M280" t="e">
        <f>#REF!</f>
        <v>#REF!</v>
      </c>
      <c r="N280" t="e">
        <f>COUNTIFS(#REF!, "=1")</f>
        <v>#REF!</v>
      </c>
      <c r="O280" t="e">
        <f>COUNTIFS(#REF!, "=2")</f>
        <v>#REF!</v>
      </c>
      <c r="P280" t="e">
        <f>#REF!</f>
        <v>#REF!</v>
      </c>
    </row>
    <row r="281" spans="1:16" x14ac:dyDescent="0.25">
      <c r="A281" t="e">
        <f>AND(#REF!=2, COUNTIF(Tables!L$1:L$4,#REF!))</f>
        <v>#REF!</v>
      </c>
      <c r="B281" t="e">
        <f>AND(#REF!=1, COUNTIF(Tables!L$1:L$4,#REF!))</f>
        <v>#REF!</v>
      </c>
      <c r="C281" t="e">
        <f>AND(A281,#REF!= 0)</f>
        <v>#REF!</v>
      </c>
      <c r="D281" t="e">
        <f>AND(B281,#REF!= 0)</f>
        <v>#REF!</v>
      </c>
      <c r="E281" t="e">
        <f>isNetPoint(#REF!)</f>
        <v>#VALUE!</v>
      </c>
      <c r="F281" t="e">
        <f>OR(#REF!=1,#REF!= 1)</f>
        <v>#REF!</v>
      </c>
      <c r="G281" t="e">
        <f>IF(#REF!=1,OR(E281="1",E281="3",F281=TRUE),OR(E281="2",E281="3"))</f>
        <v>#REF!</v>
      </c>
      <c r="H281" t="e">
        <f>IF(#REF!=2,OR(E281="1",E281="3",F281=TRUE),OR(E281="2",E281="3"))</f>
        <v>#REF!</v>
      </c>
      <c r="I281" t="e">
        <f>AND(G281=TRUE,#REF!=1)</f>
        <v>#REF!</v>
      </c>
      <c r="J281" t="e">
        <f>AND(H281=TRUE,#REF!=2)</f>
        <v>#REF!</v>
      </c>
      <c r="K281" t="e">
        <f>IF(#REF!=1,K280+1,0)</f>
        <v>#REF!</v>
      </c>
      <c r="L281" t="e">
        <f>IF(#REF!=2,L280+1,0)</f>
        <v>#REF!</v>
      </c>
      <c r="M281" t="e">
        <f>#REF!</f>
        <v>#REF!</v>
      </c>
      <c r="N281" t="e">
        <f>COUNTIFS(#REF!, "=1")</f>
        <v>#REF!</v>
      </c>
      <c r="O281" t="e">
        <f>COUNTIFS(#REF!, "=2")</f>
        <v>#REF!</v>
      </c>
      <c r="P281" t="e">
        <f>#REF!</f>
        <v>#REF!</v>
      </c>
    </row>
    <row r="282" spans="1:16" x14ac:dyDescent="0.25">
      <c r="A282" t="e">
        <f>AND(#REF!=2, COUNTIF(Tables!L$1:L$4,#REF!))</f>
        <v>#REF!</v>
      </c>
      <c r="B282" t="e">
        <f>AND(#REF!=1, COUNTIF(Tables!L$1:L$4,#REF!))</f>
        <v>#REF!</v>
      </c>
      <c r="C282" t="e">
        <f>AND(A282,#REF!= 0)</f>
        <v>#REF!</v>
      </c>
      <c r="D282" t="e">
        <f>AND(B282,#REF!= 0)</f>
        <v>#REF!</v>
      </c>
      <c r="E282" t="e">
        <f>isNetPoint(#REF!)</f>
        <v>#VALUE!</v>
      </c>
      <c r="F282" t="e">
        <f>OR(#REF!=1,#REF!= 1)</f>
        <v>#REF!</v>
      </c>
      <c r="G282" t="e">
        <f>IF(#REF!=1,OR(E282="1",E282="3",F282=TRUE),OR(E282="2",E282="3"))</f>
        <v>#REF!</v>
      </c>
      <c r="H282" t="e">
        <f>IF(#REF!=2,OR(E282="1",E282="3",F282=TRUE),OR(E282="2",E282="3"))</f>
        <v>#REF!</v>
      </c>
      <c r="I282" t="e">
        <f>AND(G282=TRUE,#REF!=1)</f>
        <v>#REF!</v>
      </c>
      <c r="J282" t="e">
        <f>AND(H282=TRUE,#REF!=2)</f>
        <v>#REF!</v>
      </c>
      <c r="K282" t="e">
        <f>IF(#REF!=1,K281+1,0)</f>
        <v>#REF!</v>
      </c>
      <c r="L282" t="e">
        <f>IF(#REF!=2,L281+1,0)</f>
        <v>#REF!</v>
      </c>
      <c r="M282" t="e">
        <f>#REF!</f>
        <v>#REF!</v>
      </c>
      <c r="N282" t="e">
        <f>COUNTIFS(#REF!, "=1")</f>
        <v>#REF!</v>
      </c>
      <c r="O282" t="e">
        <f>COUNTIFS(#REF!, "=2")</f>
        <v>#REF!</v>
      </c>
      <c r="P282" t="e">
        <f>#REF!</f>
        <v>#REF!</v>
      </c>
    </row>
    <row r="283" spans="1:16" x14ac:dyDescent="0.25">
      <c r="A283" t="e">
        <f>AND(#REF!=2, COUNTIF(Tables!L$1:L$4,#REF!))</f>
        <v>#REF!</v>
      </c>
      <c r="B283" t="e">
        <f>AND(#REF!=1, COUNTIF(Tables!L$1:L$4,#REF!))</f>
        <v>#REF!</v>
      </c>
      <c r="C283" t="e">
        <f>AND(A283,#REF!= 0)</f>
        <v>#REF!</v>
      </c>
      <c r="D283" t="e">
        <f>AND(B283,#REF!= 0)</f>
        <v>#REF!</v>
      </c>
      <c r="E283" t="e">
        <f>isNetPoint(#REF!)</f>
        <v>#VALUE!</v>
      </c>
      <c r="F283" t="e">
        <f>OR(#REF!=1,#REF!= 1)</f>
        <v>#REF!</v>
      </c>
      <c r="G283" t="e">
        <f>IF(#REF!=1,OR(E283="1",E283="3",F283=TRUE),OR(E283="2",E283="3"))</f>
        <v>#REF!</v>
      </c>
      <c r="H283" t="e">
        <f>IF(#REF!=2,OR(E283="1",E283="3",F283=TRUE),OR(E283="2",E283="3"))</f>
        <v>#REF!</v>
      </c>
      <c r="I283" t="e">
        <f>AND(G283=TRUE,#REF!=1)</f>
        <v>#REF!</v>
      </c>
      <c r="J283" t="e">
        <f>AND(H283=TRUE,#REF!=2)</f>
        <v>#REF!</v>
      </c>
      <c r="K283" t="e">
        <f>IF(#REF!=1,K282+1,0)</f>
        <v>#REF!</v>
      </c>
      <c r="L283" t="e">
        <f>IF(#REF!=2,L282+1,0)</f>
        <v>#REF!</v>
      </c>
      <c r="M283" t="e">
        <f>#REF!</f>
        <v>#REF!</v>
      </c>
      <c r="N283" t="e">
        <f>COUNTIFS(#REF!, "=1")</f>
        <v>#REF!</v>
      </c>
      <c r="O283" t="e">
        <f>COUNTIFS(#REF!, "=2")</f>
        <v>#REF!</v>
      </c>
      <c r="P283" t="e">
        <f>#REF!</f>
        <v>#REF!</v>
      </c>
    </row>
    <row r="284" spans="1:16" x14ac:dyDescent="0.25">
      <c r="A284" t="e">
        <f>AND(#REF!=2, COUNTIF(Tables!L$1:L$4,#REF!))</f>
        <v>#REF!</v>
      </c>
      <c r="B284" t="e">
        <f>AND(#REF!=1, COUNTIF(Tables!L$1:L$4,#REF!))</f>
        <v>#REF!</v>
      </c>
      <c r="C284" t="e">
        <f>AND(A284,#REF!= 0)</f>
        <v>#REF!</v>
      </c>
      <c r="D284" t="e">
        <f>AND(B284,#REF!= 0)</f>
        <v>#REF!</v>
      </c>
      <c r="E284" t="e">
        <f>isNetPoint(#REF!)</f>
        <v>#VALUE!</v>
      </c>
      <c r="F284" t="e">
        <f>OR(#REF!=1,#REF!= 1)</f>
        <v>#REF!</v>
      </c>
      <c r="G284" t="e">
        <f>IF(#REF!=1,OR(E284="1",E284="3",F284=TRUE),OR(E284="2",E284="3"))</f>
        <v>#REF!</v>
      </c>
      <c r="H284" t="e">
        <f>IF(#REF!=2,OR(E284="1",E284="3",F284=TRUE),OR(E284="2",E284="3"))</f>
        <v>#REF!</v>
      </c>
      <c r="I284" t="e">
        <f>AND(G284=TRUE,#REF!=1)</f>
        <v>#REF!</v>
      </c>
      <c r="J284" t="e">
        <f>AND(H284=TRUE,#REF!=2)</f>
        <v>#REF!</v>
      </c>
      <c r="K284" t="e">
        <f>IF(#REF!=1,K283+1,0)</f>
        <v>#REF!</v>
      </c>
      <c r="L284" t="e">
        <f>IF(#REF!=2,L283+1,0)</f>
        <v>#REF!</v>
      </c>
      <c r="M284" t="e">
        <f>#REF!</f>
        <v>#REF!</v>
      </c>
      <c r="N284" t="e">
        <f>COUNTIFS(#REF!, "=1")</f>
        <v>#REF!</v>
      </c>
      <c r="O284" t="e">
        <f>COUNTIFS(#REF!, "=2")</f>
        <v>#REF!</v>
      </c>
      <c r="P284" t="e">
        <f>#REF!</f>
        <v>#REF!</v>
      </c>
    </row>
    <row r="285" spans="1:16" x14ac:dyDescent="0.25">
      <c r="A285" t="e">
        <f>AND(#REF!=2, COUNTIF(Tables!L$1:L$4,#REF!))</f>
        <v>#REF!</v>
      </c>
      <c r="B285" t="e">
        <f>AND(#REF!=1, COUNTIF(Tables!L$1:L$4,#REF!))</f>
        <v>#REF!</v>
      </c>
      <c r="C285" t="e">
        <f>AND(A285,#REF!= 0)</f>
        <v>#REF!</v>
      </c>
      <c r="D285" t="e">
        <f>AND(B285,#REF!= 0)</f>
        <v>#REF!</v>
      </c>
      <c r="E285" t="e">
        <f>isNetPoint(#REF!)</f>
        <v>#VALUE!</v>
      </c>
      <c r="F285" t="e">
        <f>OR(#REF!=1,#REF!= 1)</f>
        <v>#REF!</v>
      </c>
      <c r="G285" t="e">
        <f>IF(#REF!=1,OR(E285="1",E285="3",F285=TRUE),OR(E285="2",E285="3"))</f>
        <v>#REF!</v>
      </c>
      <c r="H285" t="e">
        <f>IF(#REF!=2,OR(E285="1",E285="3",F285=TRUE),OR(E285="2",E285="3"))</f>
        <v>#REF!</v>
      </c>
      <c r="I285" t="e">
        <f>AND(G285=TRUE,#REF!=1)</f>
        <v>#REF!</v>
      </c>
      <c r="J285" t="e">
        <f>AND(H285=TRUE,#REF!=2)</f>
        <v>#REF!</v>
      </c>
      <c r="K285" t="e">
        <f>IF(#REF!=1,K284+1,0)</f>
        <v>#REF!</v>
      </c>
      <c r="L285" t="e">
        <f>IF(#REF!=2,L284+1,0)</f>
        <v>#REF!</v>
      </c>
      <c r="M285" t="e">
        <f>#REF!</f>
        <v>#REF!</v>
      </c>
      <c r="N285" t="e">
        <f>COUNTIFS(#REF!, "=1")</f>
        <v>#REF!</v>
      </c>
      <c r="O285" t="e">
        <f>COUNTIFS(#REF!, "=2")</f>
        <v>#REF!</v>
      </c>
      <c r="P285" t="e">
        <f>#REF!</f>
        <v>#REF!</v>
      </c>
    </row>
    <row r="286" spans="1:16" x14ac:dyDescent="0.25">
      <c r="A286" t="e">
        <f>AND(#REF!=2, COUNTIF(Tables!L$1:L$4,#REF!))</f>
        <v>#REF!</v>
      </c>
      <c r="B286" t="e">
        <f>AND(#REF!=1, COUNTIF(Tables!L$1:L$4,#REF!))</f>
        <v>#REF!</v>
      </c>
      <c r="C286" t="e">
        <f>AND(A286,#REF!= 0)</f>
        <v>#REF!</v>
      </c>
      <c r="D286" t="e">
        <f>AND(B286,#REF!= 0)</f>
        <v>#REF!</v>
      </c>
      <c r="E286" t="e">
        <f>isNetPoint(#REF!)</f>
        <v>#VALUE!</v>
      </c>
      <c r="F286" t="e">
        <f>OR(#REF!=1,#REF!= 1)</f>
        <v>#REF!</v>
      </c>
      <c r="G286" t="e">
        <f>IF(#REF!=1,OR(E286="1",E286="3",F286=TRUE),OR(E286="2",E286="3"))</f>
        <v>#REF!</v>
      </c>
      <c r="H286" t="e">
        <f>IF(#REF!=2,OR(E286="1",E286="3",F286=TRUE),OR(E286="2",E286="3"))</f>
        <v>#REF!</v>
      </c>
      <c r="I286" t="e">
        <f>AND(G286=TRUE,#REF!=1)</f>
        <v>#REF!</v>
      </c>
      <c r="J286" t="e">
        <f>AND(H286=TRUE,#REF!=2)</f>
        <v>#REF!</v>
      </c>
      <c r="K286" t="e">
        <f>IF(#REF!=1,K285+1,0)</f>
        <v>#REF!</v>
      </c>
      <c r="L286" t="e">
        <f>IF(#REF!=2,L285+1,0)</f>
        <v>#REF!</v>
      </c>
      <c r="M286" t="e">
        <f>#REF!</f>
        <v>#REF!</v>
      </c>
      <c r="N286" t="e">
        <f>COUNTIFS(#REF!, "=1")</f>
        <v>#REF!</v>
      </c>
      <c r="O286" t="e">
        <f>COUNTIFS(#REF!, "=2")</f>
        <v>#REF!</v>
      </c>
      <c r="P286" t="e">
        <f>#REF!</f>
        <v>#REF!</v>
      </c>
    </row>
    <row r="287" spans="1:16" x14ac:dyDescent="0.25">
      <c r="A287" t="e">
        <f>AND(#REF!=2, COUNTIF(Tables!L$1:L$4,#REF!))</f>
        <v>#REF!</v>
      </c>
      <c r="B287" t="e">
        <f>AND(#REF!=1, COUNTIF(Tables!L$1:L$4,#REF!))</f>
        <v>#REF!</v>
      </c>
      <c r="C287" t="e">
        <f>AND(A287,#REF!= 0)</f>
        <v>#REF!</v>
      </c>
      <c r="D287" t="e">
        <f>AND(B287,#REF!= 0)</f>
        <v>#REF!</v>
      </c>
      <c r="E287" t="e">
        <f>isNetPoint(#REF!)</f>
        <v>#VALUE!</v>
      </c>
      <c r="F287" t="e">
        <f>OR(#REF!=1,#REF!= 1)</f>
        <v>#REF!</v>
      </c>
      <c r="G287" t="e">
        <f>IF(#REF!=1,OR(E287="1",E287="3",F287=TRUE),OR(E287="2",E287="3"))</f>
        <v>#REF!</v>
      </c>
      <c r="H287" t="e">
        <f>IF(#REF!=2,OR(E287="1",E287="3",F287=TRUE),OR(E287="2",E287="3"))</f>
        <v>#REF!</v>
      </c>
      <c r="I287" t="e">
        <f>AND(G287=TRUE,#REF!=1)</f>
        <v>#REF!</v>
      </c>
      <c r="J287" t="e">
        <f>AND(H287=TRUE,#REF!=2)</f>
        <v>#REF!</v>
      </c>
      <c r="K287" t="e">
        <f>IF(#REF!=1,K286+1,0)</f>
        <v>#REF!</v>
      </c>
      <c r="L287" t="e">
        <f>IF(#REF!=2,L286+1,0)</f>
        <v>#REF!</v>
      </c>
      <c r="M287" t="e">
        <f>#REF!</f>
        <v>#REF!</v>
      </c>
      <c r="N287" t="e">
        <f>COUNTIFS(#REF!, "=1")</f>
        <v>#REF!</v>
      </c>
      <c r="O287" t="e">
        <f>COUNTIFS(#REF!, "=2")</f>
        <v>#REF!</v>
      </c>
      <c r="P287" t="e">
        <f>#REF!</f>
        <v>#REF!</v>
      </c>
    </row>
    <row r="288" spans="1:16" x14ac:dyDescent="0.25">
      <c r="A288" t="e">
        <f>AND(#REF!=2, COUNTIF(Tables!L$1:L$4,#REF!))</f>
        <v>#REF!</v>
      </c>
      <c r="B288" t="e">
        <f>AND(#REF!=1, COUNTIF(Tables!L$1:L$4,#REF!))</f>
        <v>#REF!</v>
      </c>
      <c r="C288" t="e">
        <f>AND(A288,#REF!= 0)</f>
        <v>#REF!</v>
      </c>
      <c r="D288" t="e">
        <f>AND(B288,#REF!= 0)</f>
        <v>#REF!</v>
      </c>
      <c r="E288" t="e">
        <f>isNetPoint(#REF!)</f>
        <v>#VALUE!</v>
      </c>
      <c r="F288" t="e">
        <f>OR(#REF!=1,#REF!= 1)</f>
        <v>#REF!</v>
      </c>
      <c r="G288" t="e">
        <f>IF(#REF!=1,OR(E288="1",E288="3",F288=TRUE),OR(E288="2",E288="3"))</f>
        <v>#REF!</v>
      </c>
      <c r="H288" t="e">
        <f>IF(#REF!=2,OR(E288="1",E288="3",F288=TRUE),OR(E288="2",E288="3"))</f>
        <v>#REF!</v>
      </c>
      <c r="I288" t="e">
        <f>AND(G288=TRUE,#REF!=1)</f>
        <v>#REF!</v>
      </c>
      <c r="J288" t="e">
        <f>AND(H288=TRUE,#REF!=2)</f>
        <v>#REF!</v>
      </c>
      <c r="K288" t="e">
        <f>IF(#REF!=1,K287+1,0)</f>
        <v>#REF!</v>
      </c>
      <c r="L288" t="e">
        <f>IF(#REF!=2,L287+1,0)</f>
        <v>#REF!</v>
      </c>
      <c r="M288" t="e">
        <f>#REF!</f>
        <v>#REF!</v>
      </c>
      <c r="N288" t="e">
        <f>COUNTIFS(#REF!, "=1")</f>
        <v>#REF!</v>
      </c>
      <c r="O288" t="e">
        <f>COUNTIFS(#REF!, "=2")</f>
        <v>#REF!</v>
      </c>
      <c r="P288" t="e">
        <f>#REF!</f>
        <v>#REF!</v>
      </c>
    </row>
    <row r="289" spans="1:16" x14ac:dyDescent="0.25">
      <c r="A289" t="e">
        <f>AND(#REF!=2, COUNTIF(Tables!L$1:L$4,#REF!))</f>
        <v>#REF!</v>
      </c>
      <c r="B289" t="e">
        <f>AND(#REF!=1, COUNTIF(Tables!L$1:L$4,#REF!))</f>
        <v>#REF!</v>
      </c>
      <c r="C289" t="e">
        <f>AND(A289,#REF!= 0)</f>
        <v>#REF!</v>
      </c>
      <c r="D289" t="e">
        <f>AND(B289,#REF!= 0)</f>
        <v>#REF!</v>
      </c>
      <c r="E289" t="e">
        <f>isNetPoint(#REF!)</f>
        <v>#VALUE!</v>
      </c>
      <c r="F289" t="e">
        <f>OR(#REF!=1,#REF!= 1)</f>
        <v>#REF!</v>
      </c>
      <c r="G289" t="e">
        <f>IF(#REF!=1,OR(E289="1",E289="3",F289=TRUE),OR(E289="2",E289="3"))</f>
        <v>#REF!</v>
      </c>
      <c r="H289" t="e">
        <f>IF(#REF!=2,OR(E289="1",E289="3",F289=TRUE),OR(E289="2",E289="3"))</f>
        <v>#REF!</v>
      </c>
      <c r="I289" t="e">
        <f>AND(G289=TRUE,#REF!=1)</f>
        <v>#REF!</v>
      </c>
      <c r="J289" t="e">
        <f>AND(H289=TRUE,#REF!=2)</f>
        <v>#REF!</v>
      </c>
      <c r="K289" t="e">
        <f>IF(#REF!=1,K288+1,0)</f>
        <v>#REF!</v>
      </c>
      <c r="L289" t="e">
        <f>IF(#REF!=2,L288+1,0)</f>
        <v>#REF!</v>
      </c>
      <c r="M289" t="e">
        <f>#REF!</f>
        <v>#REF!</v>
      </c>
      <c r="N289" t="e">
        <f>COUNTIFS(#REF!, "=1")</f>
        <v>#REF!</v>
      </c>
      <c r="O289" t="e">
        <f>COUNTIFS(#REF!, "=2")</f>
        <v>#REF!</v>
      </c>
      <c r="P289" t="e">
        <f>#REF!</f>
        <v>#REF!</v>
      </c>
    </row>
    <row r="290" spans="1:16" x14ac:dyDescent="0.25">
      <c r="A290" t="e">
        <f>AND(#REF!=2, COUNTIF(Tables!L$1:L$4,#REF!))</f>
        <v>#REF!</v>
      </c>
      <c r="B290" t="e">
        <f>AND(#REF!=1, COUNTIF(Tables!L$1:L$4,#REF!))</f>
        <v>#REF!</v>
      </c>
      <c r="C290" t="e">
        <f>AND(A290,#REF!= 0)</f>
        <v>#REF!</v>
      </c>
      <c r="D290" t="e">
        <f>AND(B290,#REF!= 0)</f>
        <v>#REF!</v>
      </c>
      <c r="E290" t="e">
        <f>isNetPoint(#REF!)</f>
        <v>#VALUE!</v>
      </c>
      <c r="F290" t="e">
        <f>OR(#REF!=1,#REF!= 1)</f>
        <v>#REF!</v>
      </c>
      <c r="G290" t="e">
        <f>IF(#REF!=1,OR(E290="1",E290="3",F290=TRUE),OR(E290="2",E290="3"))</f>
        <v>#REF!</v>
      </c>
      <c r="H290" t="e">
        <f>IF(#REF!=2,OR(E290="1",E290="3",F290=TRUE),OR(E290="2",E290="3"))</f>
        <v>#REF!</v>
      </c>
      <c r="I290" t="e">
        <f>AND(G290=TRUE,#REF!=1)</f>
        <v>#REF!</v>
      </c>
      <c r="J290" t="e">
        <f>AND(H290=TRUE,#REF!=2)</f>
        <v>#REF!</v>
      </c>
      <c r="K290" t="e">
        <f>IF(#REF!=1,K289+1,0)</f>
        <v>#REF!</v>
      </c>
      <c r="L290" t="e">
        <f>IF(#REF!=2,L289+1,0)</f>
        <v>#REF!</v>
      </c>
      <c r="M290" t="e">
        <f>#REF!</f>
        <v>#REF!</v>
      </c>
      <c r="N290" t="e">
        <f>COUNTIFS(#REF!, "=1")</f>
        <v>#REF!</v>
      </c>
      <c r="O290" t="e">
        <f>COUNTIFS(#REF!, "=2")</f>
        <v>#REF!</v>
      </c>
      <c r="P290" t="e">
        <f>#REF!</f>
        <v>#REF!</v>
      </c>
    </row>
    <row r="291" spans="1:16" x14ac:dyDescent="0.25">
      <c r="A291" t="e">
        <f>AND(#REF!=2, COUNTIF(Tables!L$1:L$4,#REF!))</f>
        <v>#REF!</v>
      </c>
      <c r="B291" t="e">
        <f>AND(#REF!=1, COUNTIF(Tables!L$1:L$4,#REF!))</f>
        <v>#REF!</v>
      </c>
      <c r="C291" t="e">
        <f>AND(A291,#REF!= 0)</f>
        <v>#REF!</v>
      </c>
      <c r="D291" t="e">
        <f>AND(B291,#REF!= 0)</f>
        <v>#REF!</v>
      </c>
      <c r="E291" t="e">
        <f>isNetPoint(#REF!)</f>
        <v>#VALUE!</v>
      </c>
      <c r="F291" t="e">
        <f>OR(#REF!=1,#REF!= 1)</f>
        <v>#REF!</v>
      </c>
      <c r="G291" t="e">
        <f>IF(#REF!=1,OR(E291="1",E291="3",F291=TRUE),OR(E291="2",E291="3"))</f>
        <v>#REF!</v>
      </c>
      <c r="H291" t="e">
        <f>IF(#REF!=2,OR(E291="1",E291="3",F291=TRUE),OR(E291="2",E291="3"))</f>
        <v>#REF!</v>
      </c>
      <c r="I291" t="e">
        <f>AND(G291=TRUE,#REF!=1)</f>
        <v>#REF!</v>
      </c>
      <c r="J291" t="e">
        <f>AND(H291=TRUE,#REF!=2)</f>
        <v>#REF!</v>
      </c>
      <c r="K291" t="e">
        <f>IF(#REF!=1,K290+1,0)</f>
        <v>#REF!</v>
      </c>
      <c r="L291" t="e">
        <f>IF(#REF!=2,L290+1,0)</f>
        <v>#REF!</v>
      </c>
      <c r="M291" t="e">
        <f>#REF!</f>
        <v>#REF!</v>
      </c>
      <c r="N291" t="e">
        <f>COUNTIFS(#REF!, "=1")</f>
        <v>#REF!</v>
      </c>
      <c r="O291" t="e">
        <f>COUNTIFS(#REF!, "=2")</f>
        <v>#REF!</v>
      </c>
      <c r="P291" t="e">
        <f>#REF!</f>
        <v>#REF!</v>
      </c>
    </row>
    <row r="292" spans="1:16" x14ac:dyDescent="0.25">
      <c r="A292" t="e">
        <f>AND(#REF!=2, COUNTIF(Tables!L$1:L$4,#REF!))</f>
        <v>#REF!</v>
      </c>
      <c r="B292" t="e">
        <f>AND(#REF!=1, COUNTIF(Tables!L$1:L$4,#REF!))</f>
        <v>#REF!</v>
      </c>
      <c r="C292" t="e">
        <f>AND(A292,#REF!= 0)</f>
        <v>#REF!</v>
      </c>
      <c r="D292" t="e">
        <f>AND(B292,#REF!= 0)</f>
        <v>#REF!</v>
      </c>
      <c r="E292" t="e">
        <f>isNetPoint(#REF!)</f>
        <v>#VALUE!</v>
      </c>
      <c r="F292" t="e">
        <f>OR(#REF!=1,#REF!= 1)</f>
        <v>#REF!</v>
      </c>
      <c r="G292" t="e">
        <f>IF(#REF!=1,OR(E292="1",E292="3",F292=TRUE),OR(E292="2",E292="3"))</f>
        <v>#REF!</v>
      </c>
      <c r="H292" t="e">
        <f>IF(#REF!=2,OR(E292="1",E292="3",F292=TRUE),OR(E292="2",E292="3"))</f>
        <v>#REF!</v>
      </c>
      <c r="I292" t="e">
        <f>AND(G292=TRUE,#REF!=1)</f>
        <v>#REF!</v>
      </c>
      <c r="J292" t="e">
        <f>AND(H292=TRUE,#REF!=2)</f>
        <v>#REF!</v>
      </c>
      <c r="K292" t="e">
        <f>IF(#REF!=1,K291+1,0)</f>
        <v>#REF!</v>
      </c>
      <c r="L292" t="e">
        <f>IF(#REF!=2,L291+1,0)</f>
        <v>#REF!</v>
      </c>
      <c r="M292" t="e">
        <f>#REF!</f>
        <v>#REF!</v>
      </c>
      <c r="N292" t="e">
        <f>COUNTIFS(#REF!, "=1")</f>
        <v>#REF!</v>
      </c>
      <c r="O292" t="e">
        <f>COUNTIFS(#REF!, "=2")</f>
        <v>#REF!</v>
      </c>
      <c r="P292" t="e">
        <f>#REF!</f>
        <v>#REF!</v>
      </c>
    </row>
    <row r="293" spans="1:16" x14ac:dyDescent="0.25">
      <c r="A293" t="e">
        <f>AND(#REF!=2, COUNTIF(Tables!L$1:L$4,#REF!))</f>
        <v>#REF!</v>
      </c>
      <c r="B293" t="e">
        <f>AND(#REF!=1, COUNTIF(Tables!L$1:L$4,#REF!))</f>
        <v>#REF!</v>
      </c>
      <c r="C293" t="e">
        <f>AND(A293,#REF!= 0)</f>
        <v>#REF!</v>
      </c>
      <c r="D293" t="e">
        <f>AND(B293,#REF!= 0)</f>
        <v>#REF!</v>
      </c>
      <c r="E293" t="e">
        <f>isNetPoint(#REF!)</f>
        <v>#VALUE!</v>
      </c>
      <c r="F293" t="e">
        <f>OR(#REF!=1,#REF!= 1)</f>
        <v>#REF!</v>
      </c>
      <c r="G293" t="e">
        <f>IF(#REF!=1,OR(E293="1",E293="3",F293=TRUE),OR(E293="2",E293="3"))</f>
        <v>#REF!</v>
      </c>
      <c r="H293" t="e">
        <f>IF(#REF!=2,OR(E293="1",E293="3",F293=TRUE),OR(E293="2",E293="3"))</f>
        <v>#REF!</v>
      </c>
      <c r="I293" t="e">
        <f>AND(G293=TRUE,#REF!=1)</f>
        <v>#REF!</v>
      </c>
      <c r="J293" t="e">
        <f>AND(H293=TRUE,#REF!=2)</f>
        <v>#REF!</v>
      </c>
      <c r="K293" t="e">
        <f>IF(#REF!=1,K292+1,0)</f>
        <v>#REF!</v>
      </c>
      <c r="L293" t="e">
        <f>IF(#REF!=2,L292+1,0)</f>
        <v>#REF!</v>
      </c>
      <c r="M293" t="e">
        <f>#REF!</f>
        <v>#REF!</v>
      </c>
      <c r="N293" t="e">
        <f>COUNTIFS(#REF!, "=1")</f>
        <v>#REF!</v>
      </c>
      <c r="O293" t="e">
        <f>COUNTIFS(#REF!, "=2")</f>
        <v>#REF!</v>
      </c>
      <c r="P293" t="e">
        <f>#REF!</f>
        <v>#REF!</v>
      </c>
    </row>
    <row r="294" spans="1:16" x14ac:dyDescent="0.25">
      <c r="A294" t="e">
        <f>AND(#REF!=2, COUNTIF(Tables!L$1:L$4,#REF!))</f>
        <v>#REF!</v>
      </c>
      <c r="B294" t="e">
        <f>AND(#REF!=1, COUNTIF(Tables!L$1:L$4,#REF!))</f>
        <v>#REF!</v>
      </c>
      <c r="C294" t="e">
        <f>AND(A294,#REF!= 0)</f>
        <v>#REF!</v>
      </c>
      <c r="D294" t="e">
        <f>AND(B294,#REF!= 0)</f>
        <v>#REF!</v>
      </c>
      <c r="E294" t="e">
        <f>isNetPoint(#REF!)</f>
        <v>#VALUE!</v>
      </c>
      <c r="F294" t="e">
        <f>OR(#REF!=1,#REF!= 1)</f>
        <v>#REF!</v>
      </c>
      <c r="G294" t="e">
        <f>IF(#REF!=1,OR(E294="1",E294="3",F294=TRUE),OR(E294="2",E294="3"))</f>
        <v>#REF!</v>
      </c>
      <c r="H294" t="e">
        <f>IF(#REF!=2,OR(E294="1",E294="3",F294=TRUE),OR(E294="2",E294="3"))</f>
        <v>#REF!</v>
      </c>
      <c r="I294" t="e">
        <f>AND(G294=TRUE,#REF!=1)</f>
        <v>#REF!</v>
      </c>
      <c r="J294" t="e">
        <f>AND(H294=TRUE,#REF!=2)</f>
        <v>#REF!</v>
      </c>
      <c r="K294" t="e">
        <f>IF(#REF!=1,K293+1,0)</f>
        <v>#REF!</v>
      </c>
      <c r="L294" t="e">
        <f>IF(#REF!=2,L293+1,0)</f>
        <v>#REF!</v>
      </c>
      <c r="M294" t="e">
        <f>#REF!</f>
        <v>#REF!</v>
      </c>
      <c r="N294" t="e">
        <f>COUNTIFS(#REF!, "=1")</f>
        <v>#REF!</v>
      </c>
      <c r="O294" t="e">
        <f>COUNTIFS(#REF!, "=2")</f>
        <v>#REF!</v>
      </c>
      <c r="P294" t="e">
        <f>#REF!</f>
        <v>#REF!</v>
      </c>
    </row>
    <row r="295" spans="1:16" x14ac:dyDescent="0.25">
      <c r="A295" t="e">
        <f>AND(#REF!=2, COUNTIF(Tables!L$1:L$4,#REF!))</f>
        <v>#REF!</v>
      </c>
      <c r="B295" t="e">
        <f>AND(#REF!=1, COUNTIF(Tables!L$1:L$4,#REF!))</f>
        <v>#REF!</v>
      </c>
      <c r="C295" t="e">
        <f>AND(A295,#REF!= 0)</f>
        <v>#REF!</v>
      </c>
      <c r="D295" t="e">
        <f>AND(B295,#REF!= 0)</f>
        <v>#REF!</v>
      </c>
      <c r="E295" t="e">
        <f>isNetPoint(#REF!)</f>
        <v>#VALUE!</v>
      </c>
      <c r="F295" t="e">
        <f>OR(#REF!=1,#REF!= 1)</f>
        <v>#REF!</v>
      </c>
      <c r="G295" t="e">
        <f>IF(#REF!=1,OR(E295="1",E295="3",F295=TRUE),OR(E295="2",E295="3"))</f>
        <v>#REF!</v>
      </c>
      <c r="H295" t="e">
        <f>IF(#REF!=2,OR(E295="1",E295="3",F295=TRUE),OR(E295="2",E295="3"))</f>
        <v>#REF!</v>
      </c>
      <c r="I295" t="e">
        <f>AND(G295=TRUE,#REF!=1)</f>
        <v>#REF!</v>
      </c>
      <c r="J295" t="e">
        <f>AND(H295=TRUE,#REF!=2)</f>
        <v>#REF!</v>
      </c>
      <c r="K295" t="e">
        <f>IF(#REF!=1,K294+1,0)</f>
        <v>#REF!</v>
      </c>
      <c r="L295" t="e">
        <f>IF(#REF!=2,L294+1,0)</f>
        <v>#REF!</v>
      </c>
      <c r="M295" t="e">
        <f>#REF!</f>
        <v>#REF!</v>
      </c>
      <c r="N295" t="e">
        <f>COUNTIFS(#REF!, "=1")</f>
        <v>#REF!</v>
      </c>
      <c r="O295" t="e">
        <f>COUNTIFS(#REF!, "=2")</f>
        <v>#REF!</v>
      </c>
      <c r="P295" t="e">
        <f>#REF!</f>
        <v>#REF!</v>
      </c>
    </row>
    <row r="296" spans="1:16" x14ac:dyDescent="0.25">
      <c r="A296" t="e">
        <f>AND(#REF!=2, COUNTIF(Tables!L$1:L$4,#REF!))</f>
        <v>#REF!</v>
      </c>
      <c r="B296" t="e">
        <f>AND(#REF!=1, COUNTIF(Tables!L$1:L$4,#REF!))</f>
        <v>#REF!</v>
      </c>
      <c r="C296" t="e">
        <f>AND(A296,#REF!= 0)</f>
        <v>#REF!</v>
      </c>
      <c r="D296" t="e">
        <f>AND(B296,#REF!= 0)</f>
        <v>#REF!</v>
      </c>
      <c r="E296" t="e">
        <f>isNetPoint(#REF!)</f>
        <v>#VALUE!</v>
      </c>
      <c r="F296" t="e">
        <f>OR(#REF!=1,#REF!= 1)</f>
        <v>#REF!</v>
      </c>
      <c r="G296" t="e">
        <f>IF(#REF!=1,OR(E296="1",E296="3",F296=TRUE),OR(E296="2",E296="3"))</f>
        <v>#REF!</v>
      </c>
      <c r="H296" t="e">
        <f>IF(#REF!=2,OR(E296="1",E296="3",F296=TRUE),OR(E296="2",E296="3"))</f>
        <v>#REF!</v>
      </c>
      <c r="I296" t="e">
        <f>AND(G296=TRUE,#REF!=1)</f>
        <v>#REF!</v>
      </c>
      <c r="J296" t="e">
        <f>AND(H296=TRUE,#REF!=2)</f>
        <v>#REF!</v>
      </c>
      <c r="K296" t="e">
        <f>IF(#REF!=1,K295+1,0)</f>
        <v>#REF!</v>
      </c>
      <c r="L296" t="e">
        <f>IF(#REF!=2,L295+1,0)</f>
        <v>#REF!</v>
      </c>
      <c r="M296" t="e">
        <f>#REF!</f>
        <v>#REF!</v>
      </c>
      <c r="N296" t="e">
        <f>COUNTIFS(#REF!, "=1")</f>
        <v>#REF!</v>
      </c>
      <c r="O296" t="e">
        <f>COUNTIFS(#REF!, "=2")</f>
        <v>#REF!</v>
      </c>
      <c r="P296" t="e">
        <f>#REF!</f>
        <v>#REF!</v>
      </c>
    </row>
    <row r="297" spans="1:16" x14ac:dyDescent="0.25">
      <c r="A297" t="e">
        <f>AND(#REF!=2, COUNTIF(Tables!L$1:L$4,#REF!))</f>
        <v>#REF!</v>
      </c>
      <c r="B297" t="e">
        <f>AND(#REF!=1, COUNTIF(Tables!L$1:L$4,#REF!))</f>
        <v>#REF!</v>
      </c>
      <c r="C297" t="e">
        <f>AND(A297,#REF!= 0)</f>
        <v>#REF!</v>
      </c>
      <c r="D297" t="e">
        <f>AND(B297,#REF!= 0)</f>
        <v>#REF!</v>
      </c>
      <c r="E297" t="e">
        <f>isNetPoint(#REF!)</f>
        <v>#VALUE!</v>
      </c>
      <c r="F297" t="e">
        <f>OR(#REF!=1,#REF!= 1)</f>
        <v>#REF!</v>
      </c>
      <c r="G297" t="e">
        <f>IF(#REF!=1,OR(E297="1",E297="3",F297=TRUE),OR(E297="2",E297="3"))</f>
        <v>#REF!</v>
      </c>
      <c r="H297" t="e">
        <f>IF(#REF!=2,OR(E297="1",E297="3",F297=TRUE),OR(E297="2",E297="3"))</f>
        <v>#REF!</v>
      </c>
      <c r="I297" t="e">
        <f>AND(G297=TRUE,#REF!=1)</f>
        <v>#REF!</v>
      </c>
      <c r="J297" t="e">
        <f>AND(H297=TRUE,#REF!=2)</f>
        <v>#REF!</v>
      </c>
      <c r="K297" t="e">
        <f>IF(#REF!=1,K296+1,0)</f>
        <v>#REF!</v>
      </c>
      <c r="L297" t="e">
        <f>IF(#REF!=2,L296+1,0)</f>
        <v>#REF!</v>
      </c>
      <c r="M297" t="e">
        <f>#REF!</f>
        <v>#REF!</v>
      </c>
      <c r="N297" t="e">
        <f>COUNTIFS(#REF!, "=1")</f>
        <v>#REF!</v>
      </c>
      <c r="O297" t="e">
        <f>COUNTIFS(#REF!, "=2")</f>
        <v>#REF!</v>
      </c>
      <c r="P297" t="e">
        <f>#REF!</f>
        <v>#REF!</v>
      </c>
    </row>
    <row r="298" spans="1:16" x14ac:dyDescent="0.25">
      <c r="A298" t="e">
        <f>AND(#REF!=2, COUNTIF(Tables!L$1:L$4,#REF!))</f>
        <v>#REF!</v>
      </c>
      <c r="B298" t="e">
        <f>AND(#REF!=1, COUNTIF(Tables!L$1:L$4,#REF!))</f>
        <v>#REF!</v>
      </c>
      <c r="C298" t="e">
        <f>AND(A298,#REF!= 0)</f>
        <v>#REF!</v>
      </c>
      <c r="D298" t="e">
        <f>AND(B298,#REF!= 0)</f>
        <v>#REF!</v>
      </c>
      <c r="E298" t="e">
        <f>isNetPoint(#REF!)</f>
        <v>#VALUE!</v>
      </c>
      <c r="F298" t="e">
        <f>OR(#REF!=1,#REF!= 1)</f>
        <v>#REF!</v>
      </c>
      <c r="G298" t="e">
        <f>IF(#REF!=1,OR(E298="1",E298="3",F298=TRUE),OR(E298="2",E298="3"))</f>
        <v>#REF!</v>
      </c>
      <c r="H298" t="e">
        <f>IF(#REF!=2,OR(E298="1",E298="3",F298=TRUE),OR(E298="2",E298="3"))</f>
        <v>#REF!</v>
      </c>
      <c r="I298" t="e">
        <f>AND(G298=TRUE,#REF!=1)</f>
        <v>#REF!</v>
      </c>
      <c r="J298" t="e">
        <f>AND(H298=TRUE,#REF!=2)</f>
        <v>#REF!</v>
      </c>
      <c r="K298" t="e">
        <f>IF(#REF!=1,K297+1,0)</f>
        <v>#REF!</v>
      </c>
      <c r="L298" t="e">
        <f>IF(#REF!=2,L297+1,0)</f>
        <v>#REF!</v>
      </c>
      <c r="M298" t="e">
        <f>#REF!</f>
        <v>#REF!</v>
      </c>
      <c r="N298" t="e">
        <f>COUNTIFS(#REF!, "=1")</f>
        <v>#REF!</v>
      </c>
      <c r="O298" t="e">
        <f>COUNTIFS(#REF!, "=2")</f>
        <v>#REF!</v>
      </c>
      <c r="P298" t="e">
        <f>#REF!</f>
        <v>#REF!</v>
      </c>
    </row>
    <row r="299" spans="1:16" x14ac:dyDescent="0.25">
      <c r="A299" t="e">
        <f>AND(#REF!=2, COUNTIF(Tables!L$1:L$4,#REF!))</f>
        <v>#REF!</v>
      </c>
      <c r="B299" t="e">
        <f>AND(#REF!=1, COUNTIF(Tables!L$1:L$4,#REF!))</f>
        <v>#REF!</v>
      </c>
      <c r="C299" t="e">
        <f>AND(A299,#REF!= 0)</f>
        <v>#REF!</v>
      </c>
      <c r="D299" t="e">
        <f>AND(B299,#REF!= 0)</f>
        <v>#REF!</v>
      </c>
      <c r="E299" t="e">
        <f>isNetPoint(#REF!)</f>
        <v>#VALUE!</v>
      </c>
      <c r="F299" t="e">
        <f>OR(#REF!=1,#REF!= 1)</f>
        <v>#REF!</v>
      </c>
      <c r="G299" t="e">
        <f>IF(#REF!=1,OR(E299="1",E299="3",F299=TRUE),OR(E299="2",E299="3"))</f>
        <v>#REF!</v>
      </c>
      <c r="H299" t="e">
        <f>IF(#REF!=2,OR(E299="1",E299="3",F299=TRUE),OR(E299="2",E299="3"))</f>
        <v>#REF!</v>
      </c>
      <c r="I299" t="e">
        <f>AND(G299=TRUE,#REF!=1)</f>
        <v>#REF!</v>
      </c>
      <c r="J299" t="e">
        <f>AND(H299=TRUE,#REF!=2)</f>
        <v>#REF!</v>
      </c>
      <c r="K299" t="e">
        <f>IF(#REF!=1,K298+1,0)</f>
        <v>#REF!</v>
      </c>
      <c r="L299" t="e">
        <f>IF(#REF!=2,L298+1,0)</f>
        <v>#REF!</v>
      </c>
      <c r="M299" t="e">
        <f>#REF!</f>
        <v>#REF!</v>
      </c>
      <c r="N299" t="e">
        <f>COUNTIFS(#REF!, "=1")</f>
        <v>#REF!</v>
      </c>
      <c r="O299" t="e">
        <f>COUNTIFS(#REF!, "=2")</f>
        <v>#REF!</v>
      </c>
      <c r="P299" t="e">
        <f>#REF!</f>
        <v>#REF!</v>
      </c>
    </row>
    <row r="300" spans="1:16" x14ac:dyDescent="0.25">
      <c r="A300" t="e">
        <f>AND(#REF!=2, COUNTIF(Tables!L$1:L$4,#REF!))</f>
        <v>#REF!</v>
      </c>
      <c r="B300" t="e">
        <f>AND(#REF!=1, COUNTIF(Tables!L$1:L$4,#REF!))</f>
        <v>#REF!</v>
      </c>
      <c r="C300" t="e">
        <f>AND(A300,#REF!= 0)</f>
        <v>#REF!</v>
      </c>
      <c r="D300" t="e">
        <f>AND(B300,#REF!= 0)</f>
        <v>#REF!</v>
      </c>
      <c r="E300" t="e">
        <f>isNetPoint(#REF!)</f>
        <v>#VALUE!</v>
      </c>
      <c r="F300" t="e">
        <f>OR(#REF!=1,#REF!= 1)</f>
        <v>#REF!</v>
      </c>
      <c r="G300" t="e">
        <f>IF(#REF!=1,OR(E300="1",E300="3",F300=TRUE),OR(E300="2",E300="3"))</f>
        <v>#REF!</v>
      </c>
      <c r="H300" t="e">
        <f>IF(#REF!=2,OR(E300="1",E300="3",F300=TRUE),OR(E300="2",E300="3"))</f>
        <v>#REF!</v>
      </c>
      <c r="I300" t="e">
        <f>AND(G300=TRUE,#REF!=1)</f>
        <v>#REF!</v>
      </c>
      <c r="J300" t="e">
        <f>AND(H300=TRUE,#REF!=2)</f>
        <v>#REF!</v>
      </c>
      <c r="K300" t="e">
        <f>IF(#REF!=1,K299+1,0)</f>
        <v>#REF!</v>
      </c>
      <c r="L300" t="e">
        <f>IF(#REF!=2,L299+1,0)</f>
        <v>#REF!</v>
      </c>
      <c r="M300" t="e">
        <f>#REF!</f>
        <v>#REF!</v>
      </c>
      <c r="N300" t="e">
        <f>COUNTIFS(#REF!, "=1")</f>
        <v>#REF!</v>
      </c>
      <c r="O300" t="e">
        <f>COUNTIFS(#REF!, "=2")</f>
        <v>#REF!</v>
      </c>
      <c r="P300" t="e">
        <f>#REF!</f>
        <v>#REF!</v>
      </c>
    </row>
    <row r="301" spans="1:16" x14ac:dyDescent="0.25">
      <c r="A301" t="e">
        <f>AND(#REF!=2, COUNTIF(Tables!L$1:L$4,#REF!))</f>
        <v>#REF!</v>
      </c>
      <c r="B301" t="e">
        <f>AND(#REF!=1, COUNTIF(Tables!L$1:L$4,#REF!))</f>
        <v>#REF!</v>
      </c>
      <c r="C301" t="e">
        <f>AND(A301,#REF!= 0)</f>
        <v>#REF!</v>
      </c>
      <c r="D301" t="e">
        <f>AND(B301,#REF!= 0)</f>
        <v>#REF!</v>
      </c>
      <c r="E301" t="e">
        <f>isNetPoint(#REF!)</f>
        <v>#VALUE!</v>
      </c>
      <c r="F301" t="e">
        <f>OR(#REF!=1,#REF!= 1)</f>
        <v>#REF!</v>
      </c>
      <c r="G301" t="e">
        <f>IF(#REF!=1,OR(E301="1",E301="3",F301=TRUE),OR(E301="2",E301="3"))</f>
        <v>#REF!</v>
      </c>
      <c r="H301" t="e">
        <f>IF(#REF!=2,OR(E301="1",E301="3",F301=TRUE),OR(E301="2",E301="3"))</f>
        <v>#REF!</v>
      </c>
      <c r="I301" t="e">
        <f>AND(G301=TRUE,#REF!=1)</f>
        <v>#REF!</v>
      </c>
      <c r="J301" t="e">
        <f>AND(H301=TRUE,#REF!=2)</f>
        <v>#REF!</v>
      </c>
      <c r="K301" t="e">
        <f>IF(#REF!=1,K300+1,0)</f>
        <v>#REF!</v>
      </c>
      <c r="L301" t="e">
        <f>IF(#REF!=2,L300+1,0)</f>
        <v>#REF!</v>
      </c>
      <c r="M301" t="e">
        <f>#REF!</f>
        <v>#REF!</v>
      </c>
      <c r="N301" t="e">
        <f>COUNTIFS(#REF!, "=1")</f>
        <v>#REF!</v>
      </c>
      <c r="O301" t="e">
        <f>COUNTIFS(#REF!, "=2")</f>
        <v>#REF!</v>
      </c>
      <c r="P301" t="e">
        <f>#REF!</f>
        <v>#REF!</v>
      </c>
    </row>
    <row r="302" spans="1:16" x14ac:dyDescent="0.25">
      <c r="A302" t="e">
        <f>AND(#REF!=2, COUNTIF(Tables!L$1:L$4,#REF!))</f>
        <v>#REF!</v>
      </c>
      <c r="B302" t="e">
        <f>AND(#REF!=1, COUNTIF(Tables!L$1:L$4,#REF!))</f>
        <v>#REF!</v>
      </c>
      <c r="C302" t="e">
        <f>AND(A302,#REF!= 0)</f>
        <v>#REF!</v>
      </c>
      <c r="D302" t="e">
        <f>AND(B302,#REF!= 0)</f>
        <v>#REF!</v>
      </c>
      <c r="E302" t="e">
        <f>isNetPoint(#REF!)</f>
        <v>#VALUE!</v>
      </c>
      <c r="F302" t="e">
        <f>OR(#REF!=1,#REF!= 1)</f>
        <v>#REF!</v>
      </c>
      <c r="G302" t="e">
        <f>IF(#REF!=1,OR(E302="1",E302="3",F302=TRUE),OR(E302="2",E302="3"))</f>
        <v>#REF!</v>
      </c>
      <c r="H302" t="e">
        <f>IF(#REF!=2,OR(E302="1",E302="3",F302=TRUE),OR(E302="2",E302="3"))</f>
        <v>#REF!</v>
      </c>
      <c r="I302" t="e">
        <f>AND(G302=TRUE,#REF!=1)</f>
        <v>#REF!</v>
      </c>
      <c r="J302" t="e">
        <f>AND(H302=TRUE,#REF!=2)</f>
        <v>#REF!</v>
      </c>
      <c r="K302" t="e">
        <f>IF(#REF!=1,K301+1,0)</f>
        <v>#REF!</v>
      </c>
      <c r="L302" t="e">
        <f>IF(#REF!=2,L301+1,0)</f>
        <v>#REF!</v>
      </c>
      <c r="M302" t="e">
        <f>#REF!</f>
        <v>#REF!</v>
      </c>
      <c r="N302" t="e">
        <f>COUNTIFS(#REF!, "=1")</f>
        <v>#REF!</v>
      </c>
      <c r="O302" t="e">
        <f>COUNTIFS(#REF!, "=2")</f>
        <v>#REF!</v>
      </c>
      <c r="P302" t="e">
        <f>#REF!</f>
        <v>#REF!</v>
      </c>
    </row>
    <row r="303" spans="1:16" x14ac:dyDescent="0.25">
      <c r="A303" t="e">
        <f>AND(#REF!=2, COUNTIF(Tables!L$1:L$4,#REF!))</f>
        <v>#REF!</v>
      </c>
      <c r="B303" t="e">
        <f>AND(#REF!=1, COUNTIF(Tables!L$1:L$4,#REF!))</f>
        <v>#REF!</v>
      </c>
      <c r="C303" t="e">
        <f>AND(A303,#REF!= 0)</f>
        <v>#REF!</v>
      </c>
      <c r="D303" t="e">
        <f>AND(B303,#REF!= 0)</f>
        <v>#REF!</v>
      </c>
      <c r="E303" t="e">
        <f>isNetPoint(#REF!)</f>
        <v>#VALUE!</v>
      </c>
      <c r="F303" t="e">
        <f>OR(#REF!=1,#REF!= 1)</f>
        <v>#REF!</v>
      </c>
      <c r="G303" t="e">
        <f>IF(#REF!=1,OR(E303="1",E303="3",F303=TRUE),OR(E303="2",E303="3"))</f>
        <v>#REF!</v>
      </c>
      <c r="H303" t="e">
        <f>IF(#REF!=2,OR(E303="1",E303="3",F303=TRUE),OR(E303="2",E303="3"))</f>
        <v>#REF!</v>
      </c>
      <c r="I303" t="e">
        <f>AND(G303=TRUE,#REF!=1)</f>
        <v>#REF!</v>
      </c>
      <c r="J303" t="e">
        <f>AND(H303=TRUE,#REF!=2)</f>
        <v>#REF!</v>
      </c>
      <c r="K303" t="e">
        <f>IF(#REF!=1,K302+1,0)</f>
        <v>#REF!</v>
      </c>
      <c r="L303" t="e">
        <f>IF(#REF!=2,L302+1,0)</f>
        <v>#REF!</v>
      </c>
      <c r="M303" t="e">
        <f>#REF!</f>
        <v>#REF!</v>
      </c>
      <c r="N303" t="e">
        <f>COUNTIFS(#REF!, "=1")</f>
        <v>#REF!</v>
      </c>
      <c r="O303" t="e">
        <f>COUNTIFS(#REF!, "=2")</f>
        <v>#REF!</v>
      </c>
      <c r="P303" t="e">
        <f>#REF!</f>
        <v>#REF!</v>
      </c>
    </row>
    <row r="304" spans="1:16" x14ac:dyDescent="0.25">
      <c r="A304" t="e">
        <f>AND(#REF!=2, COUNTIF(Tables!L$1:L$4,#REF!))</f>
        <v>#REF!</v>
      </c>
      <c r="B304" t="e">
        <f>AND(#REF!=1, COUNTIF(Tables!L$1:L$4,#REF!))</f>
        <v>#REF!</v>
      </c>
      <c r="C304" t="e">
        <f>AND(A304,#REF!= 0)</f>
        <v>#REF!</v>
      </c>
      <c r="D304" t="e">
        <f>AND(B304,#REF!= 0)</f>
        <v>#REF!</v>
      </c>
      <c r="E304" t="e">
        <f>isNetPoint(#REF!)</f>
        <v>#VALUE!</v>
      </c>
      <c r="F304" t="e">
        <f>OR(#REF!=1,#REF!= 1)</f>
        <v>#REF!</v>
      </c>
      <c r="G304" t="e">
        <f>IF(#REF!=1,OR(E304="1",E304="3",F304=TRUE),OR(E304="2",E304="3"))</f>
        <v>#REF!</v>
      </c>
      <c r="H304" t="e">
        <f>IF(#REF!=2,OR(E304="1",E304="3",F304=TRUE),OR(E304="2",E304="3"))</f>
        <v>#REF!</v>
      </c>
      <c r="I304" t="e">
        <f>AND(G304=TRUE,#REF!=1)</f>
        <v>#REF!</v>
      </c>
      <c r="J304" t="e">
        <f>AND(H304=TRUE,#REF!=2)</f>
        <v>#REF!</v>
      </c>
      <c r="K304" t="e">
        <f>IF(#REF!=1,K303+1,0)</f>
        <v>#REF!</v>
      </c>
      <c r="L304" t="e">
        <f>IF(#REF!=2,L303+1,0)</f>
        <v>#REF!</v>
      </c>
      <c r="M304" t="e">
        <f>#REF!</f>
        <v>#REF!</v>
      </c>
      <c r="N304" t="e">
        <f>COUNTIFS(#REF!, "=1")</f>
        <v>#REF!</v>
      </c>
      <c r="O304" t="e">
        <f>COUNTIFS(#REF!, "=2")</f>
        <v>#REF!</v>
      </c>
      <c r="P304" t="e">
        <f>#REF!</f>
        <v>#REF!</v>
      </c>
    </row>
    <row r="305" spans="1:16" x14ac:dyDescent="0.25">
      <c r="A305" t="e">
        <f>AND(#REF!=2, COUNTIF(Tables!L$1:L$4,#REF!))</f>
        <v>#REF!</v>
      </c>
      <c r="B305" t="e">
        <f>AND(#REF!=1, COUNTIF(Tables!L$1:L$4,#REF!))</f>
        <v>#REF!</v>
      </c>
      <c r="C305" t="e">
        <f>AND(A305,#REF!= 0)</f>
        <v>#REF!</v>
      </c>
      <c r="D305" t="e">
        <f>AND(B305,#REF!= 0)</f>
        <v>#REF!</v>
      </c>
      <c r="E305" t="e">
        <f>isNetPoint(#REF!)</f>
        <v>#VALUE!</v>
      </c>
      <c r="F305" t="e">
        <f>OR(#REF!=1,#REF!= 1)</f>
        <v>#REF!</v>
      </c>
      <c r="G305" t="e">
        <f>IF(#REF!=1,OR(E305="1",E305="3",F305=TRUE),OR(E305="2",E305="3"))</f>
        <v>#REF!</v>
      </c>
      <c r="H305" t="e">
        <f>IF(#REF!=2,OR(E305="1",E305="3",F305=TRUE),OR(E305="2",E305="3"))</f>
        <v>#REF!</v>
      </c>
      <c r="I305" t="e">
        <f>AND(G305=TRUE,#REF!=1)</f>
        <v>#REF!</v>
      </c>
      <c r="J305" t="e">
        <f>AND(H305=TRUE,#REF!=2)</f>
        <v>#REF!</v>
      </c>
      <c r="K305" t="e">
        <f>IF(#REF!=1,K304+1,0)</f>
        <v>#REF!</v>
      </c>
      <c r="L305" t="e">
        <f>IF(#REF!=2,L304+1,0)</f>
        <v>#REF!</v>
      </c>
      <c r="M305" t="e">
        <f>#REF!</f>
        <v>#REF!</v>
      </c>
      <c r="N305" t="e">
        <f>COUNTIFS(#REF!, "=1")</f>
        <v>#REF!</v>
      </c>
      <c r="O305" t="e">
        <f>COUNTIFS(#REF!, "=2")</f>
        <v>#REF!</v>
      </c>
      <c r="P305" t="e">
        <f>#REF!</f>
        <v>#REF!</v>
      </c>
    </row>
    <row r="306" spans="1:16" x14ac:dyDescent="0.25">
      <c r="A306" t="e">
        <f>AND(#REF!=2, COUNTIF(Tables!L$1:L$4,#REF!))</f>
        <v>#REF!</v>
      </c>
      <c r="B306" t="e">
        <f>AND(#REF!=1, COUNTIF(Tables!L$1:L$4,#REF!))</f>
        <v>#REF!</v>
      </c>
      <c r="C306" t="e">
        <f>AND(A306,#REF!= 0)</f>
        <v>#REF!</v>
      </c>
      <c r="D306" t="e">
        <f>AND(B306,#REF!= 0)</f>
        <v>#REF!</v>
      </c>
      <c r="E306" t="e">
        <f>isNetPoint(#REF!)</f>
        <v>#VALUE!</v>
      </c>
      <c r="F306" t="e">
        <f>OR(#REF!=1,#REF!= 1)</f>
        <v>#REF!</v>
      </c>
      <c r="G306" t="e">
        <f>IF(#REF!=1,OR(E306="1",E306="3",F306=TRUE),OR(E306="2",E306="3"))</f>
        <v>#REF!</v>
      </c>
      <c r="H306" t="e">
        <f>IF(#REF!=2,OR(E306="1",E306="3",F306=TRUE),OR(E306="2",E306="3"))</f>
        <v>#REF!</v>
      </c>
      <c r="I306" t="e">
        <f>AND(G306=TRUE,#REF!=1)</f>
        <v>#REF!</v>
      </c>
      <c r="J306" t="e">
        <f>AND(H306=TRUE,#REF!=2)</f>
        <v>#REF!</v>
      </c>
      <c r="K306" t="e">
        <f>IF(#REF!=1,K305+1,0)</f>
        <v>#REF!</v>
      </c>
      <c r="L306" t="e">
        <f>IF(#REF!=2,L305+1,0)</f>
        <v>#REF!</v>
      </c>
      <c r="M306" t="e">
        <f>#REF!</f>
        <v>#REF!</v>
      </c>
      <c r="N306" t="e">
        <f>COUNTIFS(#REF!, "=1")</f>
        <v>#REF!</v>
      </c>
      <c r="O306" t="e">
        <f>COUNTIFS(#REF!, "=2")</f>
        <v>#REF!</v>
      </c>
      <c r="P306" t="e">
        <f>#REF!</f>
        <v>#REF!</v>
      </c>
    </row>
    <row r="307" spans="1:16" x14ac:dyDescent="0.25">
      <c r="A307" t="e">
        <f>AND(#REF!=2, COUNTIF(Tables!L$1:L$4,#REF!))</f>
        <v>#REF!</v>
      </c>
      <c r="B307" t="e">
        <f>AND(#REF!=1, COUNTIF(Tables!L$1:L$4,#REF!))</f>
        <v>#REF!</v>
      </c>
      <c r="C307" t="e">
        <f>AND(A307,#REF!= 0)</f>
        <v>#REF!</v>
      </c>
      <c r="D307" t="e">
        <f>AND(B307,#REF!= 0)</f>
        <v>#REF!</v>
      </c>
      <c r="E307" t="e">
        <f>isNetPoint(#REF!)</f>
        <v>#VALUE!</v>
      </c>
      <c r="F307" t="e">
        <f>OR(#REF!=1,#REF!= 1)</f>
        <v>#REF!</v>
      </c>
      <c r="G307" t="e">
        <f>IF(#REF!=1,OR(E307="1",E307="3",F307=TRUE),OR(E307="2",E307="3"))</f>
        <v>#REF!</v>
      </c>
      <c r="H307" t="e">
        <f>IF(#REF!=2,OR(E307="1",E307="3",F307=TRUE),OR(E307="2",E307="3"))</f>
        <v>#REF!</v>
      </c>
      <c r="I307" t="e">
        <f>AND(G307=TRUE,#REF!=1)</f>
        <v>#REF!</v>
      </c>
      <c r="J307" t="e">
        <f>AND(H307=TRUE,#REF!=2)</f>
        <v>#REF!</v>
      </c>
      <c r="K307" t="e">
        <f>IF(#REF!=1,K306+1,0)</f>
        <v>#REF!</v>
      </c>
      <c r="L307" t="e">
        <f>IF(#REF!=2,L306+1,0)</f>
        <v>#REF!</v>
      </c>
      <c r="M307" t="e">
        <f>#REF!</f>
        <v>#REF!</v>
      </c>
      <c r="N307" t="e">
        <f>COUNTIFS(#REF!, "=1")</f>
        <v>#REF!</v>
      </c>
      <c r="O307" t="e">
        <f>COUNTIFS(#REF!, "=2")</f>
        <v>#REF!</v>
      </c>
      <c r="P307" t="e">
        <f>#REF!</f>
        <v>#REF!</v>
      </c>
    </row>
    <row r="308" spans="1:16" x14ac:dyDescent="0.25">
      <c r="A308" t="e">
        <f>AND(#REF!=2, COUNTIF(Tables!L$1:L$4,#REF!))</f>
        <v>#REF!</v>
      </c>
      <c r="B308" t="e">
        <f>AND(#REF!=1, COUNTIF(Tables!L$1:L$4,#REF!))</f>
        <v>#REF!</v>
      </c>
      <c r="C308" t="e">
        <f>AND(A308,#REF!= 0)</f>
        <v>#REF!</v>
      </c>
      <c r="D308" t="e">
        <f>AND(B308,#REF!= 0)</f>
        <v>#REF!</v>
      </c>
      <c r="E308" t="e">
        <f>isNetPoint(#REF!)</f>
        <v>#VALUE!</v>
      </c>
      <c r="F308" t="e">
        <f>OR(#REF!=1,#REF!= 1)</f>
        <v>#REF!</v>
      </c>
      <c r="G308" t="e">
        <f>IF(#REF!=1,OR(E308="1",E308="3",F308=TRUE),OR(E308="2",E308="3"))</f>
        <v>#REF!</v>
      </c>
      <c r="H308" t="e">
        <f>IF(#REF!=2,OR(E308="1",E308="3",F308=TRUE),OR(E308="2",E308="3"))</f>
        <v>#REF!</v>
      </c>
      <c r="I308" t="e">
        <f>AND(G308=TRUE,#REF!=1)</f>
        <v>#REF!</v>
      </c>
      <c r="J308" t="e">
        <f>AND(H308=TRUE,#REF!=2)</f>
        <v>#REF!</v>
      </c>
      <c r="K308" t="e">
        <f>IF(#REF!=1,K307+1,0)</f>
        <v>#REF!</v>
      </c>
      <c r="L308" t="e">
        <f>IF(#REF!=2,L307+1,0)</f>
        <v>#REF!</v>
      </c>
      <c r="M308" t="e">
        <f>#REF!</f>
        <v>#REF!</v>
      </c>
      <c r="N308" t="e">
        <f>COUNTIFS(#REF!, "=1")</f>
        <v>#REF!</v>
      </c>
      <c r="O308" t="e">
        <f>COUNTIFS(#REF!, "=2")</f>
        <v>#REF!</v>
      </c>
      <c r="P308" t="e">
        <f>#REF!</f>
        <v>#REF!</v>
      </c>
    </row>
    <row r="309" spans="1:16" x14ac:dyDescent="0.25">
      <c r="A309" t="e">
        <f>AND(#REF!=2, COUNTIF(Tables!L$1:L$4,#REF!))</f>
        <v>#REF!</v>
      </c>
      <c r="B309" t="e">
        <f>AND(#REF!=1, COUNTIF(Tables!L$1:L$4,#REF!))</f>
        <v>#REF!</v>
      </c>
      <c r="C309" t="e">
        <f>AND(A309,#REF!= 0)</f>
        <v>#REF!</v>
      </c>
      <c r="D309" t="e">
        <f>AND(B309,#REF!= 0)</f>
        <v>#REF!</v>
      </c>
      <c r="E309" t="e">
        <f>isNetPoint(#REF!)</f>
        <v>#VALUE!</v>
      </c>
      <c r="F309" t="e">
        <f>OR(#REF!=1,#REF!= 1)</f>
        <v>#REF!</v>
      </c>
      <c r="G309" t="e">
        <f>IF(#REF!=1,OR(E309="1",E309="3",F309=TRUE),OR(E309="2",E309="3"))</f>
        <v>#REF!</v>
      </c>
      <c r="H309" t="e">
        <f>IF(#REF!=2,OR(E309="1",E309="3",F309=TRUE),OR(E309="2",E309="3"))</f>
        <v>#REF!</v>
      </c>
      <c r="I309" t="e">
        <f>AND(G309=TRUE,#REF!=1)</f>
        <v>#REF!</v>
      </c>
      <c r="J309" t="e">
        <f>AND(H309=TRUE,#REF!=2)</f>
        <v>#REF!</v>
      </c>
      <c r="K309" t="e">
        <f>IF(#REF!=1,K308+1,0)</f>
        <v>#REF!</v>
      </c>
      <c r="L309" t="e">
        <f>IF(#REF!=2,L308+1,0)</f>
        <v>#REF!</v>
      </c>
      <c r="M309" t="e">
        <f>#REF!</f>
        <v>#REF!</v>
      </c>
      <c r="N309" t="e">
        <f>COUNTIFS(#REF!, "=1")</f>
        <v>#REF!</v>
      </c>
      <c r="O309" t="e">
        <f>COUNTIFS(#REF!, "=2")</f>
        <v>#REF!</v>
      </c>
      <c r="P309" t="e">
        <f>#REF!</f>
        <v>#REF!</v>
      </c>
    </row>
    <row r="310" spans="1:16" x14ac:dyDescent="0.25">
      <c r="A310" t="e">
        <f>AND(#REF!=2, COUNTIF(Tables!L$1:L$4,#REF!))</f>
        <v>#REF!</v>
      </c>
      <c r="B310" t="e">
        <f>AND(#REF!=1, COUNTIF(Tables!L$1:L$4,#REF!))</f>
        <v>#REF!</v>
      </c>
      <c r="C310" t="e">
        <f>AND(A310,#REF!= 0)</f>
        <v>#REF!</v>
      </c>
      <c r="D310" t="e">
        <f>AND(B310,#REF!= 0)</f>
        <v>#REF!</v>
      </c>
      <c r="E310" t="e">
        <f>isNetPoint(#REF!)</f>
        <v>#VALUE!</v>
      </c>
      <c r="F310" t="e">
        <f>OR(#REF!=1,#REF!= 1)</f>
        <v>#REF!</v>
      </c>
      <c r="G310" t="e">
        <f>IF(#REF!=1,OR(E310="1",E310="3",F310=TRUE),OR(E310="2",E310="3"))</f>
        <v>#REF!</v>
      </c>
      <c r="H310" t="e">
        <f>IF(#REF!=2,OR(E310="1",E310="3",F310=TRUE),OR(E310="2",E310="3"))</f>
        <v>#REF!</v>
      </c>
      <c r="I310" t="e">
        <f>AND(G310=TRUE,#REF!=1)</f>
        <v>#REF!</v>
      </c>
      <c r="J310" t="e">
        <f>AND(H310=TRUE,#REF!=2)</f>
        <v>#REF!</v>
      </c>
      <c r="K310" t="e">
        <f>IF(#REF!=1,K309+1,0)</f>
        <v>#REF!</v>
      </c>
      <c r="L310" t="e">
        <f>IF(#REF!=2,L309+1,0)</f>
        <v>#REF!</v>
      </c>
      <c r="M310" t="e">
        <f>#REF!</f>
        <v>#REF!</v>
      </c>
      <c r="N310" t="e">
        <f>COUNTIFS(#REF!, "=1")</f>
        <v>#REF!</v>
      </c>
      <c r="O310" t="e">
        <f>COUNTIFS(#REF!, "=2")</f>
        <v>#REF!</v>
      </c>
      <c r="P310" t="e">
        <f>#REF!</f>
        <v>#REF!</v>
      </c>
    </row>
    <row r="311" spans="1:16" x14ac:dyDescent="0.25">
      <c r="A311" t="e">
        <f>AND(#REF!=2, COUNTIF(Tables!L$1:L$4,#REF!))</f>
        <v>#REF!</v>
      </c>
      <c r="B311" t="e">
        <f>AND(#REF!=1, COUNTIF(Tables!L$1:L$4,#REF!))</f>
        <v>#REF!</v>
      </c>
      <c r="C311" t="e">
        <f>AND(A311,#REF!= 0)</f>
        <v>#REF!</v>
      </c>
      <c r="D311" t="e">
        <f>AND(B311,#REF!= 0)</f>
        <v>#REF!</v>
      </c>
      <c r="E311" t="e">
        <f>isNetPoint(#REF!)</f>
        <v>#VALUE!</v>
      </c>
      <c r="F311" t="e">
        <f>OR(#REF!=1,#REF!= 1)</f>
        <v>#REF!</v>
      </c>
      <c r="G311" t="e">
        <f>IF(#REF!=1,OR(E311="1",E311="3",F311=TRUE),OR(E311="2",E311="3"))</f>
        <v>#REF!</v>
      </c>
      <c r="H311" t="e">
        <f>IF(#REF!=2,OR(E311="1",E311="3",F311=TRUE),OR(E311="2",E311="3"))</f>
        <v>#REF!</v>
      </c>
      <c r="I311" t="e">
        <f>AND(G311=TRUE,#REF!=1)</f>
        <v>#REF!</v>
      </c>
      <c r="J311" t="e">
        <f>AND(H311=TRUE,#REF!=2)</f>
        <v>#REF!</v>
      </c>
      <c r="K311" t="e">
        <f>IF(#REF!=1,K310+1,0)</f>
        <v>#REF!</v>
      </c>
      <c r="L311" t="e">
        <f>IF(#REF!=2,L310+1,0)</f>
        <v>#REF!</v>
      </c>
      <c r="M311" t="e">
        <f>#REF!</f>
        <v>#REF!</v>
      </c>
      <c r="N311" t="e">
        <f>COUNTIFS(#REF!, "=1")</f>
        <v>#REF!</v>
      </c>
      <c r="O311" t="e">
        <f>COUNTIFS(#REF!, "=2")</f>
        <v>#REF!</v>
      </c>
      <c r="P311" t="e">
        <f>#REF!</f>
        <v>#REF!</v>
      </c>
    </row>
    <row r="312" spans="1:16" x14ac:dyDescent="0.25">
      <c r="A312" t="e">
        <f>AND(#REF!=2, COUNTIF(Tables!L$1:L$4,#REF!))</f>
        <v>#REF!</v>
      </c>
      <c r="B312" t="e">
        <f>AND(#REF!=1, COUNTIF(Tables!L$1:L$4,#REF!))</f>
        <v>#REF!</v>
      </c>
      <c r="C312" t="e">
        <f>AND(A312,#REF!= 0)</f>
        <v>#REF!</v>
      </c>
      <c r="D312" t="e">
        <f>AND(B312,#REF!= 0)</f>
        <v>#REF!</v>
      </c>
      <c r="E312" t="e">
        <f>isNetPoint(#REF!)</f>
        <v>#VALUE!</v>
      </c>
      <c r="F312" t="e">
        <f>OR(#REF!=1,#REF!= 1)</f>
        <v>#REF!</v>
      </c>
      <c r="G312" t="e">
        <f>IF(#REF!=1,OR(E312="1",E312="3",F312=TRUE),OR(E312="2",E312="3"))</f>
        <v>#REF!</v>
      </c>
      <c r="H312" t="e">
        <f>IF(#REF!=2,OR(E312="1",E312="3",F312=TRUE),OR(E312="2",E312="3"))</f>
        <v>#REF!</v>
      </c>
      <c r="I312" t="e">
        <f>AND(G312=TRUE,#REF!=1)</f>
        <v>#REF!</v>
      </c>
      <c r="J312" t="e">
        <f>AND(H312=TRUE,#REF!=2)</f>
        <v>#REF!</v>
      </c>
      <c r="K312" t="e">
        <f>IF(#REF!=1,K311+1,0)</f>
        <v>#REF!</v>
      </c>
      <c r="L312" t="e">
        <f>IF(#REF!=2,L311+1,0)</f>
        <v>#REF!</v>
      </c>
      <c r="M312" t="e">
        <f>#REF!</f>
        <v>#REF!</v>
      </c>
      <c r="N312" t="e">
        <f>COUNTIFS(#REF!, "=1")</f>
        <v>#REF!</v>
      </c>
      <c r="O312" t="e">
        <f>COUNTIFS(#REF!, "=2")</f>
        <v>#REF!</v>
      </c>
      <c r="P312" t="e">
        <f>#REF!</f>
        <v>#REF!</v>
      </c>
    </row>
    <row r="313" spans="1:16" x14ac:dyDescent="0.25">
      <c r="A313" t="e">
        <f>AND(#REF!=2, COUNTIF(Tables!L$1:L$4,#REF!))</f>
        <v>#REF!</v>
      </c>
      <c r="B313" t="e">
        <f>AND(#REF!=1, COUNTIF(Tables!L$1:L$4,#REF!))</f>
        <v>#REF!</v>
      </c>
      <c r="C313" t="e">
        <f>AND(A313,#REF!= 0)</f>
        <v>#REF!</v>
      </c>
      <c r="D313" t="e">
        <f>AND(B313,#REF!= 0)</f>
        <v>#REF!</v>
      </c>
      <c r="E313" t="e">
        <f>isNetPoint(#REF!)</f>
        <v>#VALUE!</v>
      </c>
      <c r="F313" t="e">
        <f>OR(#REF!=1,#REF!= 1)</f>
        <v>#REF!</v>
      </c>
      <c r="G313" t="e">
        <f>IF(#REF!=1,OR(E313="1",E313="3",F313=TRUE),OR(E313="2",E313="3"))</f>
        <v>#REF!</v>
      </c>
      <c r="H313" t="e">
        <f>IF(#REF!=2,OR(E313="1",E313="3",F313=TRUE),OR(E313="2",E313="3"))</f>
        <v>#REF!</v>
      </c>
      <c r="I313" t="e">
        <f>AND(G313=TRUE,#REF!=1)</f>
        <v>#REF!</v>
      </c>
      <c r="J313" t="e">
        <f>AND(H313=TRUE,#REF!=2)</f>
        <v>#REF!</v>
      </c>
      <c r="K313" t="e">
        <f>IF(#REF!=1,K312+1,0)</f>
        <v>#REF!</v>
      </c>
      <c r="L313" t="e">
        <f>IF(#REF!=2,L312+1,0)</f>
        <v>#REF!</v>
      </c>
      <c r="M313" t="e">
        <f>#REF!</f>
        <v>#REF!</v>
      </c>
      <c r="N313" t="e">
        <f>COUNTIFS(#REF!, "=1")</f>
        <v>#REF!</v>
      </c>
      <c r="O313" t="e">
        <f>COUNTIFS(#REF!, "=2")</f>
        <v>#REF!</v>
      </c>
      <c r="P313" t="e">
        <f>#REF!</f>
        <v>#REF!</v>
      </c>
    </row>
    <row r="314" spans="1:16" x14ac:dyDescent="0.25">
      <c r="A314" t="e">
        <f>AND(#REF!=2, COUNTIF(Tables!L$1:L$4,#REF!))</f>
        <v>#REF!</v>
      </c>
      <c r="B314" t="e">
        <f>AND(#REF!=1, COUNTIF(Tables!L$1:L$4,#REF!))</f>
        <v>#REF!</v>
      </c>
      <c r="C314" t="e">
        <f>AND(A314,#REF!= 0)</f>
        <v>#REF!</v>
      </c>
      <c r="D314" t="e">
        <f>AND(B314,#REF!= 0)</f>
        <v>#REF!</v>
      </c>
      <c r="E314" t="e">
        <f>isNetPoint(#REF!)</f>
        <v>#VALUE!</v>
      </c>
      <c r="F314" t="e">
        <f>OR(#REF!=1,#REF!= 1)</f>
        <v>#REF!</v>
      </c>
      <c r="G314" t="e">
        <f>IF(#REF!=1,OR(E314="1",E314="3",F314=TRUE),OR(E314="2",E314="3"))</f>
        <v>#REF!</v>
      </c>
      <c r="H314" t="e">
        <f>IF(#REF!=2,OR(E314="1",E314="3",F314=TRUE),OR(E314="2",E314="3"))</f>
        <v>#REF!</v>
      </c>
      <c r="I314" t="e">
        <f>AND(G314=TRUE,#REF!=1)</f>
        <v>#REF!</v>
      </c>
      <c r="J314" t="e">
        <f>AND(H314=TRUE,#REF!=2)</f>
        <v>#REF!</v>
      </c>
      <c r="K314" t="e">
        <f>IF(#REF!=1,K313+1,0)</f>
        <v>#REF!</v>
      </c>
      <c r="L314" t="e">
        <f>IF(#REF!=2,L313+1,0)</f>
        <v>#REF!</v>
      </c>
      <c r="M314" t="e">
        <f>#REF!</f>
        <v>#REF!</v>
      </c>
      <c r="N314" t="e">
        <f>COUNTIFS(#REF!, "=1")</f>
        <v>#REF!</v>
      </c>
      <c r="O314" t="e">
        <f>COUNTIFS(#REF!, "=2")</f>
        <v>#REF!</v>
      </c>
      <c r="P314" t="e">
        <f>#REF!</f>
        <v>#REF!</v>
      </c>
    </row>
    <row r="315" spans="1:16" x14ac:dyDescent="0.25">
      <c r="A315" t="e">
        <f>AND(#REF!=2, COUNTIF(Tables!L$1:L$4,#REF!))</f>
        <v>#REF!</v>
      </c>
      <c r="B315" t="e">
        <f>AND(#REF!=1, COUNTIF(Tables!L$1:L$4,#REF!))</f>
        <v>#REF!</v>
      </c>
      <c r="C315" t="e">
        <f>AND(A315,#REF!= 0)</f>
        <v>#REF!</v>
      </c>
      <c r="D315" t="e">
        <f>AND(B315,#REF!= 0)</f>
        <v>#REF!</v>
      </c>
      <c r="E315" t="e">
        <f>isNetPoint(#REF!)</f>
        <v>#VALUE!</v>
      </c>
      <c r="F315" t="e">
        <f>OR(#REF!=1,#REF!= 1)</f>
        <v>#REF!</v>
      </c>
      <c r="G315" t="e">
        <f>IF(#REF!=1,OR(E315="1",E315="3",F315=TRUE),OR(E315="2",E315="3"))</f>
        <v>#REF!</v>
      </c>
      <c r="H315" t="e">
        <f>IF(#REF!=2,OR(E315="1",E315="3",F315=TRUE),OR(E315="2",E315="3"))</f>
        <v>#REF!</v>
      </c>
      <c r="I315" t="e">
        <f>AND(G315=TRUE,#REF!=1)</f>
        <v>#REF!</v>
      </c>
      <c r="J315" t="e">
        <f>AND(H315=TRUE,#REF!=2)</f>
        <v>#REF!</v>
      </c>
      <c r="K315" t="e">
        <f>IF(#REF!=1,K314+1,0)</f>
        <v>#REF!</v>
      </c>
      <c r="L315" t="e">
        <f>IF(#REF!=2,L314+1,0)</f>
        <v>#REF!</v>
      </c>
      <c r="M315" t="e">
        <f>#REF!</f>
        <v>#REF!</v>
      </c>
      <c r="N315" t="e">
        <f>COUNTIFS(#REF!, "=1")</f>
        <v>#REF!</v>
      </c>
      <c r="O315" t="e">
        <f>COUNTIFS(#REF!, "=2")</f>
        <v>#REF!</v>
      </c>
      <c r="P315" t="e">
        <f>#REF!</f>
        <v>#REF!</v>
      </c>
    </row>
    <row r="316" spans="1:16" x14ac:dyDescent="0.25">
      <c r="A316" t="e">
        <f>AND(#REF!=2, COUNTIF(Tables!L$1:L$4,#REF!))</f>
        <v>#REF!</v>
      </c>
      <c r="B316" t="e">
        <f>AND(#REF!=1, COUNTIF(Tables!L$1:L$4,#REF!))</f>
        <v>#REF!</v>
      </c>
      <c r="C316" t="e">
        <f>AND(A316,#REF!= 0)</f>
        <v>#REF!</v>
      </c>
      <c r="D316" t="e">
        <f>AND(B316,#REF!= 0)</f>
        <v>#REF!</v>
      </c>
      <c r="E316" t="e">
        <f>isNetPoint(#REF!)</f>
        <v>#VALUE!</v>
      </c>
      <c r="F316" t="e">
        <f>OR(#REF!=1,#REF!= 1)</f>
        <v>#REF!</v>
      </c>
      <c r="G316" t="e">
        <f>IF(#REF!=1,OR(E316="1",E316="3",F316=TRUE),OR(E316="2",E316="3"))</f>
        <v>#REF!</v>
      </c>
      <c r="H316" t="e">
        <f>IF(#REF!=2,OR(E316="1",E316="3",F316=TRUE),OR(E316="2",E316="3"))</f>
        <v>#REF!</v>
      </c>
      <c r="I316" t="e">
        <f>AND(G316=TRUE,#REF!=1)</f>
        <v>#REF!</v>
      </c>
      <c r="J316" t="e">
        <f>AND(H316=TRUE,#REF!=2)</f>
        <v>#REF!</v>
      </c>
      <c r="K316" t="e">
        <f>IF(#REF!=1,K315+1,0)</f>
        <v>#REF!</v>
      </c>
      <c r="L316" t="e">
        <f>IF(#REF!=2,L315+1,0)</f>
        <v>#REF!</v>
      </c>
      <c r="M316" t="e">
        <f>#REF!</f>
        <v>#REF!</v>
      </c>
      <c r="N316" t="e">
        <f>COUNTIFS(#REF!, "=1")</f>
        <v>#REF!</v>
      </c>
      <c r="O316" t="e">
        <f>COUNTIFS(#REF!, "=2")</f>
        <v>#REF!</v>
      </c>
      <c r="P316" t="e">
        <f>#REF!</f>
        <v>#REF!</v>
      </c>
    </row>
    <row r="317" spans="1:16" x14ac:dyDescent="0.25">
      <c r="A317" t="e">
        <f>AND(#REF!=2, COUNTIF(Tables!L$1:L$4,#REF!))</f>
        <v>#REF!</v>
      </c>
      <c r="B317" t="e">
        <f>AND(#REF!=1, COUNTIF(Tables!L$1:L$4,#REF!))</f>
        <v>#REF!</v>
      </c>
      <c r="C317" t="e">
        <f>AND(A317,#REF!= 0)</f>
        <v>#REF!</v>
      </c>
      <c r="D317" t="e">
        <f>AND(B317,#REF!= 0)</f>
        <v>#REF!</v>
      </c>
      <c r="E317" t="e">
        <f>isNetPoint(#REF!)</f>
        <v>#VALUE!</v>
      </c>
      <c r="F317" t="e">
        <f>OR(#REF!=1,#REF!= 1)</f>
        <v>#REF!</v>
      </c>
      <c r="G317" t="e">
        <f>IF(#REF!=1,OR(E317="1",E317="3",F317=TRUE),OR(E317="2",E317="3"))</f>
        <v>#REF!</v>
      </c>
      <c r="H317" t="e">
        <f>IF(#REF!=2,OR(E317="1",E317="3",F317=TRUE),OR(E317="2",E317="3"))</f>
        <v>#REF!</v>
      </c>
      <c r="I317" t="e">
        <f>AND(G317=TRUE,#REF!=1)</f>
        <v>#REF!</v>
      </c>
      <c r="J317" t="e">
        <f>AND(H317=TRUE,#REF!=2)</f>
        <v>#REF!</v>
      </c>
      <c r="K317" t="e">
        <f>IF(#REF!=1,K316+1,0)</f>
        <v>#REF!</v>
      </c>
      <c r="L317" t="e">
        <f>IF(#REF!=2,L316+1,0)</f>
        <v>#REF!</v>
      </c>
      <c r="M317" t="e">
        <f>#REF!</f>
        <v>#REF!</v>
      </c>
      <c r="N317" t="e">
        <f>COUNTIFS(#REF!, "=1")</f>
        <v>#REF!</v>
      </c>
      <c r="O317" t="e">
        <f>COUNTIFS(#REF!, "=2")</f>
        <v>#REF!</v>
      </c>
      <c r="P317" t="e">
        <f>#REF!</f>
        <v>#REF!</v>
      </c>
    </row>
    <row r="318" spans="1:16" x14ac:dyDescent="0.25">
      <c r="A318" t="e">
        <f>AND(#REF!=2, COUNTIF(Tables!L$1:L$4,#REF!))</f>
        <v>#REF!</v>
      </c>
      <c r="B318" t="e">
        <f>AND(#REF!=1, COUNTIF(Tables!L$1:L$4,#REF!))</f>
        <v>#REF!</v>
      </c>
      <c r="C318" t="e">
        <f>AND(A318,#REF!= 0)</f>
        <v>#REF!</v>
      </c>
      <c r="D318" t="e">
        <f>AND(B318,#REF!= 0)</f>
        <v>#REF!</v>
      </c>
      <c r="E318" t="e">
        <f>isNetPoint(#REF!)</f>
        <v>#VALUE!</v>
      </c>
      <c r="F318" t="e">
        <f>OR(#REF!=1,#REF!= 1)</f>
        <v>#REF!</v>
      </c>
      <c r="G318" t="e">
        <f>IF(#REF!=1,OR(E318="1",E318="3",F318=TRUE),OR(E318="2",E318="3"))</f>
        <v>#REF!</v>
      </c>
      <c r="H318" t="e">
        <f>IF(#REF!=2,OR(E318="1",E318="3",F318=TRUE),OR(E318="2",E318="3"))</f>
        <v>#REF!</v>
      </c>
      <c r="I318" t="e">
        <f>AND(G318=TRUE,#REF!=1)</f>
        <v>#REF!</v>
      </c>
      <c r="J318" t="e">
        <f>AND(H318=TRUE,#REF!=2)</f>
        <v>#REF!</v>
      </c>
      <c r="K318" t="e">
        <f>IF(#REF!=1,K317+1,0)</f>
        <v>#REF!</v>
      </c>
      <c r="L318" t="e">
        <f>IF(#REF!=2,L317+1,0)</f>
        <v>#REF!</v>
      </c>
      <c r="M318" t="e">
        <f>#REF!</f>
        <v>#REF!</v>
      </c>
      <c r="N318" t="e">
        <f>COUNTIFS(#REF!, "=1")</f>
        <v>#REF!</v>
      </c>
      <c r="O318" t="e">
        <f>COUNTIFS(#REF!, "=2")</f>
        <v>#REF!</v>
      </c>
      <c r="P318" t="e">
        <f>#REF!</f>
        <v>#REF!</v>
      </c>
    </row>
    <row r="319" spans="1:16" x14ac:dyDescent="0.25">
      <c r="A319" t="e">
        <f>AND(#REF!=2, COUNTIF(Tables!L$1:L$4,#REF!))</f>
        <v>#REF!</v>
      </c>
      <c r="B319" t="e">
        <f>AND(#REF!=1, COUNTIF(Tables!L$1:L$4,#REF!))</f>
        <v>#REF!</v>
      </c>
      <c r="C319" t="e">
        <f>AND(A319,#REF!= 0)</f>
        <v>#REF!</v>
      </c>
      <c r="D319" t="e">
        <f>AND(B319,#REF!= 0)</f>
        <v>#REF!</v>
      </c>
      <c r="E319" t="e">
        <f>isNetPoint(#REF!)</f>
        <v>#VALUE!</v>
      </c>
      <c r="F319" t="e">
        <f>OR(#REF!=1,#REF!= 1)</f>
        <v>#REF!</v>
      </c>
      <c r="G319" t="e">
        <f>IF(#REF!=1,OR(E319="1",E319="3",F319=TRUE),OR(E319="2",E319="3"))</f>
        <v>#REF!</v>
      </c>
      <c r="H319" t="e">
        <f>IF(#REF!=2,OR(E319="1",E319="3",F319=TRUE),OR(E319="2",E319="3"))</f>
        <v>#REF!</v>
      </c>
      <c r="I319" t="e">
        <f>AND(G319=TRUE,#REF!=1)</f>
        <v>#REF!</v>
      </c>
      <c r="J319" t="e">
        <f>AND(H319=TRUE,#REF!=2)</f>
        <v>#REF!</v>
      </c>
      <c r="K319" t="e">
        <f>IF(#REF!=1,K318+1,0)</f>
        <v>#REF!</v>
      </c>
      <c r="L319" t="e">
        <f>IF(#REF!=2,L318+1,0)</f>
        <v>#REF!</v>
      </c>
      <c r="M319" t="e">
        <f>#REF!</f>
        <v>#REF!</v>
      </c>
      <c r="N319" t="e">
        <f>COUNTIFS(#REF!, "=1")</f>
        <v>#REF!</v>
      </c>
      <c r="O319" t="e">
        <f>COUNTIFS(#REF!, "=2")</f>
        <v>#REF!</v>
      </c>
      <c r="P319" t="e">
        <f>#REF!</f>
        <v>#REF!</v>
      </c>
    </row>
    <row r="320" spans="1:16" x14ac:dyDescent="0.25">
      <c r="A320" t="e">
        <f>AND(#REF!=2, COUNTIF(Tables!L$1:L$4,#REF!))</f>
        <v>#REF!</v>
      </c>
      <c r="B320" t="e">
        <f>AND(#REF!=1, COUNTIF(Tables!L$1:L$4,#REF!))</f>
        <v>#REF!</v>
      </c>
      <c r="C320" t="e">
        <f>AND(A320,#REF!= 0)</f>
        <v>#REF!</v>
      </c>
      <c r="D320" t="e">
        <f>AND(B320,#REF!= 0)</f>
        <v>#REF!</v>
      </c>
      <c r="E320" t="e">
        <f>isNetPoint(#REF!)</f>
        <v>#VALUE!</v>
      </c>
      <c r="F320" t="e">
        <f>OR(#REF!=1,#REF!= 1)</f>
        <v>#REF!</v>
      </c>
      <c r="G320" t="e">
        <f>IF(#REF!=1,OR(E320="1",E320="3",F320=TRUE),OR(E320="2",E320="3"))</f>
        <v>#REF!</v>
      </c>
      <c r="H320" t="e">
        <f>IF(#REF!=2,OR(E320="1",E320="3",F320=TRUE),OR(E320="2",E320="3"))</f>
        <v>#REF!</v>
      </c>
      <c r="I320" t="e">
        <f>AND(G320=TRUE,#REF!=1)</f>
        <v>#REF!</v>
      </c>
      <c r="J320" t="e">
        <f>AND(H320=TRUE,#REF!=2)</f>
        <v>#REF!</v>
      </c>
      <c r="K320" t="e">
        <f>IF(#REF!=1,K319+1,0)</f>
        <v>#REF!</v>
      </c>
      <c r="L320" t="e">
        <f>IF(#REF!=2,L319+1,0)</f>
        <v>#REF!</v>
      </c>
      <c r="M320" t="e">
        <f>#REF!</f>
        <v>#REF!</v>
      </c>
      <c r="N320" t="e">
        <f>COUNTIFS(#REF!, "=1")</f>
        <v>#REF!</v>
      </c>
      <c r="O320" t="e">
        <f>COUNTIFS(#REF!, "=2")</f>
        <v>#REF!</v>
      </c>
      <c r="P320" t="e">
        <f>#REF!</f>
        <v>#REF!</v>
      </c>
    </row>
    <row r="321" spans="1:16" x14ac:dyDescent="0.25">
      <c r="A321" t="e">
        <f>AND(#REF!=2, COUNTIF(Tables!L$1:L$4,#REF!))</f>
        <v>#REF!</v>
      </c>
      <c r="B321" t="e">
        <f>AND(#REF!=1, COUNTIF(Tables!L$1:L$4,#REF!))</f>
        <v>#REF!</v>
      </c>
      <c r="C321" t="e">
        <f>AND(A321,#REF!= 0)</f>
        <v>#REF!</v>
      </c>
      <c r="D321" t="e">
        <f>AND(B321,#REF!= 0)</f>
        <v>#REF!</v>
      </c>
      <c r="E321" t="e">
        <f>isNetPoint(#REF!)</f>
        <v>#VALUE!</v>
      </c>
      <c r="F321" t="e">
        <f>OR(#REF!=1,#REF!= 1)</f>
        <v>#REF!</v>
      </c>
      <c r="G321" t="e">
        <f>IF(#REF!=1,OR(E321="1",E321="3",F321=TRUE),OR(E321="2",E321="3"))</f>
        <v>#REF!</v>
      </c>
      <c r="H321" t="e">
        <f>IF(#REF!=2,OR(E321="1",E321="3",F321=TRUE),OR(E321="2",E321="3"))</f>
        <v>#REF!</v>
      </c>
      <c r="I321" t="e">
        <f>AND(G321=TRUE,#REF!=1)</f>
        <v>#REF!</v>
      </c>
      <c r="J321" t="e">
        <f>AND(H321=TRUE,#REF!=2)</f>
        <v>#REF!</v>
      </c>
      <c r="K321" t="e">
        <f>IF(#REF!=1,K320+1,0)</f>
        <v>#REF!</v>
      </c>
      <c r="L321" t="e">
        <f>IF(#REF!=2,L320+1,0)</f>
        <v>#REF!</v>
      </c>
      <c r="M321" t="e">
        <f>#REF!</f>
        <v>#REF!</v>
      </c>
      <c r="N321" t="e">
        <f>COUNTIFS(#REF!, "=1")</f>
        <v>#REF!</v>
      </c>
      <c r="O321" t="e">
        <f>COUNTIFS(#REF!, "=2")</f>
        <v>#REF!</v>
      </c>
      <c r="P321" t="e">
        <f>#REF!</f>
        <v>#REF!</v>
      </c>
    </row>
    <row r="322" spans="1:16" x14ac:dyDescent="0.25">
      <c r="A322" t="e">
        <f>AND(#REF!=2, COUNTIF(Tables!L$1:L$4,#REF!))</f>
        <v>#REF!</v>
      </c>
      <c r="B322" t="e">
        <f>AND(#REF!=1, COUNTIF(Tables!L$1:L$4,#REF!))</f>
        <v>#REF!</v>
      </c>
      <c r="C322" t="e">
        <f>AND(A322,#REF!= 0)</f>
        <v>#REF!</v>
      </c>
      <c r="D322" t="e">
        <f>AND(B322,#REF!= 0)</f>
        <v>#REF!</v>
      </c>
      <c r="E322" t="e">
        <f>isNetPoint(#REF!)</f>
        <v>#VALUE!</v>
      </c>
      <c r="F322" t="e">
        <f>OR(#REF!=1,#REF!= 1)</f>
        <v>#REF!</v>
      </c>
      <c r="G322" t="e">
        <f>IF(#REF!=1,OR(E322="1",E322="3",F322=TRUE),OR(E322="2",E322="3"))</f>
        <v>#REF!</v>
      </c>
      <c r="H322" t="e">
        <f>IF(#REF!=2,OR(E322="1",E322="3",F322=TRUE),OR(E322="2",E322="3"))</f>
        <v>#REF!</v>
      </c>
      <c r="I322" t="e">
        <f>AND(G322=TRUE,#REF!=1)</f>
        <v>#REF!</v>
      </c>
      <c r="J322" t="e">
        <f>AND(H322=TRUE,#REF!=2)</f>
        <v>#REF!</v>
      </c>
      <c r="K322" t="e">
        <f>IF(#REF!=1,K321+1,0)</f>
        <v>#REF!</v>
      </c>
      <c r="L322" t="e">
        <f>IF(#REF!=2,L321+1,0)</f>
        <v>#REF!</v>
      </c>
      <c r="M322" t="e">
        <f>#REF!</f>
        <v>#REF!</v>
      </c>
      <c r="N322" t="e">
        <f>COUNTIFS(#REF!, "=1")</f>
        <v>#REF!</v>
      </c>
      <c r="O322" t="e">
        <f>COUNTIFS(#REF!, "=2")</f>
        <v>#REF!</v>
      </c>
      <c r="P322" t="e">
        <f>#REF!</f>
        <v>#REF!</v>
      </c>
    </row>
    <row r="323" spans="1:16" x14ac:dyDescent="0.25">
      <c r="A323" t="e">
        <f>AND(#REF!=2, COUNTIF(Tables!L$1:L$4,#REF!))</f>
        <v>#REF!</v>
      </c>
      <c r="B323" t="e">
        <f>AND(#REF!=1, COUNTIF(Tables!L$1:L$4,#REF!))</f>
        <v>#REF!</v>
      </c>
      <c r="C323" t="e">
        <f>AND(A323,#REF!= 0)</f>
        <v>#REF!</v>
      </c>
      <c r="D323" t="e">
        <f>AND(B323,#REF!= 0)</f>
        <v>#REF!</v>
      </c>
      <c r="E323" t="e">
        <f>isNetPoint(#REF!)</f>
        <v>#VALUE!</v>
      </c>
      <c r="F323" t="e">
        <f>OR(#REF!=1,#REF!= 1)</f>
        <v>#REF!</v>
      </c>
      <c r="G323" t="e">
        <f>IF(#REF!=1,OR(E323="1",E323="3",F323=TRUE),OR(E323="2",E323="3"))</f>
        <v>#REF!</v>
      </c>
      <c r="H323" t="e">
        <f>IF(#REF!=2,OR(E323="1",E323="3",F323=TRUE),OR(E323="2",E323="3"))</f>
        <v>#REF!</v>
      </c>
      <c r="I323" t="e">
        <f>AND(G323=TRUE,#REF!=1)</f>
        <v>#REF!</v>
      </c>
      <c r="J323" t="e">
        <f>AND(H323=TRUE,#REF!=2)</f>
        <v>#REF!</v>
      </c>
      <c r="K323" t="e">
        <f>IF(#REF!=1,K322+1,0)</f>
        <v>#REF!</v>
      </c>
      <c r="L323" t="e">
        <f>IF(#REF!=2,L322+1,0)</f>
        <v>#REF!</v>
      </c>
      <c r="M323" t="e">
        <f>#REF!</f>
        <v>#REF!</v>
      </c>
      <c r="N323" t="e">
        <f>COUNTIFS(#REF!, "=1")</f>
        <v>#REF!</v>
      </c>
      <c r="O323" t="e">
        <f>COUNTIFS(#REF!, "=2")</f>
        <v>#REF!</v>
      </c>
      <c r="P323" t="e">
        <f>#REF!</f>
        <v>#REF!</v>
      </c>
    </row>
    <row r="324" spans="1:16" x14ac:dyDescent="0.25">
      <c r="A324" t="e">
        <f>AND(#REF!=2, COUNTIF(Tables!L$1:L$4,#REF!))</f>
        <v>#REF!</v>
      </c>
      <c r="B324" t="e">
        <f>AND(#REF!=1, COUNTIF(Tables!L$1:L$4,#REF!))</f>
        <v>#REF!</v>
      </c>
      <c r="C324" t="e">
        <f>AND(A324,#REF!= 0)</f>
        <v>#REF!</v>
      </c>
      <c r="D324" t="e">
        <f>AND(B324,#REF!= 0)</f>
        <v>#REF!</v>
      </c>
      <c r="E324" t="e">
        <f>isNetPoint(#REF!)</f>
        <v>#VALUE!</v>
      </c>
      <c r="F324" t="e">
        <f>OR(#REF!=1,#REF!= 1)</f>
        <v>#REF!</v>
      </c>
      <c r="G324" t="e">
        <f>IF(#REF!=1,OR(E324="1",E324="3",F324=TRUE),OR(E324="2",E324="3"))</f>
        <v>#REF!</v>
      </c>
      <c r="H324" t="e">
        <f>IF(#REF!=2,OR(E324="1",E324="3",F324=TRUE),OR(E324="2",E324="3"))</f>
        <v>#REF!</v>
      </c>
      <c r="I324" t="e">
        <f>AND(G324=TRUE,#REF!=1)</f>
        <v>#REF!</v>
      </c>
      <c r="J324" t="e">
        <f>AND(H324=TRUE,#REF!=2)</f>
        <v>#REF!</v>
      </c>
      <c r="K324" t="e">
        <f>IF(#REF!=1,K323+1,0)</f>
        <v>#REF!</v>
      </c>
      <c r="L324" t="e">
        <f>IF(#REF!=2,L323+1,0)</f>
        <v>#REF!</v>
      </c>
      <c r="M324" t="e">
        <f>#REF!</f>
        <v>#REF!</v>
      </c>
      <c r="N324" t="e">
        <f>COUNTIFS(#REF!, "=1")</f>
        <v>#REF!</v>
      </c>
      <c r="O324" t="e">
        <f>COUNTIFS(#REF!, "=2")</f>
        <v>#REF!</v>
      </c>
      <c r="P324" t="e">
        <f>#REF!</f>
        <v>#REF!</v>
      </c>
    </row>
    <row r="325" spans="1:16" x14ac:dyDescent="0.25">
      <c r="A325" t="e">
        <f>AND(#REF!=2, COUNTIF(Tables!L$1:L$4,#REF!))</f>
        <v>#REF!</v>
      </c>
      <c r="B325" t="e">
        <f>AND(#REF!=1, COUNTIF(Tables!L$1:L$4,#REF!))</f>
        <v>#REF!</v>
      </c>
      <c r="C325" t="e">
        <f>AND(A325,#REF!= 0)</f>
        <v>#REF!</v>
      </c>
      <c r="D325" t="e">
        <f>AND(B325,#REF!= 0)</f>
        <v>#REF!</v>
      </c>
      <c r="E325" t="e">
        <f>isNetPoint(#REF!)</f>
        <v>#VALUE!</v>
      </c>
      <c r="F325" t="e">
        <f>OR(#REF!=1,#REF!= 1)</f>
        <v>#REF!</v>
      </c>
      <c r="G325" t="e">
        <f>IF(#REF!=1,OR(E325="1",E325="3",F325=TRUE),OR(E325="2",E325="3"))</f>
        <v>#REF!</v>
      </c>
      <c r="H325" t="e">
        <f>IF(#REF!=2,OR(E325="1",E325="3",F325=TRUE),OR(E325="2",E325="3"))</f>
        <v>#REF!</v>
      </c>
      <c r="I325" t="e">
        <f>AND(G325=TRUE,#REF!=1)</f>
        <v>#REF!</v>
      </c>
      <c r="J325" t="e">
        <f>AND(H325=TRUE,#REF!=2)</f>
        <v>#REF!</v>
      </c>
      <c r="K325" t="e">
        <f>IF(#REF!=1,K324+1,0)</f>
        <v>#REF!</v>
      </c>
      <c r="L325" t="e">
        <f>IF(#REF!=2,L324+1,0)</f>
        <v>#REF!</v>
      </c>
      <c r="M325" t="e">
        <f>#REF!</f>
        <v>#REF!</v>
      </c>
      <c r="N325" t="e">
        <f>COUNTIFS(#REF!, "=1")</f>
        <v>#REF!</v>
      </c>
      <c r="O325" t="e">
        <f>COUNTIFS(#REF!, "=2")</f>
        <v>#REF!</v>
      </c>
      <c r="P325" t="e">
        <f>#REF!</f>
        <v>#REF!</v>
      </c>
    </row>
    <row r="326" spans="1:16" x14ac:dyDescent="0.25">
      <c r="A326" t="e">
        <f>AND(#REF!=2, COUNTIF(Tables!L$1:L$4,#REF!))</f>
        <v>#REF!</v>
      </c>
      <c r="B326" t="e">
        <f>AND(#REF!=1, COUNTIF(Tables!L$1:L$4,#REF!))</f>
        <v>#REF!</v>
      </c>
      <c r="C326" t="e">
        <f>AND(A326,#REF!= 0)</f>
        <v>#REF!</v>
      </c>
      <c r="D326" t="e">
        <f>AND(B326,#REF!= 0)</f>
        <v>#REF!</v>
      </c>
      <c r="E326" t="e">
        <f>isNetPoint(#REF!)</f>
        <v>#VALUE!</v>
      </c>
      <c r="F326" t="e">
        <f>OR(#REF!=1,#REF!= 1)</f>
        <v>#REF!</v>
      </c>
      <c r="G326" t="e">
        <f>IF(#REF!=1,OR(E326="1",E326="3",F326=TRUE),OR(E326="2",E326="3"))</f>
        <v>#REF!</v>
      </c>
      <c r="H326" t="e">
        <f>IF(#REF!=2,OR(E326="1",E326="3",F326=TRUE),OR(E326="2",E326="3"))</f>
        <v>#REF!</v>
      </c>
      <c r="I326" t="e">
        <f>AND(G326=TRUE,#REF!=1)</f>
        <v>#REF!</v>
      </c>
      <c r="J326" t="e">
        <f>AND(H326=TRUE,#REF!=2)</f>
        <v>#REF!</v>
      </c>
      <c r="K326" t="e">
        <f>IF(#REF!=1,K325+1,0)</f>
        <v>#REF!</v>
      </c>
      <c r="L326" t="e">
        <f>IF(#REF!=2,L325+1,0)</f>
        <v>#REF!</v>
      </c>
      <c r="M326" t="e">
        <f>#REF!</f>
        <v>#REF!</v>
      </c>
      <c r="N326" t="e">
        <f>COUNTIFS(#REF!, "=1")</f>
        <v>#REF!</v>
      </c>
      <c r="O326" t="e">
        <f>COUNTIFS(#REF!, "=2")</f>
        <v>#REF!</v>
      </c>
      <c r="P326" t="e">
        <f>#REF!</f>
        <v>#REF!</v>
      </c>
    </row>
    <row r="327" spans="1:16" x14ac:dyDescent="0.25">
      <c r="A327" t="e">
        <f>AND(#REF!=2, COUNTIF(Tables!L$1:L$4,#REF!))</f>
        <v>#REF!</v>
      </c>
      <c r="B327" t="e">
        <f>AND(#REF!=1, COUNTIF(Tables!L$1:L$4,#REF!))</f>
        <v>#REF!</v>
      </c>
      <c r="C327" t="e">
        <f>AND(A327,#REF!= 0)</f>
        <v>#REF!</v>
      </c>
      <c r="D327" t="e">
        <f>AND(B327,#REF!= 0)</f>
        <v>#REF!</v>
      </c>
      <c r="E327" t="e">
        <f>isNetPoint(#REF!)</f>
        <v>#VALUE!</v>
      </c>
      <c r="F327" t="e">
        <f>OR(#REF!=1,#REF!= 1)</f>
        <v>#REF!</v>
      </c>
      <c r="G327" t="e">
        <f>IF(#REF!=1,OR(E327="1",E327="3",F327=TRUE),OR(E327="2",E327="3"))</f>
        <v>#REF!</v>
      </c>
      <c r="H327" t="e">
        <f>IF(#REF!=2,OR(E327="1",E327="3",F327=TRUE),OR(E327="2",E327="3"))</f>
        <v>#REF!</v>
      </c>
      <c r="I327" t="e">
        <f>AND(G327=TRUE,#REF!=1)</f>
        <v>#REF!</v>
      </c>
      <c r="J327" t="e">
        <f>AND(H327=TRUE,#REF!=2)</f>
        <v>#REF!</v>
      </c>
      <c r="K327" t="e">
        <f>IF(#REF!=1,K326+1,0)</f>
        <v>#REF!</v>
      </c>
      <c r="L327" t="e">
        <f>IF(#REF!=2,L326+1,0)</f>
        <v>#REF!</v>
      </c>
      <c r="M327" t="e">
        <f>#REF!</f>
        <v>#REF!</v>
      </c>
      <c r="N327" t="e">
        <f>COUNTIFS(#REF!, "=1")</f>
        <v>#REF!</v>
      </c>
      <c r="O327" t="e">
        <f>COUNTIFS(#REF!, "=2")</f>
        <v>#REF!</v>
      </c>
      <c r="P327" t="e">
        <f>#REF!</f>
        <v>#REF!</v>
      </c>
    </row>
    <row r="328" spans="1:16" x14ac:dyDescent="0.25">
      <c r="A328" t="e">
        <f>AND(#REF!=2, COUNTIF(Tables!L$1:L$4,#REF!))</f>
        <v>#REF!</v>
      </c>
      <c r="B328" t="e">
        <f>AND(#REF!=1, COUNTIF(Tables!L$1:L$4,#REF!))</f>
        <v>#REF!</v>
      </c>
      <c r="C328" t="e">
        <f>AND(A328,#REF!= 0)</f>
        <v>#REF!</v>
      </c>
      <c r="D328" t="e">
        <f>AND(B328,#REF!= 0)</f>
        <v>#REF!</v>
      </c>
      <c r="E328" t="e">
        <f>isNetPoint(#REF!)</f>
        <v>#VALUE!</v>
      </c>
      <c r="F328" t="e">
        <f>OR(#REF!=1,#REF!= 1)</f>
        <v>#REF!</v>
      </c>
      <c r="G328" t="e">
        <f>IF(#REF!=1,OR(E328="1",E328="3",F328=TRUE),OR(E328="2",E328="3"))</f>
        <v>#REF!</v>
      </c>
      <c r="H328" t="e">
        <f>IF(#REF!=2,OR(E328="1",E328="3",F328=TRUE),OR(E328="2",E328="3"))</f>
        <v>#REF!</v>
      </c>
      <c r="I328" t="e">
        <f>AND(G328=TRUE,#REF!=1)</f>
        <v>#REF!</v>
      </c>
      <c r="J328" t="e">
        <f>AND(H328=TRUE,#REF!=2)</f>
        <v>#REF!</v>
      </c>
      <c r="K328" t="e">
        <f>IF(#REF!=1,K327+1,0)</f>
        <v>#REF!</v>
      </c>
      <c r="L328" t="e">
        <f>IF(#REF!=2,L327+1,0)</f>
        <v>#REF!</v>
      </c>
      <c r="M328" t="e">
        <f>#REF!</f>
        <v>#REF!</v>
      </c>
      <c r="N328" t="e">
        <f>COUNTIFS(#REF!, "=1")</f>
        <v>#REF!</v>
      </c>
      <c r="O328" t="e">
        <f>COUNTIFS(#REF!, "=2")</f>
        <v>#REF!</v>
      </c>
      <c r="P328" t="e">
        <f>#REF!</f>
        <v>#REF!</v>
      </c>
    </row>
    <row r="329" spans="1:16" x14ac:dyDescent="0.25">
      <c r="A329" t="e">
        <f>AND(#REF!=2, COUNTIF(Tables!L$1:L$4,#REF!))</f>
        <v>#REF!</v>
      </c>
      <c r="B329" t="e">
        <f>AND(#REF!=1, COUNTIF(Tables!L$1:L$4,#REF!))</f>
        <v>#REF!</v>
      </c>
      <c r="C329" t="e">
        <f>AND(A329,#REF!= 0)</f>
        <v>#REF!</v>
      </c>
      <c r="D329" t="e">
        <f>AND(B329,#REF!= 0)</f>
        <v>#REF!</v>
      </c>
      <c r="E329" t="e">
        <f>isNetPoint(#REF!)</f>
        <v>#VALUE!</v>
      </c>
      <c r="F329" t="e">
        <f>OR(#REF!=1,#REF!= 1)</f>
        <v>#REF!</v>
      </c>
      <c r="G329" t="e">
        <f>IF(#REF!=1,OR(E329="1",E329="3",F329=TRUE),OR(E329="2",E329="3"))</f>
        <v>#REF!</v>
      </c>
      <c r="H329" t="e">
        <f>IF(#REF!=2,OR(E329="1",E329="3",F329=TRUE),OR(E329="2",E329="3"))</f>
        <v>#REF!</v>
      </c>
      <c r="I329" t="e">
        <f>AND(G329=TRUE,#REF!=1)</f>
        <v>#REF!</v>
      </c>
      <c r="J329" t="e">
        <f>AND(H329=TRUE,#REF!=2)</f>
        <v>#REF!</v>
      </c>
      <c r="K329" t="e">
        <f>IF(#REF!=1,K328+1,0)</f>
        <v>#REF!</v>
      </c>
      <c r="L329" t="e">
        <f>IF(#REF!=2,L328+1,0)</f>
        <v>#REF!</v>
      </c>
      <c r="M329" t="e">
        <f>#REF!</f>
        <v>#REF!</v>
      </c>
      <c r="N329" t="e">
        <f>COUNTIFS(#REF!, "=1")</f>
        <v>#REF!</v>
      </c>
      <c r="O329" t="e">
        <f>COUNTIFS(#REF!, "=2")</f>
        <v>#REF!</v>
      </c>
      <c r="P329" t="e">
        <f>#REF!</f>
        <v>#REF!</v>
      </c>
    </row>
    <row r="330" spans="1:16" x14ac:dyDescent="0.25">
      <c r="A330" t="e">
        <f>AND(#REF!=2, COUNTIF(Tables!L$1:L$4,#REF!))</f>
        <v>#REF!</v>
      </c>
      <c r="B330" t="e">
        <f>AND(#REF!=1, COUNTIF(Tables!L$1:L$4,#REF!))</f>
        <v>#REF!</v>
      </c>
      <c r="C330" t="e">
        <f>AND(A330,#REF!= 0)</f>
        <v>#REF!</v>
      </c>
      <c r="D330" t="e">
        <f>AND(B330,#REF!= 0)</f>
        <v>#REF!</v>
      </c>
      <c r="E330" t="e">
        <f>isNetPoint(#REF!)</f>
        <v>#VALUE!</v>
      </c>
      <c r="F330" t="e">
        <f>OR(#REF!=1,#REF!= 1)</f>
        <v>#REF!</v>
      </c>
      <c r="G330" t="e">
        <f>IF(#REF!=1,OR(E330="1",E330="3",F330=TRUE),OR(E330="2",E330="3"))</f>
        <v>#REF!</v>
      </c>
      <c r="H330" t="e">
        <f>IF(#REF!=2,OR(E330="1",E330="3",F330=TRUE),OR(E330="2",E330="3"))</f>
        <v>#REF!</v>
      </c>
      <c r="I330" t="e">
        <f>AND(G330=TRUE,#REF!=1)</f>
        <v>#REF!</v>
      </c>
      <c r="J330" t="e">
        <f>AND(H330=TRUE,#REF!=2)</f>
        <v>#REF!</v>
      </c>
      <c r="K330" t="e">
        <f>IF(#REF!=1,K329+1,0)</f>
        <v>#REF!</v>
      </c>
      <c r="L330" t="e">
        <f>IF(#REF!=2,L329+1,0)</f>
        <v>#REF!</v>
      </c>
      <c r="M330" t="e">
        <f>#REF!</f>
        <v>#REF!</v>
      </c>
      <c r="N330" t="e">
        <f>COUNTIFS(#REF!, "=1")</f>
        <v>#REF!</v>
      </c>
      <c r="O330" t="e">
        <f>COUNTIFS(#REF!, "=2")</f>
        <v>#REF!</v>
      </c>
      <c r="P330" t="e">
        <f>#REF!</f>
        <v>#REF!</v>
      </c>
    </row>
    <row r="331" spans="1:16" x14ac:dyDescent="0.25">
      <c r="A331" t="e">
        <f>AND(#REF!=2, COUNTIF(Tables!L$1:L$4,#REF!))</f>
        <v>#REF!</v>
      </c>
      <c r="B331" t="e">
        <f>AND(#REF!=1, COUNTIF(Tables!L$1:L$4,#REF!))</f>
        <v>#REF!</v>
      </c>
      <c r="C331" t="e">
        <f>AND(A331,#REF!= 0)</f>
        <v>#REF!</v>
      </c>
      <c r="D331" t="e">
        <f>AND(B331,#REF!= 0)</f>
        <v>#REF!</v>
      </c>
      <c r="E331" t="e">
        <f>isNetPoint(#REF!)</f>
        <v>#VALUE!</v>
      </c>
      <c r="F331" t="e">
        <f>OR(#REF!=1,#REF!= 1)</f>
        <v>#REF!</v>
      </c>
      <c r="G331" t="e">
        <f>IF(#REF!=1,OR(E331="1",E331="3",F331=TRUE),OR(E331="2",E331="3"))</f>
        <v>#REF!</v>
      </c>
      <c r="H331" t="e">
        <f>IF(#REF!=2,OR(E331="1",E331="3",F331=TRUE),OR(E331="2",E331="3"))</f>
        <v>#REF!</v>
      </c>
      <c r="I331" t="e">
        <f>AND(G331=TRUE,#REF!=1)</f>
        <v>#REF!</v>
      </c>
      <c r="J331" t="e">
        <f>AND(H331=TRUE,#REF!=2)</f>
        <v>#REF!</v>
      </c>
      <c r="K331" t="e">
        <f>IF(#REF!=1,K330+1,0)</f>
        <v>#REF!</v>
      </c>
      <c r="L331" t="e">
        <f>IF(#REF!=2,L330+1,0)</f>
        <v>#REF!</v>
      </c>
      <c r="M331" t="e">
        <f>#REF!</f>
        <v>#REF!</v>
      </c>
      <c r="N331" t="e">
        <f>COUNTIFS(#REF!, "=1")</f>
        <v>#REF!</v>
      </c>
      <c r="O331" t="e">
        <f>COUNTIFS(#REF!, "=2")</f>
        <v>#REF!</v>
      </c>
      <c r="P331" t="e">
        <f>#REF!</f>
        <v>#REF!</v>
      </c>
    </row>
    <row r="332" spans="1:16" x14ac:dyDescent="0.25">
      <c r="A332" t="e">
        <f>AND(#REF!=2, COUNTIF(Tables!L$1:L$4,#REF!))</f>
        <v>#REF!</v>
      </c>
      <c r="B332" t="e">
        <f>AND(#REF!=1, COUNTIF(Tables!L$1:L$4,#REF!))</f>
        <v>#REF!</v>
      </c>
      <c r="C332" t="e">
        <f>AND(A332,#REF!= 0)</f>
        <v>#REF!</v>
      </c>
      <c r="D332" t="e">
        <f>AND(B332,#REF!= 0)</f>
        <v>#REF!</v>
      </c>
      <c r="E332" t="e">
        <f>isNetPoint(#REF!)</f>
        <v>#VALUE!</v>
      </c>
      <c r="F332" t="e">
        <f>OR(#REF!=1,#REF!= 1)</f>
        <v>#REF!</v>
      </c>
      <c r="G332" t="e">
        <f>IF(#REF!=1,OR(E332="1",E332="3",F332=TRUE),OR(E332="2",E332="3"))</f>
        <v>#REF!</v>
      </c>
      <c r="H332" t="e">
        <f>IF(#REF!=2,OR(E332="1",E332="3",F332=TRUE),OR(E332="2",E332="3"))</f>
        <v>#REF!</v>
      </c>
      <c r="I332" t="e">
        <f>AND(G332=TRUE,#REF!=1)</f>
        <v>#REF!</v>
      </c>
      <c r="J332" t="e">
        <f>AND(H332=TRUE,#REF!=2)</f>
        <v>#REF!</v>
      </c>
      <c r="K332" t="e">
        <f>IF(#REF!=1,K331+1,0)</f>
        <v>#REF!</v>
      </c>
      <c r="L332" t="e">
        <f>IF(#REF!=2,L331+1,0)</f>
        <v>#REF!</v>
      </c>
      <c r="M332" t="e">
        <f>#REF!</f>
        <v>#REF!</v>
      </c>
      <c r="N332" t="e">
        <f>COUNTIFS(#REF!, "=1")</f>
        <v>#REF!</v>
      </c>
      <c r="O332" t="e">
        <f>COUNTIFS(#REF!, "=2")</f>
        <v>#REF!</v>
      </c>
      <c r="P332" t="e">
        <f>#REF!</f>
        <v>#REF!</v>
      </c>
    </row>
    <row r="333" spans="1:16" x14ac:dyDescent="0.25">
      <c r="A333" t="e">
        <f>AND(#REF!=2, COUNTIF(Tables!L$1:L$4,#REF!))</f>
        <v>#REF!</v>
      </c>
      <c r="B333" t="e">
        <f>AND(#REF!=1, COUNTIF(Tables!L$1:L$4,#REF!))</f>
        <v>#REF!</v>
      </c>
      <c r="C333" t="e">
        <f>AND(A333,#REF!= 0)</f>
        <v>#REF!</v>
      </c>
      <c r="D333" t="e">
        <f>AND(B333,#REF!= 0)</f>
        <v>#REF!</v>
      </c>
      <c r="E333" t="e">
        <f>isNetPoint(#REF!)</f>
        <v>#VALUE!</v>
      </c>
      <c r="F333" t="e">
        <f>OR(#REF!=1,#REF!= 1)</f>
        <v>#REF!</v>
      </c>
      <c r="G333" t="e">
        <f>IF(#REF!=1,OR(E333="1",E333="3",F333=TRUE),OR(E333="2",E333="3"))</f>
        <v>#REF!</v>
      </c>
      <c r="H333" t="e">
        <f>IF(#REF!=2,OR(E333="1",E333="3",F333=TRUE),OR(E333="2",E333="3"))</f>
        <v>#REF!</v>
      </c>
      <c r="I333" t="e">
        <f>AND(G333=TRUE,#REF!=1)</f>
        <v>#REF!</v>
      </c>
      <c r="J333" t="e">
        <f>AND(H333=TRUE,#REF!=2)</f>
        <v>#REF!</v>
      </c>
      <c r="K333" t="e">
        <f>IF(#REF!=1,K332+1,0)</f>
        <v>#REF!</v>
      </c>
      <c r="L333" t="e">
        <f>IF(#REF!=2,L332+1,0)</f>
        <v>#REF!</v>
      </c>
      <c r="M333" t="e">
        <f>#REF!</f>
        <v>#REF!</v>
      </c>
      <c r="N333" t="e">
        <f>COUNTIFS(#REF!, "=1")</f>
        <v>#REF!</v>
      </c>
      <c r="O333" t="e">
        <f>COUNTIFS(#REF!, "=2")</f>
        <v>#REF!</v>
      </c>
      <c r="P333" t="e">
        <f>#REF!</f>
        <v>#REF!</v>
      </c>
    </row>
    <row r="334" spans="1:16" x14ac:dyDescent="0.25">
      <c r="A334" t="e">
        <f>AND(#REF!=2, COUNTIF(Tables!L$1:L$4,#REF!))</f>
        <v>#REF!</v>
      </c>
      <c r="B334" t="e">
        <f>AND(#REF!=1, COUNTIF(Tables!L$1:L$4,#REF!))</f>
        <v>#REF!</v>
      </c>
      <c r="C334" t="e">
        <f>AND(A334,#REF!= 0)</f>
        <v>#REF!</v>
      </c>
      <c r="D334" t="e">
        <f>AND(B334,#REF!= 0)</f>
        <v>#REF!</v>
      </c>
      <c r="E334" t="e">
        <f>isNetPoint(#REF!)</f>
        <v>#VALUE!</v>
      </c>
      <c r="F334" t="e">
        <f>OR(#REF!=1,#REF!= 1)</f>
        <v>#REF!</v>
      </c>
      <c r="G334" t="e">
        <f>IF(#REF!=1,OR(E334="1",E334="3",F334=TRUE),OR(E334="2",E334="3"))</f>
        <v>#REF!</v>
      </c>
      <c r="H334" t="e">
        <f>IF(#REF!=2,OR(E334="1",E334="3",F334=TRUE),OR(E334="2",E334="3"))</f>
        <v>#REF!</v>
      </c>
      <c r="I334" t="e">
        <f>AND(G334=TRUE,#REF!=1)</f>
        <v>#REF!</v>
      </c>
      <c r="J334" t="e">
        <f>AND(H334=TRUE,#REF!=2)</f>
        <v>#REF!</v>
      </c>
      <c r="K334" t="e">
        <f>IF(#REF!=1,K333+1,0)</f>
        <v>#REF!</v>
      </c>
      <c r="L334" t="e">
        <f>IF(#REF!=2,L333+1,0)</f>
        <v>#REF!</v>
      </c>
      <c r="M334" t="e">
        <f>#REF!</f>
        <v>#REF!</v>
      </c>
      <c r="N334" t="e">
        <f>COUNTIFS(#REF!, "=1")</f>
        <v>#REF!</v>
      </c>
      <c r="O334" t="e">
        <f>COUNTIFS(#REF!, "=2")</f>
        <v>#REF!</v>
      </c>
      <c r="P334" t="e">
        <f>#REF!</f>
        <v>#REF!</v>
      </c>
    </row>
    <row r="335" spans="1:16" x14ac:dyDescent="0.25">
      <c r="A335" t="e">
        <f>AND(#REF!=2, COUNTIF(Tables!L$1:L$4,#REF!))</f>
        <v>#REF!</v>
      </c>
      <c r="B335" t="e">
        <f>AND(#REF!=1, COUNTIF(Tables!L$1:L$4,#REF!))</f>
        <v>#REF!</v>
      </c>
      <c r="C335" t="e">
        <f>AND(A335,#REF!= 0)</f>
        <v>#REF!</v>
      </c>
      <c r="D335" t="e">
        <f>AND(B335,#REF!= 0)</f>
        <v>#REF!</v>
      </c>
      <c r="E335" t="e">
        <f>isNetPoint(#REF!)</f>
        <v>#VALUE!</v>
      </c>
      <c r="F335" t="e">
        <f>OR(#REF!=1,#REF!= 1)</f>
        <v>#REF!</v>
      </c>
      <c r="G335" t="e">
        <f>IF(#REF!=1,OR(E335="1",E335="3",F335=TRUE),OR(E335="2",E335="3"))</f>
        <v>#REF!</v>
      </c>
      <c r="H335" t="e">
        <f>IF(#REF!=2,OR(E335="1",E335="3",F335=TRUE),OR(E335="2",E335="3"))</f>
        <v>#REF!</v>
      </c>
      <c r="I335" t="e">
        <f>AND(G335=TRUE,#REF!=1)</f>
        <v>#REF!</v>
      </c>
      <c r="J335" t="e">
        <f>AND(H335=TRUE,#REF!=2)</f>
        <v>#REF!</v>
      </c>
      <c r="K335" t="e">
        <f>IF(#REF!=1,K334+1,0)</f>
        <v>#REF!</v>
      </c>
      <c r="L335" t="e">
        <f>IF(#REF!=2,L334+1,0)</f>
        <v>#REF!</v>
      </c>
      <c r="M335" t="e">
        <f>#REF!</f>
        <v>#REF!</v>
      </c>
      <c r="N335" t="e">
        <f>COUNTIFS(#REF!, "=1")</f>
        <v>#REF!</v>
      </c>
      <c r="O335" t="e">
        <f>COUNTIFS(#REF!, "=2")</f>
        <v>#REF!</v>
      </c>
      <c r="P335" t="e">
        <f>#REF!</f>
        <v>#REF!</v>
      </c>
    </row>
    <row r="336" spans="1:16" x14ac:dyDescent="0.25">
      <c r="A336" t="e">
        <f>AND(#REF!=2, COUNTIF(Tables!L$1:L$4,#REF!))</f>
        <v>#REF!</v>
      </c>
      <c r="B336" t="e">
        <f>AND(#REF!=1, COUNTIF(Tables!L$1:L$4,#REF!))</f>
        <v>#REF!</v>
      </c>
      <c r="C336" t="e">
        <f>AND(A336,#REF!= 0)</f>
        <v>#REF!</v>
      </c>
      <c r="D336" t="e">
        <f>AND(B336,#REF!= 0)</f>
        <v>#REF!</v>
      </c>
      <c r="E336" t="e">
        <f>isNetPoint(#REF!)</f>
        <v>#VALUE!</v>
      </c>
      <c r="F336" t="e">
        <f>OR(#REF!=1,#REF!= 1)</f>
        <v>#REF!</v>
      </c>
      <c r="G336" t="e">
        <f>IF(#REF!=1,OR(E336="1",E336="3",F336=TRUE),OR(E336="2",E336="3"))</f>
        <v>#REF!</v>
      </c>
      <c r="H336" t="e">
        <f>IF(#REF!=2,OR(E336="1",E336="3",F336=TRUE),OR(E336="2",E336="3"))</f>
        <v>#REF!</v>
      </c>
      <c r="I336" t="e">
        <f>AND(G336=TRUE,#REF!=1)</f>
        <v>#REF!</v>
      </c>
      <c r="J336" t="e">
        <f>AND(H336=TRUE,#REF!=2)</f>
        <v>#REF!</v>
      </c>
      <c r="K336" t="e">
        <f>IF(#REF!=1,K335+1,0)</f>
        <v>#REF!</v>
      </c>
      <c r="L336" t="e">
        <f>IF(#REF!=2,L335+1,0)</f>
        <v>#REF!</v>
      </c>
      <c r="M336" t="e">
        <f>#REF!</f>
        <v>#REF!</v>
      </c>
      <c r="N336" t="e">
        <f>COUNTIFS(#REF!, "=1")</f>
        <v>#REF!</v>
      </c>
      <c r="O336" t="e">
        <f>COUNTIFS(#REF!, "=2")</f>
        <v>#REF!</v>
      </c>
      <c r="P336" t="e">
        <f>#REF!</f>
        <v>#REF!</v>
      </c>
    </row>
    <row r="337" spans="1:16" x14ac:dyDescent="0.25">
      <c r="A337" t="e">
        <f>AND(#REF!=2, COUNTIF(Tables!L$1:L$4,#REF!))</f>
        <v>#REF!</v>
      </c>
      <c r="B337" t="e">
        <f>AND(#REF!=1, COUNTIF(Tables!L$1:L$4,#REF!))</f>
        <v>#REF!</v>
      </c>
      <c r="C337" t="e">
        <f>AND(A337,#REF!= 0)</f>
        <v>#REF!</v>
      </c>
      <c r="D337" t="e">
        <f>AND(B337,#REF!= 0)</f>
        <v>#REF!</v>
      </c>
      <c r="E337" t="e">
        <f>isNetPoint(#REF!)</f>
        <v>#VALUE!</v>
      </c>
      <c r="F337" t="e">
        <f>OR(#REF!=1,#REF!= 1)</f>
        <v>#REF!</v>
      </c>
      <c r="G337" t="e">
        <f>IF(#REF!=1,OR(E337="1",E337="3",F337=TRUE),OR(E337="2",E337="3"))</f>
        <v>#REF!</v>
      </c>
      <c r="H337" t="e">
        <f>IF(#REF!=2,OR(E337="1",E337="3",F337=TRUE),OR(E337="2",E337="3"))</f>
        <v>#REF!</v>
      </c>
      <c r="I337" t="e">
        <f>AND(G337=TRUE,#REF!=1)</f>
        <v>#REF!</v>
      </c>
      <c r="J337" t="e">
        <f>AND(H337=TRUE,#REF!=2)</f>
        <v>#REF!</v>
      </c>
      <c r="K337" t="e">
        <f>IF(#REF!=1,K336+1,0)</f>
        <v>#REF!</v>
      </c>
      <c r="L337" t="e">
        <f>IF(#REF!=2,L336+1,0)</f>
        <v>#REF!</v>
      </c>
      <c r="M337" t="e">
        <f>#REF!</f>
        <v>#REF!</v>
      </c>
      <c r="N337" t="e">
        <f>COUNTIFS(#REF!, "=1")</f>
        <v>#REF!</v>
      </c>
      <c r="O337" t="e">
        <f>COUNTIFS(#REF!, "=2")</f>
        <v>#REF!</v>
      </c>
      <c r="P337" t="e">
        <f>#REF!</f>
        <v>#REF!</v>
      </c>
    </row>
    <row r="338" spans="1:16" x14ac:dyDescent="0.25">
      <c r="A338" t="e">
        <f>AND(#REF!=2, COUNTIF(Tables!L$1:L$4,#REF!))</f>
        <v>#REF!</v>
      </c>
      <c r="B338" t="e">
        <f>AND(#REF!=1, COUNTIF(Tables!L$1:L$4,#REF!))</f>
        <v>#REF!</v>
      </c>
      <c r="C338" t="e">
        <f>AND(A338,#REF!= 0)</f>
        <v>#REF!</v>
      </c>
      <c r="D338" t="e">
        <f>AND(B338,#REF!= 0)</f>
        <v>#REF!</v>
      </c>
      <c r="E338" t="e">
        <f>isNetPoint(#REF!)</f>
        <v>#VALUE!</v>
      </c>
      <c r="F338" t="e">
        <f>OR(#REF!=1,#REF!= 1)</f>
        <v>#REF!</v>
      </c>
      <c r="G338" t="e">
        <f>IF(#REF!=1,OR(E338="1",E338="3",F338=TRUE),OR(E338="2",E338="3"))</f>
        <v>#REF!</v>
      </c>
      <c r="H338" t="e">
        <f>IF(#REF!=2,OR(E338="1",E338="3",F338=TRUE),OR(E338="2",E338="3"))</f>
        <v>#REF!</v>
      </c>
      <c r="I338" t="e">
        <f>AND(G338=TRUE,#REF!=1)</f>
        <v>#REF!</v>
      </c>
      <c r="J338" t="e">
        <f>AND(H338=TRUE,#REF!=2)</f>
        <v>#REF!</v>
      </c>
      <c r="K338" t="e">
        <f>IF(#REF!=1,K337+1,0)</f>
        <v>#REF!</v>
      </c>
      <c r="L338" t="e">
        <f>IF(#REF!=2,L337+1,0)</f>
        <v>#REF!</v>
      </c>
      <c r="M338" t="e">
        <f>#REF!</f>
        <v>#REF!</v>
      </c>
      <c r="N338" t="e">
        <f>COUNTIFS(#REF!, "=1")</f>
        <v>#REF!</v>
      </c>
      <c r="O338" t="e">
        <f>COUNTIFS(#REF!, "=2")</f>
        <v>#REF!</v>
      </c>
      <c r="P338" t="e">
        <f>#REF!</f>
        <v>#REF!</v>
      </c>
    </row>
    <row r="339" spans="1:16" x14ac:dyDescent="0.25">
      <c r="A339" t="e">
        <f>AND(#REF!=2, COUNTIF(Tables!L$1:L$4,#REF!))</f>
        <v>#REF!</v>
      </c>
      <c r="B339" t="e">
        <f>AND(#REF!=1, COUNTIF(Tables!L$1:L$4,#REF!))</f>
        <v>#REF!</v>
      </c>
      <c r="C339" t="e">
        <f>AND(A339,#REF!= 0)</f>
        <v>#REF!</v>
      </c>
      <c r="D339" t="e">
        <f>AND(B339,#REF!= 0)</f>
        <v>#REF!</v>
      </c>
      <c r="E339" t="e">
        <f>isNetPoint(#REF!)</f>
        <v>#VALUE!</v>
      </c>
      <c r="F339" t="e">
        <f>OR(#REF!=1,#REF!= 1)</f>
        <v>#REF!</v>
      </c>
      <c r="G339" t="e">
        <f>IF(#REF!=1,OR(E339="1",E339="3",F339=TRUE),OR(E339="2",E339="3"))</f>
        <v>#REF!</v>
      </c>
      <c r="H339" t="e">
        <f>IF(#REF!=2,OR(E339="1",E339="3",F339=TRUE),OR(E339="2",E339="3"))</f>
        <v>#REF!</v>
      </c>
      <c r="I339" t="e">
        <f>AND(G339=TRUE,#REF!=1)</f>
        <v>#REF!</v>
      </c>
      <c r="J339" t="e">
        <f>AND(H339=TRUE,#REF!=2)</f>
        <v>#REF!</v>
      </c>
      <c r="K339" t="e">
        <f>IF(#REF!=1,K338+1,0)</f>
        <v>#REF!</v>
      </c>
      <c r="L339" t="e">
        <f>IF(#REF!=2,L338+1,0)</f>
        <v>#REF!</v>
      </c>
      <c r="M339" t="e">
        <f>#REF!</f>
        <v>#REF!</v>
      </c>
      <c r="N339" t="e">
        <f>COUNTIFS(#REF!, "=1")</f>
        <v>#REF!</v>
      </c>
      <c r="O339" t="e">
        <f>COUNTIFS(#REF!, "=2")</f>
        <v>#REF!</v>
      </c>
      <c r="P339" t="e">
        <f>#REF!</f>
        <v>#REF!</v>
      </c>
    </row>
    <row r="340" spans="1:16" x14ac:dyDescent="0.25">
      <c r="A340" t="e">
        <f>AND(#REF!=2, COUNTIF(Tables!L$1:L$4,#REF!))</f>
        <v>#REF!</v>
      </c>
      <c r="B340" t="e">
        <f>AND(#REF!=1, COUNTIF(Tables!L$1:L$4,#REF!))</f>
        <v>#REF!</v>
      </c>
      <c r="C340" t="e">
        <f>AND(A340,#REF!= 0)</f>
        <v>#REF!</v>
      </c>
      <c r="D340" t="e">
        <f>AND(B340,#REF!= 0)</f>
        <v>#REF!</v>
      </c>
      <c r="E340" t="e">
        <f>isNetPoint(#REF!)</f>
        <v>#VALUE!</v>
      </c>
      <c r="F340" t="e">
        <f>OR(#REF!=1,#REF!= 1)</f>
        <v>#REF!</v>
      </c>
      <c r="G340" t="e">
        <f>IF(#REF!=1,OR(E340="1",E340="3",F340=TRUE),OR(E340="2",E340="3"))</f>
        <v>#REF!</v>
      </c>
      <c r="H340" t="e">
        <f>IF(#REF!=2,OR(E340="1",E340="3",F340=TRUE),OR(E340="2",E340="3"))</f>
        <v>#REF!</v>
      </c>
      <c r="I340" t="e">
        <f>AND(G340=TRUE,#REF!=1)</f>
        <v>#REF!</v>
      </c>
      <c r="J340" t="e">
        <f>AND(H340=TRUE,#REF!=2)</f>
        <v>#REF!</v>
      </c>
      <c r="K340" t="e">
        <f>IF(#REF!=1,K339+1,0)</f>
        <v>#REF!</v>
      </c>
      <c r="L340" t="e">
        <f>IF(#REF!=2,L339+1,0)</f>
        <v>#REF!</v>
      </c>
      <c r="M340" t="e">
        <f>#REF!</f>
        <v>#REF!</v>
      </c>
      <c r="N340" t="e">
        <f>COUNTIFS(#REF!, "=1")</f>
        <v>#REF!</v>
      </c>
      <c r="O340" t="e">
        <f>COUNTIFS(#REF!, "=2")</f>
        <v>#REF!</v>
      </c>
      <c r="P340" t="e">
        <f>#REF!</f>
        <v>#REF!</v>
      </c>
    </row>
    <row r="341" spans="1:16" x14ac:dyDescent="0.25">
      <c r="A341" t="e">
        <f>AND(#REF!=2, COUNTIF(Tables!L$1:L$4,#REF!))</f>
        <v>#REF!</v>
      </c>
      <c r="B341" t="e">
        <f>AND(#REF!=1, COUNTIF(Tables!L$1:L$4,#REF!))</f>
        <v>#REF!</v>
      </c>
      <c r="C341" t="e">
        <f>AND(A341,#REF!= 0)</f>
        <v>#REF!</v>
      </c>
      <c r="D341" t="e">
        <f>AND(B341,#REF!= 0)</f>
        <v>#REF!</v>
      </c>
      <c r="E341" t="e">
        <f>isNetPoint(#REF!)</f>
        <v>#VALUE!</v>
      </c>
      <c r="F341" t="e">
        <f>OR(#REF!=1,#REF!= 1)</f>
        <v>#REF!</v>
      </c>
      <c r="G341" t="e">
        <f>IF(#REF!=1,OR(E341="1",E341="3",F341=TRUE),OR(E341="2",E341="3"))</f>
        <v>#REF!</v>
      </c>
      <c r="H341" t="e">
        <f>IF(#REF!=2,OR(E341="1",E341="3",F341=TRUE),OR(E341="2",E341="3"))</f>
        <v>#REF!</v>
      </c>
      <c r="I341" t="e">
        <f>AND(G341=TRUE,#REF!=1)</f>
        <v>#REF!</v>
      </c>
      <c r="J341" t="e">
        <f>AND(H341=TRUE,#REF!=2)</f>
        <v>#REF!</v>
      </c>
      <c r="K341" t="e">
        <f>IF(#REF!=1,K340+1,0)</f>
        <v>#REF!</v>
      </c>
      <c r="L341" t="e">
        <f>IF(#REF!=2,L340+1,0)</f>
        <v>#REF!</v>
      </c>
      <c r="M341" t="e">
        <f>#REF!</f>
        <v>#REF!</v>
      </c>
      <c r="N341" t="e">
        <f>COUNTIFS(#REF!, "=1")</f>
        <v>#REF!</v>
      </c>
      <c r="O341" t="e">
        <f>COUNTIFS(#REF!, "=2")</f>
        <v>#REF!</v>
      </c>
      <c r="P341" t="e">
        <f>#REF!</f>
        <v>#REF!</v>
      </c>
    </row>
    <row r="342" spans="1:16" x14ac:dyDescent="0.25">
      <c r="A342" t="e">
        <f>AND(#REF!=2, COUNTIF(Tables!L$1:L$4,#REF!))</f>
        <v>#REF!</v>
      </c>
      <c r="B342" t="e">
        <f>AND(#REF!=1, COUNTIF(Tables!L$1:L$4,#REF!))</f>
        <v>#REF!</v>
      </c>
      <c r="C342" t="e">
        <f>AND(A342,#REF!= 0)</f>
        <v>#REF!</v>
      </c>
      <c r="D342" t="e">
        <f>AND(B342,#REF!= 0)</f>
        <v>#REF!</v>
      </c>
      <c r="E342" t="e">
        <f>isNetPoint(#REF!)</f>
        <v>#VALUE!</v>
      </c>
      <c r="F342" t="e">
        <f>OR(#REF!=1,#REF!= 1)</f>
        <v>#REF!</v>
      </c>
      <c r="G342" t="e">
        <f>IF(#REF!=1,OR(E342="1",E342="3",F342=TRUE),OR(E342="2",E342="3"))</f>
        <v>#REF!</v>
      </c>
      <c r="H342" t="e">
        <f>IF(#REF!=2,OR(E342="1",E342="3",F342=TRUE),OR(E342="2",E342="3"))</f>
        <v>#REF!</v>
      </c>
      <c r="I342" t="e">
        <f>AND(G342=TRUE,#REF!=1)</f>
        <v>#REF!</v>
      </c>
      <c r="J342" t="e">
        <f>AND(H342=TRUE,#REF!=2)</f>
        <v>#REF!</v>
      </c>
      <c r="K342" t="e">
        <f>IF(#REF!=1,K341+1,0)</f>
        <v>#REF!</v>
      </c>
      <c r="L342" t="e">
        <f>IF(#REF!=2,L341+1,0)</f>
        <v>#REF!</v>
      </c>
      <c r="M342" t="e">
        <f>#REF!</f>
        <v>#REF!</v>
      </c>
      <c r="N342" t="e">
        <f>COUNTIFS(#REF!, "=1")</f>
        <v>#REF!</v>
      </c>
      <c r="O342" t="e">
        <f>COUNTIFS(#REF!, "=2")</f>
        <v>#REF!</v>
      </c>
      <c r="P342" t="e">
        <f>#REF!</f>
        <v>#REF!</v>
      </c>
    </row>
    <row r="343" spans="1:16" x14ac:dyDescent="0.25">
      <c r="A343" t="e">
        <f>AND(#REF!=2, COUNTIF(Tables!L$1:L$4,#REF!))</f>
        <v>#REF!</v>
      </c>
      <c r="B343" t="e">
        <f>AND(#REF!=1, COUNTIF(Tables!L$1:L$4,#REF!))</f>
        <v>#REF!</v>
      </c>
      <c r="C343" t="e">
        <f>AND(A343,#REF!= 0)</f>
        <v>#REF!</v>
      </c>
      <c r="D343" t="e">
        <f>AND(B343,#REF!= 0)</f>
        <v>#REF!</v>
      </c>
      <c r="E343" t="e">
        <f>isNetPoint(#REF!)</f>
        <v>#VALUE!</v>
      </c>
      <c r="F343" t="e">
        <f>OR(#REF!=1,#REF!= 1)</f>
        <v>#REF!</v>
      </c>
      <c r="G343" t="e">
        <f>IF(#REF!=1,OR(E343="1",E343="3",F343=TRUE),OR(E343="2",E343="3"))</f>
        <v>#REF!</v>
      </c>
      <c r="H343" t="e">
        <f>IF(#REF!=2,OR(E343="1",E343="3",F343=TRUE),OR(E343="2",E343="3"))</f>
        <v>#REF!</v>
      </c>
      <c r="I343" t="e">
        <f>AND(G343=TRUE,#REF!=1)</f>
        <v>#REF!</v>
      </c>
      <c r="J343" t="e">
        <f>AND(H343=TRUE,#REF!=2)</f>
        <v>#REF!</v>
      </c>
      <c r="K343" t="e">
        <f>IF(#REF!=1,K342+1,0)</f>
        <v>#REF!</v>
      </c>
      <c r="L343" t="e">
        <f>IF(#REF!=2,L342+1,0)</f>
        <v>#REF!</v>
      </c>
      <c r="M343" t="e">
        <f>#REF!</f>
        <v>#REF!</v>
      </c>
      <c r="N343" t="e">
        <f>COUNTIFS(#REF!, "=1")</f>
        <v>#REF!</v>
      </c>
      <c r="O343" t="e">
        <f>COUNTIFS(#REF!, "=2")</f>
        <v>#REF!</v>
      </c>
      <c r="P343" t="e">
        <f>#REF!</f>
        <v>#REF!</v>
      </c>
    </row>
    <row r="344" spans="1:16" x14ac:dyDescent="0.25">
      <c r="A344" t="e">
        <f>AND(#REF!=2, COUNTIF(Tables!L$1:L$4,#REF!))</f>
        <v>#REF!</v>
      </c>
      <c r="B344" t="e">
        <f>AND(#REF!=1, COUNTIF(Tables!L$1:L$4,#REF!))</f>
        <v>#REF!</v>
      </c>
      <c r="C344" t="e">
        <f>AND(A344,#REF!= 0)</f>
        <v>#REF!</v>
      </c>
      <c r="D344" t="e">
        <f>AND(B344,#REF!= 0)</f>
        <v>#REF!</v>
      </c>
      <c r="E344" t="e">
        <f>isNetPoint(#REF!)</f>
        <v>#VALUE!</v>
      </c>
      <c r="F344" t="e">
        <f>OR(#REF!=1,#REF!= 1)</f>
        <v>#REF!</v>
      </c>
      <c r="G344" t="e">
        <f>IF(#REF!=1,OR(E344="1",E344="3",F344=TRUE),OR(E344="2",E344="3"))</f>
        <v>#REF!</v>
      </c>
      <c r="H344" t="e">
        <f>IF(#REF!=2,OR(E344="1",E344="3",F344=TRUE),OR(E344="2",E344="3"))</f>
        <v>#REF!</v>
      </c>
      <c r="I344" t="e">
        <f>AND(G344=TRUE,#REF!=1)</f>
        <v>#REF!</v>
      </c>
      <c r="J344" t="e">
        <f>AND(H344=TRUE,#REF!=2)</f>
        <v>#REF!</v>
      </c>
      <c r="K344" t="e">
        <f>IF(#REF!=1,K343+1,0)</f>
        <v>#REF!</v>
      </c>
      <c r="L344" t="e">
        <f>IF(#REF!=2,L343+1,0)</f>
        <v>#REF!</v>
      </c>
      <c r="M344" t="e">
        <f>#REF!</f>
        <v>#REF!</v>
      </c>
      <c r="N344" t="e">
        <f>COUNTIFS(#REF!, "=1")</f>
        <v>#REF!</v>
      </c>
      <c r="O344" t="e">
        <f>COUNTIFS(#REF!, "=2")</f>
        <v>#REF!</v>
      </c>
      <c r="P344" t="e">
        <f>#REF!</f>
        <v>#REF!</v>
      </c>
    </row>
    <row r="345" spans="1:16" x14ac:dyDescent="0.25">
      <c r="A345" t="e">
        <f>AND(#REF!=2, COUNTIF(Tables!L$1:L$4,#REF!))</f>
        <v>#REF!</v>
      </c>
      <c r="B345" t="e">
        <f>AND(#REF!=1, COUNTIF(Tables!L$1:L$4,#REF!))</f>
        <v>#REF!</v>
      </c>
      <c r="C345" t="e">
        <f>AND(A345,#REF!= 0)</f>
        <v>#REF!</v>
      </c>
      <c r="D345" t="e">
        <f>AND(B345,#REF!= 0)</f>
        <v>#REF!</v>
      </c>
      <c r="E345" t="e">
        <f>isNetPoint(#REF!)</f>
        <v>#VALUE!</v>
      </c>
      <c r="F345" t="e">
        <f>OR(#REF!=1,#REF!= 1)</f>
        <v>#REF!</v>
      </c>
      <c r="G345" t="e">
        <f>IF(#REF!=1,OR(E345="1",E345="3",F345=TRUE),OR(E345="2",E345="3"))</f>
        <v>#REF!</v>
      </c>
      <c r="H345" t="e">
        <f>IF(#REF!=2,OR(E345="1",E345="3",F345=TRUE),OR(E345="2",E345="3"))</f>
        <v>#REF!</v>
      </c>
      <c r="I345" t="e">
        <f>AND(G345=TRUE,#REF!=1)</f>
        <v>#REF!</v>
      </c>
      <c r="J345" t="e">
        <f>AND(H345=TRUE,#REF!=2)</f>
        <v>#REF!</v>
      </c>
      <c r="K345" t="e">
        <f>IF(#REF!=1,K344+1,0)</f>
        <v>#REF!</v>
      </c>
      <c r="L345" t="e">
        <f>IF(#REF!=2,L344+1,0)</f>
        <v>#REF!</v>
      </c>
      <c r="M345" t="e">
        <f>#REF!</f>
        <v>#REF!</v>
      </c>
      <c r="N345" t="e">
        <f>COUNTIFS(#REF!, "=1")</f>
        <v>#REF!</v>
      </c>
      <c r="O345" t="e">
        <f>COUNTIFS(#REF!, "=2")</f>
        <v>#REF!</v>
      </c>
      <c r="P345" t="e">
        <f>#REF!</f>
        <v>#REF!</v>
      </c>
    </row>
    <row r="346" spans="1:16" x14ac:dyDescent="0.25">
      <c r="A346" t="e">
        <f>AND(#REF!=2, COUNTIF(Tables!L$1:L$4,#REF!))</f>
        <v>#REF!</v>
      </c>
      <c r="B346" t="e">
        <f>AND(#REF!=1, COUNTIF(Tables!L$1:L$4,#REF!))</f>
        <v>#REF!</v>
      </c>
      <c r="C346" t="e">
        <f>AND(A346,#REF!= 0)</f>
        <v>#REF!</v>
      </c>
      <c r="D346" t="e">
        <f>AND(B346,#REF!= 0)</f>
        <v>#REF!</v>
      </c>
      <c r="E346" t="e">
        <f>isNetPoint(#REF!)</f>
        <v>#VALUE!</v>
      </c>
      <c r="F346" t="e">
        <f>OR(#REF!=1,#REF!= 1)</f>
        <v>#REF!</v>
      </c>
      <c r="G346" t="e">
        <f>IF(#REF!=1,OR(E346="1",E346="3",F346=TRUE),OR(E346="2",E346="3"))</f>
        <v>#REF!</v>
      </c>
      <c r="H346" t="e">
        <f>IF(#REF!=2,OR(E346="1",E346="3",F346=TRUE),OR(E346="2",E346="3"))</f>
        <v>#REF!</v>
      </c>
      <c r="I346" t="e">
        <f>AND(G346=TRUE,#REF!=1)</f>
        <v>#REF!</v>
      </c>
      <c r="J346" t="e">
        <f>AND(H346=TRUE,#REF!=2)</f>
        <v>#REF!</v>
      </c>
      <c r="K346" t="e">
        <f>IF(#REF!=1,K345+1,0)</f>
        <v>#REF!</v>
      </c>
      <c r="L346" t="e">
        <f>IF(#REF!=2,L345+1,0)</f>
        <v>#REF!</v>
      </c>
      <c r="M346" t="e">
        <f>#REF!</f>
        <v>#REF!</v>
      </c>
      <c r="N346" t="e">
        <f>COUNTIFS(#REF!, "=1")</f>
        <v>#REF!</v>
      </c>
      <c r="O346" t="e">
        <f>COUNTIFS(#REF!, "=2")</f>
        <v>#REF!</v>
      </c>
      <c r="P346" t="e">
        <f>#REF!</f>
        <v>#REF!</v>
      </c>
    </row>
    <row r="347" spans="1:16" x14ac:dyDescent="0.25">
      <c r="A347" t="e">
        <f>AND(#REF!=2, COUNTIF(Tables!L$1:L$4,#REF!))</f>
        <v>#REF!</v>
      </c>
      <c r="B347" t="e">
        <f>AND(#REF!=1, COUNTIF(Tables!L$1:L$4,#REF!))</f>
        <v>#REF!</v>
      </c>
      <c r="C347" t="e">
        <f>AND(A347,#REF!= 0)</f>
        <v>#REF!</v>
      </c>
      <c r="D347" t="e">
        <f>AND(B347,#REF!= 0)</f>
        <v>#REF!</v>
      </c>
      <c r="E347" t="e">
        <f>isNetPoint(#REF!)</f>
        <v>#VALUE!</v>
      </c>
      <c r="F347" t="e">
        <f>OR(#REF!=1,#REF!= 1)</f>
        <v>#REF!</v>
      </c>
      <c r="G347" t="e">
        <f>IF(#REF!=1,OR(E347="1",E347="3",F347=TRUE),OR(E347="2",E347="3"))</f>
        <v>#REF!</v>
      </c>
      <c r="H347" t="e">
        <f>IF(#REF!=2,OR(E347="1",E347="3",F347=TRUE),OR(E347="2",E347="3"))</f>
        <v>#REF!</v>
      </c>
      <c r="I347" t="e">
        <f>AND(G347=TRUE,#REF!=1)</f>
        <v>#REF!</v>
      </c>
      <c r="J347" t="e">
        <f>AND(H347=TRUE,#REF!=2)</f>
        <v>#REF!</v>
      </c>
      <c r="K347" t="e">
        <f>IF(#REF!=1,K346+1,0)</f>
        <v>#REF!</v>
      </c>
      <c r="L347" t="e">
        <f>IF(#REF!=2,L346+1,0)</f>
        <v>#REF!</v>
      </c>
      <c r="M347" t="e">
        <f>#REF!</f>
        <v>#REF!</v>
      </c>
      <c r="N347" t="e">
        <f>COUNTIFS(#REF!, "=1")</f>
        <v>#REF!</v>
      </c>
      <c r="O347" t="e">
        <f>COUNTIFS(#REF!, "=2")</f>
        <v>#REF!</v>
      </c>
      <c r="P347" t="e">
        <f>#REF!</f>
        <v>#REF!</v>
      </c>
    </row>
    <row r="348" spans="1:16" x14ac:dyDescent="0.25">
      <c r="A348" t="e">
        <f>AND(#REF!=2, COUNTIF(Tables!L$1:L$4,#REF!))</f>
        <v>#REF!</v>
      </c>
      <c r="B348" t="e">
        <f>AND(#REF!=1, COUNTIF(Tables!L$1:L$4,#REF!))</f>
        <v>#REF!</v>
      </c>
      <c r="C348" t="e">
        <f>AND(A348,#REF!= 0)</f>
        <v>#REF!</v>
      </c>
      <c r="D348" t="e">
        <f>AND(B348,#REF!= 0)</f>
        <v>#REF!</v>
      </c>
      <c r="E348" t="e">
        <f>isNetPoint(#REF!)</f>
        <v>#VALUE!</v>
      </c>
      <c r="F348" t="e">
        <f>OR(#REF!=1,#REF!= 1)</f>
        <v>#REF!</v>
      </c>
      <c r="G348" t="e">
        <f>IF(#REF!=1,OR(E348="1",E348="3",F348=TRUE),OR(E348="2",E348="3"))</f>
        <v>#REF!</v>
      </c>
      <c r="H348" t="e">
        <f>IF(#REF!=2,OR(E348="1",E348="3",F348=TRUE),OR(E348="2",E348="3"))</f>
        <v>#REF!</v>
      </c>
      <c r="I348" t="e">
        <f>AND(G348=TRUE,#REF!=1)</f>
        <v>#REF!</v>
      </c>
      <c r="J348" t="e">
        <f>AND(H348=TRUE,#REF!=2)</f>
        <v>#REF!</v>
      </c>
      <c r="K348" t="e">
        <f>IF(#REF!=1,K347+1,0)</f>
        <v>#REF!</v>
      </c>
      <c r="L348" t="e">
        <f>IF(#REF!=2,L347+1,0)</f>
        <v>#REF!</v>
      </c>
      <c r="M348" t="e">
        <f>#REF!</f>
        <v>#REF!</v>
      </c>
      <c r="N348" t="e">
        <f>COUNTIFS(#REF!, "=1")</f>
        <v>#REF!</v>
      </c>
      <c r="O348" t="e">
        <f>COUNTIFS(#REF!, "=2")</f>
        <v>#REF!</v>
      </c>
      <c r="P348" t="e">
        <f>#REF!</f>
        <v>#REF!</v>
      </c>
    </row>
    <row r="349" spans="1:16" x14ac:dyDescent="0.25">
      <c r="A349" t="e">
        <f>AND(#REF!=2, COUNTIF(Tables!L$1:L$4,#REF!))</f>
        <v>#REF!</v>
      </c>
      <c r="B349" t="e">
        <f>AND(#REF!=1, COUNTIF(Tables!L$1:L$4,#REF!))</f>
        <v>#REF!</v>
      </c>
      <c r="C349" t="e">
        <f>AND(A349,#REF!= 0)</f>
        <v>#REF!</v>
      </c>
      <c r="D349" t="e">
        <f>AND(B349,#REF!= 0)</f>
        <v>#REF!</v>
      </c>
      <c r="E349" t="e">
        <f>isNetPoint(#REF!)</f>
        <v>#VALUE!</v>
      </c>
      <c r="F349" t="e">
        <f>OR(#REF!=1,#REF!= 1)</f>
        <v>#REF!</v>
      </c>
      <c r="G349" t="e">
        <f>IF(#REF!=1,OR(E349="1",E349="3",F349=TRUE),OR(E349="2",E349="3"))</f>
        <v>#REF!</v>
      </c>
      <c r="H349" t="e">
        <f>IF(#REF!=2,OR(E349="1",E349="3",F349=TRUE),OR(E349="2",E349="3"))</f>
        <v>#REF!</v>
      </c>
      <c r="I349" t="e">
        <f>AND(G349=TRUE,#REF!=1)</f>
        <v>#REF!</v>
      </c>
      <c r="J349" t="e">
        <f>AND(H349=TRUE,#REF!=2)</f>
        <v>#REF!</v>
      </c>
      <c r="K349" t="e">
        <f>IF(#REF!=1,K348+1,0)</f>
        <v>#REF!</v>
      </c>
      <c r="L349" t="e">
        <f>IF(#REF!=2,L348+1,0)</f>
        <v>#REF!</v>
      </c>
      <c r="M349" t="e">
        <f>#REF!</f>
        <v>#REF!</v>
      </c>
      <c r="N349" t="e">
        <f>COUNTIFS(#REF!, "=1")</f>
        <v>#REF!</v>
      </c>
      <c r="O349" t="e">
        <f>COUNTIFS(#REF!, "=2")</f>
        <v>#REF!</v>
      </c>
      <c r="P349" t="e">
        <f>#REF!</f>
        <v>#REF!</v>
      </c>
    </row>
    <row r="350" spans="1:16" x14ac:dyDescent="0.25">
      <c r="A350" t="e">
        <f>AND(#REF!=2, COUNTIF(Tables!L$1:L$4,#REF!))</f>
        <v>#REF!</v>
      </c>
      <c r="B350" t="e">
        <f>AND(#REF!=1, COUNTIF(Tables!L$1:L$4,#REF!))</f>
        <v>#REF!</v>
      </c>
      <c r="C350" t="e">
        <f>AND(A350,#REF!= 0)</f>
        <v>#REF!</v>
      </c>
      <c r="D350" t="e">
        <f>AND(B350,#REF!= 0)</f>
        <v>#REF!</v>
      </c>
      <c r="E350" t="e">
        <f>isNetPoint(#REF!)</f>
        <v>#VALUE!</v>
      </c>
      <c r="F350" t="e">
        <f>OR(#REF!=1,#REF!= 1)</f>
        <v>#REF!</v>
      </c>
      <c r="G350" t="e">
        <f>IF(#REF!=1,OR(E350="1",E350="3",F350=TRUE),OR(E350="2",E350="3"))</f>
        <v>#REF!</v>
      </c>
      <c r="H350" t="e">
        <f>IF(#REF!=2,OR(E350="1",E350="3",F350=TRUE),OR(E350="2",E350="3"))</f>
        <v>#REF!</v>
      </c>
      <c r="I350" t="e">
        <f>AND(G350=TRUE,#REF!=1)</f>
        <v>#REF!</v>
      </c>
      <c r="J350" t="e">
        <f>AND(H350=TRUE,#REF!=2)</f>
        <v>#REF!</v>
      </c>
      <c r="K350" t="e">
        <f>IF(#REF!=1,K349+1,0)</f>
        <v>#REF!</v>
      </c>
      <c r="L350" t="e">
        <f>IF(#REF!=2,L349+1,0)</f>
        <v>#REF!</v>
      </c>
      <c r="M350" t="e">
        <f>#REF!</f>
        <v>#REF!</v>
      </c>
      <c r="N350" t="e">
        <f>COUNTIFS(#REF!, "=1")</f>
        <v>#REF!</v>
      </c>
      <c r="O350" t="e">
        <f>COUNTIFS(#REF!, "=2")</f>
        <v>#REF!</v>
      </c>
      <c r="P350" t="e">
        <f>#REF!</f>
        <v>#REF!</v>
      </c>
    </row>
    <row r="351" spans="1:16" x14ac:dyDescent="0.25">
      <c r="A351" t="e">
        <f>AND(#REF!=2, COUNTIF(Tables!L$1:L$4,#REF!))</f>
        <v>#REF!</v>
      </c>
      <c r="B351" t="e">
        <f>AND(#REF!=1, COUNTIF(Tables!L$1:L$4,#REF!))</f>
        <v>#REF!</v>
      </c>
      <c r="C351" t="e">
        <f>AND(A351,#REF!= 0)</f>
        <v>#REF!</v>
      </c>
      <c r="D351" t="e">
        <f>AND(B351,#REF!= 0)</f>
        <v>#REF!</v>
      </c>
      <c r="E351" t="e">
        <f>isNetPoint(#REF!)</f>
        <v>#VALUE!</v>
      </c>
      <c r="F351" t="e">
        <f>OR(#REF!=1,#REF!= 1)</f>
        <v>#REF!</v>
      </c>
      <c r="G351" t="e">
        <f>IF(#REF!=1,OR(E351="1",E351="3",F351=TRUE),OR(E351="2",E351="3"))</f>
        <v>#REF!</v>
      </c>
      <c r="H351" t="e">
        <f>IF(#REF!=2,OR(E351="1",E351="3",F351=TRUE),OR(E351="2",E351="3"))</f>
        <v>#REF!</v>
      </c>
      <c r="I351" t="e">
        <f>AND(G351=TRUE,#REF!=1)</f>
        <v>#REF!</v>
      </c>
      <c r="J351" t="e">
        <f>AND(H351=TRUE,#REF!=2)</f>
        <v>#REF!</v>
      </c>
      <c r="K351" t="e">
        <f>IF(#REF!=1,K350+1,0)</f>
        <v>#REF!</v>
      </c>
      <c r="L351" t="e">
        <f>IF(#REF!=2,L350+1,0)</f>
        <v>#REF!</v>
      </c>
      <c r="M351" t="e">
        <f>#REF!</f>
        <v>#REF!</v>
      </c>
      <c r="N351" t="e">
        <f>COUNTIFS(#REF!, "=1")</f>
        <v>#REF!</v>
      </c>
      <c r="O351" t="e">
        <f>COUNTIFS(#REF!, "=2")</f>
        <v>#REF!</v>
      </c>
      <c r="P351" t="e">
        <f>#REF!</f>
        <v>#REF!</v>
      </c>
    </row>
    <row r="352" spans="1:16" x14ac:dyDescent="0.25">
      <c r="A352" t="e">
        <f>AND(#REF!=2, COUNTIF(Tables!L$1:L$4,#REF!))</f>
        <v>#REF!</v>
      </c>
      <c r="B352" t="e">
        <f>AND(#REF!=1, COUNTIF(Tables!L$1:L$4,#REF!))</f>
        <v>#REF!</v>
      </c>
      <c r="C352" t="e">
        <f>AND(A352,#REF!= 0)</f>
        <v>#REF!</v>
      </c>
      <c r="D352" t="e">
        <f>AND(B352,#REF!= 0)</f>
        <v>#REF!</v>
      </c>
      <c r="E352" t="e">
        <f>isNetPoint(#REF!)</f>
        <v>#VALUE!</v>
      </c>
      <c r="F352" t="e">
        <f>OR(#REF!=1,#REF!= 1)</f>
        <v>#REF!</v>
      </c>
      <c r="G352" t="e">
        <f>IF(#REF!=1,OR(E352="1",E352="3",F352=TRUE),OR(E352="2",E352="3"))</f>
        <v>#REF!</v>
      </c>
      <c r="H352" t="e">
        <f>IF(#REF!=2,OR(E352="1",E352="3",F352=TRUE),OR(E352="2",E352="3"))</f>
        <v>#REF!</v>
      </c>
      <c r="I352" t="e">
        <f>AND(G352=TRUE,#REF!=1)</f>
        <v>#REF!</v>
      </c>
      <c r="J352" t="e">
        <f>AND(H352=TRUE,#REF!=2)</f>
        <v>#REF!</v>
      </c>
      <c r="K352" t="e">
        <f>IF(#REF!=1,K351+1,0)</f>
        <v>#REF!</v>
      </c>
      <c r="L352" t="e">
        <f>IF(#REF!=2,L351+1,0)</f>
        <v>#REF!</v>
      </c>
      <c r="M352" t="e">
        <f>#REF!</f>
        <v>#REF!</v>
      </c>
      <c r="N352" t="e">
        <f>COUNTIFS(#REF!, "=1")</f>
        <v>#REF!</v>
      </c>
      <c r="O352" t="e">
        <f>COUNTIFS(#REF!, "=2")</f>
        <v>#REF!</v>
      </c>
      <c r="P352" t="e">
        <f>#REF!</f>
        <v>#REF!</v>
      </c>
    </row>
    <row r="353" spans="1:16" x14ac:dyDescent="0.25">
      <c r="A353" t="e">
        <f>AND(#REF!=2, COUNTIF(Tables!L$1:L$4,#REF!))</f>
        <v>#REF!</v>
      </c>
      <c r="B353" t="e">
        <f>AND(#REF!=1, COUNTIF(Tables!L$1:L$4,#REF!))</f>
        <v>#REF!</v>
      </c>
      <c r="C353" t="e">
        <f>AND(A353,#REF!= 0)</f>
        <v>#REF!</v>
      </c>
      <c r="D353" t="e">
        <f>AND(B353,#REF!= 0)</f>
        <v>#REF!</v>
      </c>
      <c r="E353" t="e">
        <f>isNetPoint(#REF!)</f>
        <v>#VALUE!</v>
      </c>
      <c r="F353" t="e">
        <f>OR(#REF!=1,#REF!= 1)</f>
        <v>#REF!</v>
      </c>
      <c r="G353" t="e">
        <f>IF(#REF!=1,OR(E353="1",E353="3",F353=TRUE),OR(E353="2",E353="3"))</f>
        <v>#REF!</v>
      </c>
      <c r="H353" t="e">
        <f>IF(#REF!=2,OR(E353="1",E353="3",F353=TRUE),OR(E353="2",E353="3"))</f>
        <v>#REF!</v>
      </c>
      <c r="I353" t="e">
        <f>AND(G353=TRUE,#REF!=1)</f>
        <v>#REF!</v>
      </c>
      <c r="J353" t="e">
        <f>AND(H353=TRUE,#REF!=2)</f>
        <v>#REF!</v>
      </c>
      <c r="K353" t="e">
        <f>IF(#REF!=1,K352+1,0)</f>
        <v>#REF!</v>
      </c>
      <c r="L353" t="e">
        <f>IF(#REF!=2,L352+1,0)</f>
        <v>#REF!</v>
      </c>
      <c r="M353" t="e">
        <f>#REF!</f>
        <v>#REF!</v>
      </c>
      <c r="N353" t="e">
        <f>COUNTIFS(#REF!, "=1")</f>
        <v>#REF!</v>
      </c>
      <c r="O353" t="e">
        <f>COUNTIFS(#REF!, "=2")</f>
        <v>#REF!</v>
      </c>
      <c r="P353" t="e">
        <f>#REF!</f>
        <v>#REF!</v>
      </c>
    </row>
    <row r="354" spans="1:16" x14ac:dyDescent="0.25">
      <c r="A354" t="e">
        <f>AND(#REF!=2, COUNTIF(Tables!L$1:L$4,#REF!))</f>
        <v>#REF!</v>
      </c>
      <c r="B354" t="e">
        <f>AND(#REF!=1, COUNTIF(Tables!L$1:L$4,#REF!))</f>
        <v>#REF!</v>
      </c>
      <c r="C354" t="e">
        <f>AND(A354,#REF!= 0)</f>
        <v>#REF!</v>
      </c>
      <c r="D354" t="e">
        <f>AND(B354,#REF!= 0)</f>
        <v>#REF!</v>
      </c>
      <c r="E354" t="e">
        <f>isNetPoint(#REF!)</f>
        <v>#VALUE!</v>
      </c>
      <c r="F354" t="e">
        <f>OR(#REF!=1,#REF!= 1)</f>
        <v>#REF!</v>
      </c>
      <c r="G354" t="e">
        <f>IF(#REF!=1,OR(E354="1",E354="3",F354=TRUE),OR(E354="2",E354="3"))</f>
        <v>#REF!</v>
      </c>
      <c r="H354" t="e">
        <f>IF(#REF!=2,OR(E354="1",E354="3",F354=TRUE),OR(E354="2",E354="3"))</f>
        <v>#REF!</v>
      </c>
      <c r="I354" t="e">
        <f>AND(G354=TRUE,#REF!=1)</f>
        <v>#REF!</v>
      </c>
      <c r="J354" t="e">
        <f>AND(H354=TRUE,#REF!=2)</f>
        <v>#REF!</v>
      </c>
      <c r="K354" t="e">
        <f>IF(#REF!=1,K353+1,0)</f>
        <v>#REF!</v>
      </c>
      <c r="L354" t="e">
        <f>IF(#REF!=2,L353+1,0)</f>
        <v>#REF!</v>
      </c>
      <c r="M354" t="e">
        <f>#REF!</f>
        <v>#REF!</v>
      </c>
      <c r="N354" t="e">
        <f>COUNTIFS(#REF!, "=1")</f>
        <v>#REF!</v>
      </c>
      <c r="O354" t="e">
        <f>COUNTIFS(#REF!, "=2")</f>
        <v>#REF!</v>
      </c>
      <c r="P354" t="e">
        <f>#REF!</f>
        <v>#REF!</v>
      </c>
    </row>
    <row r="355" spans="1:16" x14ac:dyDescent="0.25">
      <c r="A355" t="e">
        <f>AND(#REF!=2, COUNTIF(Tables!L$1:L$4,#REF!))</f>
        <v>#REF!</v>
      </c>
      <c r="B355" t="e">
        <f>AND(#REF!=1, COUNTIF(Tables!L$1:L$4,#REF!))</f>
        <v>#REF!</v>
      </c>
      <c r="C355" t="e">
        <f>AND(A355,#REF!= 0)</f>
        <v>#REF!</v>
      </c>
      <c r="D355" t="e">
        <f>AND(B355,#REF!= 0)</f>
        <v>#REF!</v>
      </c>
      <c r="E355" t="e">
        <f>isNetPoint(#REF!)</f>
        <v>#VALUE!</v>
      </c>
      <c r="F355" t="e">
        <f>OR(#REF!=1,#REF!= 1)</f>
        <v>#REF!</v>
      </c>
      <c r="G355" t="e">
        <f>IF(#REF!=1,OR(E355="1",E355="3",F355=TRUE),OR(E355="2",E355="3"))</f>
        <v>#REF!</v>
      </c>
      <c r="H355" t="e">
        <f>IF(#REF!=2,OR(E355="1",E355="3",F355=TRUE),OR(E355="2",E355="3"))</f>
        <v>#REF!</v>
      </c>
      <c r="I355" t="e">
        <f>AND(G355=TRUE,#REF!=1)</f>
        <v>#REF!</v>
      </c>
      <c r="J355" t="e">
        <f>AND(H355=TRUE,#REF!=2)</f>
        <v>#REF!</v>
      </c>
      <c r="K355" t="e">
        <f>IF(#REF!=1,K354+1,0)</f>
        <v>#REF!</v>
      </c>
      <c r="L355" t="e">
        <f>IF(#REF!=2,L354+1,0)</f>
        <v>#REF!</v>
      </c>
      <c r="M355" t="e">
        <f>#REF!</f>
        <v>#REF!</v>
      </c>
      <c r="N355" t="e">
        <f>COUNTIFS(#REF!, "=1")</f>
        <v>#REF!</v>
      </c>
      <c r="O355" t="e">
        <f>COUNTIFS(#REF!, "=2")</f>
        <v>#REF!</v>
      </c>
      <c r="P355" t="e">
        <f>#REF!</f>
        <v>#REF!</v>
      </c>
    </row>
    <row r="356" spans="1:16" x14ac:dyDescent="0.25">
      <c r="A356" t="e">
        <f>AND(#REF!=2, COUNTIF(Tables!L$1:L$4,#REF!))</f>
        <v>#REF!</v>
      </c>
      <c r="B356" t="e">
        <f>AND(#REF!=1, COUNTIF(Tables!L$1:L$4,#REF!))</f>
        <v>#REF!</v>
      </c>
      <c r="C356" t="e">
        <f>AND(A356,#REF!= 0)</f>
        <v>#REF!</v>
      </c>
      <c r="D356" t="e">
        <f>AND(B356,#REF!= 0)</f>
        <v>#REF!</v>
      </c>
      <c r="E356" t="e">
        <f>isNetPoint(#REF!)</f>
        <v>#VALUE!</v>
      </c>
      <c r="F356" t="e">
        <f>OR(#REF!=1,#REF!= 1)</f>
        <v>#REF!</v>
      </c>
      <c r="G356" t="e">
        <f>IF(#REF!=1,OR(E356="1",E356="3",F356=TRUE),OR(E356="2",E356="3"))</f>
        <v>#REF!</v>
      </c>
      <c r="H356" t="e">
        <f>IF(#REF!=2,OR(E356="1",E356="3",F356=TRUE),OR(E356="2",E356="3"))</f>
        <v>#REF!</v>
      </c>
      <c r="I356" t="e">
        <f>AND(G356=TRUE,#REF!=1)</f>
        <v>#REF!</v>
      </c>
      <c r="J356" t="e">
        <f>AND(H356=TRUE,#REF!=2)</f>
        <v>#REF!</v>
      </c>
      <c r="K356" t="e">
        <f>IF(#REF!=1,K355+1,0)</f>
        <v>#REF!</v>
      </c>
      <c r="L356" t="e">
        <f>IF(#REF!=2,L355+1,0)</f>
        <v>#REF!</v>
      </c>
      <c r="M356" t="e">
        <f>#REF!</f>
        <v>#REF!</v>
      </c>
      <c r="N356" t="e">
        <f>COUNTIFS(#REF!, "=1")</f>
        <v>#REF!</v>
      </c>
      <c r="O356" t="e">
        <f>COUNTIFS(#REF!, "=2")</f>
        <v>#REF!</v>
      </c>
      <c r="P356" t="e">
        <f>#REF!</f>
        <v>#REF!</v>
      </c>
    </row>
    <row r="357" spans="1:16" x14ac:dyDescent="0.25">
      <c r="A357" t="e">
        <f>AND(#REF!=2, COUNTIF(Tables!L$1:L$4,#REF!))</f>
        <v>#REF!</v>
      </c>
      <c r="B357" t="e">
        <f>AND(#REF!=1, COUNTIF(Tables!L$1:L$4,#REF!))</f>
        <v>#REF!</v>
      </c>
      <c r="C357" t="e">
        <f>AND(A357,#REF!= 0)</f>
        <v>#REF!</v>
      </c>
      <c r="D357" t="e">
        <f>AND(B357,#REF!= 0)</f>
        <v>#REF!</v>
      </c>
      <c r="E357" t="e">
        <f>isNetPoint(#REF!)</f>
        <v>#VALUE!</v>
      </c>
      <c r="F357" t="e">
        <f>OR(#REF!=1,#REF!= 1)</f>
        <v>#REF!</v>
      </c>
      <c r="G357" t="e">
        <f>IF(#REF!=1,OR(E357="1",E357="3",F357=TRUE),OR(E357="2",E357="3"))</f>
        <v>#REF!</v>
      </c>
      <c r="H357" t="e">
        <f>IF(#REF!=2,OR(E357="1",E357="3",F357=TRUE),OR(E357="2",E357="3"))</f>
        <v>#REF!</v>
      </c>
      <c r="I357" t="e">
        <f>AND(G357=TRUE,#REF!=1)</f>
        <v>#REF!</v>
      </c>
      <c r="J357" t="e">
        <f>AND(H357=TRUE,#REF!=2)</f>
        <v>#REF!</v>
      </c>
      <c r="K357" t="e">
        <f>IF(#REF!=1,K356+1,0)</f>
        <v>#REF!</v>
      </c>
      <c r="L357" t="e">
        <f>IF(#REF!=2,L356+1,0)</f>
        <v>#REF!</v>
      </c>
      <c r="M357" t="e">
        <f>#REF!</f>
        <v>#REF!</v>
      </c>
      <c r="N357" t="e">
        <f>COUNTIFS(#REF!, "=1")</f>
        <v>#REF!</v>
      </c>
      <c r="O357" t="e">
        <f>COUNTIFS(#REF!, "=2")</f>
        <v>#REF!</v>
      </c>
      <c r="P357" t="e">
        <f>#REF!</f>
        <v>#REF!</v>
      </c>
    </row>
    <row r="358" spans="1:16" x14ac:dyDescent="0.25">
      <c r="A358" t="e">
        <f>AND(#REF!=2, COUNTIF(Tables!L$1:L$4,#REF!))</f>
        <v>#REF!</v>
      </c>
      <c r="B358" t="e">
        <f>AND(#REF!=1, COUNTIF(Tables!L$1:L$4,#REF!))</f>
        <v>#REF!</v>
      </c>
      <c r="C358" t="e">
        <f>AND(A358,#REF!= 0)</f>
        <v>#REF!</v>
      </c>
      <c r="D358" t="e">
        <f>AND(B358,#REF!= 0)</f>
        <v>#REF!</v>
      </c>
      <c r="E358" t="e">
        <f>isNetPoint(#REF!)</f>
        <v>#VALUE!</v>
      </c>
      <c r="F358" t="e">
        <f>OR(#REF!=1,#REF!= 1)</f>
        <v>#REF!</v>
      </c>
      <c r="G358" t="e">
        <f>IF(#REF!=1,OR(E358="1",E358="3",F358=TRUE),OR(E358="2",E358="3"))</f>
        <v>#REF!</v>
      </c>
      <c r="H358" t="e">
        <f>IF(#REF!=2,OR(E358="1",E358="3",F358=TRUE),OR(E358="2",E358="3"))</f>
        <v>#REF!</v>
      </c>
      <c r="I358" t="e">
        <f>AND(G358=TRUE,#REF!=1)</f>
        <v>#REF!</v>
      </c>
      <c r="J358" t="e">
        <f>AND(H358=TRUE,#REF!=2)</f>
        <v>#REF!</v>
      </c>
      <c r="K358" t="e">
        <f>IF(#REF!=1,K357+1,0)</f>
        <v>#REF!</v>
      </c>
      <c r="L358" t="e">
        <f>IF(#REF!=2,L357+1,0)</f>
        <v>#REF!</v>
      </c>
      <c r="M358" t="e">
        <f>#REF!</f>
        <v>#REF!</v>
      </c>
      <c r="N358" t="e">
        <f>COUNTIFS(#REF!, "=1")</f>
        <v>#REF!</v>
      </c>
      <c r="O358" t="e">
        <f>COUNTIFS(#REF!, "=2")</f>
        <v>#REF!</v>
      </c>
      <c r="P358" t="e">
        <f>#REF!</f>
        <v>#REF!</v>
      </c>
    </row>
    <row r="359" spans="1:16" x14ac:dyDescent="0.25">
      <c r="A359" t="e">
        <f>AND(#REF!=2, COUNTIF(Tables!L$1:L$4,#REF!))</f>
        <v>#REF!</v>
      </c>
      <c r="B359" t="e">
        <f>AND(#REF!=1, COUNTIF(Tables!L$1:L$4,#REF!))</f>
        <v>#REF!</v>
      </c>
      <c r="C359" t="e">
        <f>AND(A359,#REF!= 0)</f>
        <v>#REF!</v>
      </c>
      <c r="D359" t="e">
        <f>AND(B359,#REF!= 0)</f>
        <v>#REF!</v>
      </c>
      <c r="E359" t="e">
        <f>isNetPoint(#REF!)</f>
        <v>#VALUE!</v>
      </c>
      <c r="F359" t="e">
        <f>OR(#REF!=1,#REF!= 1)</f>
        <v>#REF!</v>
      </c>
      <c r="G359" t="e">
        <f>IF(#REF!=1,OR(E359="1",E359="3",F359=TRUE),OR(E359="2",E359="3"))</f>
        <v>#REF!</v>
      </c>
      <c r="H359" t="e">
        <f>IF(#REF!=2,OR(E359="1",E359="3",F359=TRUE),OR(E359="2",E359="3"))</f>
        <v>#REF!</v>
      </c>
      <c r="I359" t="e">
        <f>AND(G359=TRUE,#REF!=1)</f>
        <v>#REF!</v>
      </c>
      <c r="J359" t="e">
        <f>AND(H359=TRUE,#REF!=2)</f>
        <v>#REF!</v>
      </c>
      <c r="K359" t="e">
        <f>IF(#REF!=1,K358+1,0)</f>
        <v>#REF!</v>
      </c>
      <c r="L359" t="e">
        <f>IF(#REF!=2,L358+1,0)</f>
        <v>#REF!</v>
      </c>
      <c r="M359" t="e">
        <f>#REF!</f>
        <v>#REF!</v>
      </c>
      <c r="N359" t="e">
        <f>COUNTIFS(#REF!, "=1")</f>
        <v>#REF!</v>
      </c>
      <c r="O359" t="e">
        <f>COUNTIFS(#REF!, "=2")</f>
        <v>#REF!</v>
      </c>
      <c r="P359" t="e">
        <f>#REF!</f>
        <v>#REF!</v>
      </c>
    </row>
    <row r="360" spans="1:16" x14ac:dyDescent="0.25">
      <c r="A360" t="e">
        <f>AND(#REF!=2, COUNTIF(Tables!L$1:L$4,#REF!))</f>
        <v>#REF!</v>
      </c>
      <c r="B360" t="e">
        <f>AND(#REF!=1, COUNTIF(Tables!L$1:L$4,#REF!))</f>
        <v>#REF!</v>
      </c>
      <c r="C360" t="e">
        <f>AND(A360,#REF!= 0)</f>
        <v>#REF!</v>
      </c>
      <c r="D360" t="e">
        <f>AND(B360,#REF!= 0)</f>
        <v>#REF!</v>
      </c>
      <c r="E360" t="e">
        <f>isNetPoint(#REF!)</f>
        <v>#VALUE!</v>
      </c>
      <c r="F360" t="e">
        <f>OR(#REF!=1,#REF!= 1)</f>
        <v>#REF!</v>
      </c>
      <c r="G360" t="e">
        <f>IF(#REF!=1,OR(E360="1",E360="3",F360=TRUE),OR(E360="2",E360="3"))</f>
        <v>#REF!</v>
      </c>
      <c r="H360" t="e">
        <f>IF(#REF!=2,OR(E360="1",E360="3",F360=TRUE),OR(E360="2",E360="3"))</f>
        <v>#REF!</v>
      </c>
      <c r="I360" t="e">
        <f>AND(G360=TRUE,#REF!=1)</f>
        <v>#REF!</v>
      </c>
      <c r="J360" t="e">
        <f>AND(H360=TRUE,#REF!=2)</f>
        <v>#REF!</v>
      </c>
      <c r="K360" t="e">
        <f>IF(#REF!=1,K359+1,0)</f>
        <v>#REF!</v>
      </c>
      <c r="L360" t="e">
        <f>IF(#REF!=2,L359+1,0)</f>
        <v>#REF!</v>
      </c>
      <c r="M360" t="e">
        <f>#REF!</f>
        <v>#REF!</v>
      </c>
      <c r="N360" t="e">
        <f>COUNTIFS(#REF!, "=1")</f>
        <v>#REF!</v>
      </c>
      <c r="O360" t="e">
        <f>COUNTIFS(#REF!, "=2")</f>
        <v>#REF!</v>
      </c>
      <c r="P360" t="e">
        <f>#REF!</f>
        <v>#REF!</v>
      </c>
    </row>
    <row r="361" spans="1:16" x14ac:dyDescent="0.25">
      <c r="A361" t="e">
        <f>AND(#REF!=2, COUNTIF(Tables!L$1:L$4,#REF!))</f>
        <v>#REF!</v>
      </c>
      <c r="B361" t="e">
        <f>AND(#REF!=1, COUNTIF(Tables!L$1:L$4,#REF!))</f>
        <v>#REF!</v>
      </c>
      <c r="C361" t="e">
        <f>AND(A361,#REF!= 0)</f>
        <v>#REF!</v>
      </c>
      <c r="D361" t="e">
        <f>AND(B361,#REF!= 0)</f>
        <v>#REF!</v>
      </c>
      <c r="E361" t="e">
        <f>isNetPoint(#REF!)</f>
        <v>#VALUE!</v>
      </c>
      <c r="F361" t="e">
        <f>OR(#REF!=1,#REF!= 1)</f>
        <v>#REF!</v>
      </c>
      <c r="G361" t="e">
        <f>IF(#REF!=1,OR(E361="1",E361="3",F361=TRUE),OR(E361="2",E361="3"))</f>
        <v>#REF!</v>
      </c>
      <c r="H361" t="e">
        <f>IF(#REF!=2,OR(E361="1",E361="3",F361=TRUE),OR(E361="2",E361="3"))</f>
        <v>#REF!</v>
      </c>
      <c r="I361" t="e">
        <f>AND(G361=TRUE,#REF!=1)</f>
        <v>#REF!</v>
      </c>
      <c r="J361" t="e">
        <f>AND(H361=TRUE,#REF!=2)</f>
        <v>#REF!</v>
      </c>
      <c r="K361" t="e">
        <f>IF(#REF!=1,K360+1,0)</f>
        <v>#REF!</v>
      </c>
      <c r="L361" t="e">
        <f>IF(#REF!=2,L360+1,0)</f>
        <v>#REF!</v>
      </c>
      <c r="M361" t="e">
        <f>#REF!</f>
        <v>#REF!</v>
      </c>
      <c r="N361" t="e">
        <f>COUNTIFS(#REF!, "=1")</f>
        <v>#REF!</v>
      </c>
      <c r="O361" t="e">
        <f>COUNTIFS(#REF!, "=2")</f>
        <v>#REF!</v>
      </c>
      <c r="P361" t="e">
        <f>#REF!</f>
        <v>#REF!</v>
      </c>
    </row>
    <row r="362" spans="1:16" x14ac:dyDescent="0.25">
      <c r="A362" t="e">
        <f>AND(#REF!=2, COUNTIF(Tables!L$1:L$4,#REF!))</f>
        <v>#REF!</v>
      </c>
      <c r="B362" t="e">
        <f>AND(#REF!=1, COUNTIF(Tables!L$1:L$4,#REF!))</f>
        <v>#REF!</v>
      </c>
      <c r="C362" t="e">
        <f>AND(A362,#REF!= 0)</f>
        <v>#REF!</v>
      </c>
      <c r="D362" t="e">
        <f>AND(B362,#REF!= 0)</f>
        <v>#REF!</v>
      </c>
      <c r="E362" t="e">
        <f>isNetPoint(#REF!)</f>
        <v>#VALUE!</v>
      </c>
      <c r="F362" t="e">
        <f>OR(#REF!=1,#REF!= 1)</f>
        <v>#REF!</v>
      </c>
      <c r="G362" t="e">
        <f>IF(#REF!=1,OR(E362="1",E362="3",F362=TRUE),OR(E362="2",E362="3"))</f>
        <v>#REF!</v>
      </c>
      <c r="H362" t="e">
        <f>IF(#REF!=2,OR(E362="1",E362="3",F362=TRUE),OR(E362="2",E362="3"))</f>
        <v>#REF!</v>
      </c>
      <c r="I362" t="e">
        <f>AND(G362=TRUE,#REF!=1)</f>
        <v>#REF!</v>
      </c>
      <c r="J362" t="e">
        <f>AND(H362=TRUE,#REF!=2)</f>
        <v>#REF!</v>
      </c>
      <c r="K362" t="e">
        <f>IF(#REF!=1,K361+1,0)</f>
        <v>#REF!</v>
      </c>
      <c r="L362" t="e">
        <f>IF(#REF!=2,L361+1,0)</f>
        <v>#REF!</v>
      </c>
      <c r="M362" t="e">
        <f>#REF!</f>
        <v>#REF!</v>
      </c>
      <c r="N362" t="e">
        <f>COUNTIFS(#REF!, "=1")</f>
        <v>#REF!</v>
      </c>
      <c r="O362" t="e">
        <f>COUNTIFS(#REF!, "=2")</f>
        <v>#REF!</v>
      </c>
      <c r="P362" t="e">
        <f>#REF!</f>
        <v>#REF!</v>
      </c>
    </row>
    <row r="363" spans="1:16" x14ac:dyDescent="0.25">
      <c r="A363" t="e">
        <f>AND(#REF!=2, COUNTIF(Tables!L$1:L$4,#REF!))</f>
        <v>#REF!</v>
      </c>
      <c r="B363" t="e">
        <f>AND(#REF!=1, COUNTIF(Tables!L$1:L$4,#REF!))</f>
        <v>#REF!</v>
      </c>
      <c r="C363" t="e">
        <f>AND(A363,#REF!= 0)</f>
        <v>#REF!</v>
      </c>
      <c r="D363" t="e">
        <f>AND(B363,#REF!= 0)</f>
        <v>#REF!</v>
      </c>
      <c r="E363" t="e">
        <f>isNetPoint(#REF!)</f>
        <v>#VALUE!</v>
      </c>
      <c r="F363" t="e">
        <f>OR(#REF!=1,#REF!= 1)</f>
        <v>#REF!</v>
      </c>
      <c r="G363" t="e">
        <f>IF(#REF!=1,OR(E363="1",E363="3",F363=TRUE),OR(E363="2",E363="3"))</f>
        <v>#REF!</v>
      </c>
      <c r="H363" t="e">
        <f>IF(#REF!=2,OR(E363="1",E363="3",F363=TRUE),OR(E363="2",E363="3"))</f>
        <v>#REF!</v>
      </c>
      <c r="I363" t="e">
        <f>AND(G363=TRUE,#REF!=1)</f>
        <v>#REF!</v>
      </c>
      <c r="J363" t="e">
        <f>AND(H363=TRUE,#REF!=2)</f>
        <v>#REF!</v>
      </c>
      <c r="K363" t="e">
        <f>IF(#REF!=1,K362+1,0)</f>
        <v>#REF!</v>
      </c>
      <c r="L363" t="e">
        <f>IF(#REF!=2,L362+1,0)</f>
        <v>#REF!</v>
      </c>
      <c r="M363" t="e">
        <f>#REF!</f>
        <v>#REF!</v>
      </c>
      <c r="N363" t="e">
        <f>COUNTIFS(#REF!, "=1")</f>
        <v>#REF!</v>
      </c>
      <c r="O363" t="e">
        <f>COUNTIFS(#REF!, "=2")</f>
        <v>#REF!</v>
      </c>
      <c r="P363" t="e">
        <f>#REF!</f>
        <v>#REF!</v>
      </c>
    </row>
    <row r="364" spans="1:16" x14ac:dyDescent="0.25">
      <c r="A364" t="e">
        <f>AND(#REF!=2, COUNTIF(Tables!L$1:L$4,#REF!))</f>
        <v>#REF!</v>
      </c>
      <c r="B364" t="e">
        <f>AND(#REF!=1, COUNTIF(Tables!L$1:L$4,#REF!))</f>
        <v>#REF!</v>
      </c>
      <c r="C364" t="e">
        <f>AND(A364,#REF!= 0)</f>
        <v>#REF!</v>
      </c>
      <c r="D364" t="e">
        <f>AND(B364,#REF!= 0)</f>
        <v>#REF!</v>
      </c>
      <c r="E364" t="e">
        <f>isNetPoint(#REF!)</f>
        <v>#VALUE!</v>
      </c>
      <c r="F364" t="e">
        <f>OR(#REF!=1,#REF!= 1)</f>
        <v>#REF!</v>
      </c>
      <c r="G364" t="e">
        <f>IF(#REF!=1,OR(E364="1",E364="3",F364=TRUE),OR(E364="2",E364="3"))</f>
        <v>#REF!</v>
      </c>
      <c r="H364" t="e">
        <f>IF(#REF!=2,OR(E364="1",E364="3",F364=TRUE),OR(E364="2",E364="3"))</f>
        <v>#REF!</v>
      </c>
      <c r="I364" t="e">
        <f>AND(G364=TRUE,#REF!=1)</f>
        <v>#REF!</v>
      </c>
      <c r="J364" t="e">
        <f>AND(H364=TRUE,#REF!=2)</f>
        <v>#REF!</v>
      </c>
      <c r="K364" t="e">
        <f>IF(#REF!=1,K363+1,0)</f>
        <v>#REF!</v>
      </c>
      <c r="L364" t="e">
        <f>IF(#REF!=2,L363+1,0)</f>
        <v>#REF!</v>
      </c>
      <c r="M364" t="e">
        <f>#REF!</f>
        <v>#REF!</v>
      </c>
      <c r="N364" t="e">
        <f>COUNTIFS(#REF!, "=1")</f>
        <v>#REF!</v>
      </c>
      <c r="O364" t="e">
        <f>COUNTIFS(#REF!, "=2")</f>
        <v>#REF!</v>
      </c>
      <c r="P364" t="e">
        <f>#REF!</f>
        <v>#REF!</v>
      </c>
    </row>
    <row r="365" spans="1:16" x14ac:dyDescent="0.25">
      <c r="A365" t="e">
        <f>AND(#REF!=2, COUNTIF(Tables!L$1:L$4,#REF!))</f>
        <v>#REF!</v>
      </c>
      <c r="B365" t="e">
        <f>AND(#REF!=1, COUNTIF(Tables!L$1:L$4,#REF!))</f>
        <v>#REF!</v>
      </c>
      <c r="C365" t="e">
        <f>AND(A365,#REF!= 0)</f>
        <v>#REF!</v>
      </c>
      <c r="D365" t="e">
        <f>AND(B365,#REF!= 0)</f>
        <v>#REF!</v>
      </c>
      <c r="E365" t="e">
        <f>isNetPoint(#REF!)</f>
        <v>#VALUE!</v>
      </c>
      <c r="F365" t="e">
        <f>OR(#REF!=1,#REF!= 1)</f>
        <v>#REF!</v>
      </c>
      <c r="G365" t="e">
        <f>IF(#REF!=1,OR(E365="1",E365="3",F365=TRUE),OR(E365="2",E365="3"))</f>
        <v>#REF!</v>
      </c>
      <c r="H365" t="e">
        <f>IF(#REF!=2,OR(E365="1",E365="3",F365=TRUE),OR(E365="2",E365="3"))</f>
        <v>#REF!</v>
      </c>
      <c r="I365" t="e">
        <f>AND(G365=TRUE,#REF!=1)</f>
        <v>#REF!</v>
      </c>
      <c r="J365" t="e">
        <f>AND(H365=TRUE,#REF!=2)</f>
        <v>#REF!</v>
      </c>
      <c r="K365" t="e">
        <f>IF(#REF!=1,K364+1,0)</f>
        <v>#REF!</v>
      </c>
      <c r="L365" t="e">
        <f>IF(#REF!=2,L364+1,0)</f>
        <v>#REF!</v>
      </c>
      <c r="M365" t="e">
        <f>#REF!</f>
        <v>#REF!</v>
      </c>
      <c r="N365" t="e">
        <f>COUNTIFS(#REF!, "=1")</f>
        <v>#REF!</v>
      </c>
      <c r="O365" t="e">
        <f>COUNTIFS(#REF!, "=2")</f>
        <v>#REF!</v>
      </c>
      <c r="P365" t="e">
        <f>#REF!</f>
        <v>#REF!</v>
      </c>
    </row>
    <row r="366" spans="1:16" x14ac:dyDescent="0.25">
      <c r="A366" t="e">
        <f>AND(#REF!=2, COUNTIF(Tables!L$1:L$4,#REF!))</f>
        <v>#REF!</v>
      </c>
      <c r="B366" t="e">
        <f>AND(#REF!=1, COUNTIF(Tables!L$1:L$4,#REF!))</f>
        <v>#REF!</v>
      </c>
      <c r="C366" t="e">
        <f>AND(A366,#REF!= 0)</f>
        <v>#REF!</v>
      </c>
      <c r="D366" t="e">
        <f>AND(B366,#REF!= 0)</f>
        <v>#REF!</v>
      </c>
      <c r="E366" t="e">
        <f>isNetPoint(#REF!)</f>
        <v>#VALUE!</v>
      </c>
      <c r="F366" t="e">
        <f>OR(#REF!=1,#REF!= 1)</f>
        <v>#REF!</v>
      </c>
      <c r="G366" t="e">
        <f>IF(#REF!=1,OR(E366="1",E366="3",F366=TRUE),OR(E366="2",E366="3"))</f>
        <v>#REF!</v>
      </c>
      <c r="H366" t="e">
        <f>IF(#REF!=2,OR(E366="1",E366="3",F366=TRUE),OR(E366="2",E366="3"))</f>
        <v>#REF!</v>
      </c>
      <c r="I366" t="e">
        <f>AND(G366=TRUE,#REF!=1)</f>
        <v>#REF!</v>
      </c>
      <c r="J366" t="e">
        <f>AND(H366=TRUE,#REF!=2)</f>
        <v>#REF!</v>
      </c>
      <c r="K366" t="e">
        <f>IF(#REF!=1,K365+1,0)</f>
        <v>#REF!</v>
      </c>
      <c r="L366" t="e">
        <f>IF(#REF!=2,L365+1,0)</f>
        <v>#REF!</v>
      </c>
      <c r="M366" t="e">
        <f>#REF!</f>
        <v>#REF!</v>
      </c>
      <c r="N366" t="e">
        <f>COUNTIFS(#REF!, "=1")</f>
        <v>#REF!</v>
      </c>
      <c r="O366" t="e">
        <f>COUNTIFS(#REF!, "=2")</f>
        <v>#REF!</v>
      </c>
      <c r="P366" t="e">
        <f>#REF!</f>
        <v>#REF!</v>
      </c>
    </row>
    <row r="367" spans="1:16" x14ac:dyDescent="0.25">
      <c r="A367" t="e">
        <f>AND(#REF!=2, COUNTIF(Tables!L$1:L$4,#REF!))</f>
        <v>#REF!</v>
      </c>
      <c r="B367" t="e">
        <f>AND(#REF!=1, COUNTIF(Tables!L$1:L$4,#REF!))</f>
        <v>#REF!</v>
      </c>
      <c r="C367" t="e">
        <f>AND(A367,#REF!= 0)</f>
        <v>#REF!</v>
      </c>
      <c r="D367" t="e">
        <f>AND(B367,#REF!= 0)</f>
        <v>#REF!</v>
      </c>
      <c r="E367" t="e">
        <f>isNetPoint(#REF!)</f>
        <v>#VALUE!</v>
      </c>
      <c r="F367" t="e">
        <f>OR(#REF!=1,#REF!= 1)</f>
        <v>#REF!</v>
      </c>
      <c r="G367" t="e">
        <f>IF(#REF!=1,OR(E367="1",E367="3",F367=TRUE),OR(E367="2",E367="3"))</f>
        <v>#REF!</v>
      </c>
      <c r="H367" t="e">
        <f>IF(#REF!=2,OR(E367="1",E367="3",F367=TRUE),OR(E367="2",E367="3"))</f>
        <v>#REF!</v>
      </c>
      <c r="I367" t="e">
        <f>AND(G367=TRUE,#REF!=1)</f>
        <v>#REF!</v>
      </c>
      <c r="J367" t="e">
        <f>AND(H367=TRUE,#REF!=2)</f>
        <v>#REF!</v>
      </c>
      <c r="K367" t="e">
        <f>IF(#REF!=1,K366+1,0)</f>
        <v>#REF!</v>
      </c>
      <c r="L367" t="e">
        <f>IF(#REF!=2,L366+1,0)</f>
        <v>#REF!</v>
      </c>
      <c r="M367" t="e">
        <f>#REF!</f>
        <v>#REF!</v>
      </c>
      <c r="N367" t="e">
        <f>COUNTIFS(#REF!, "=1")</f>
        <v>#REF!</v>
      </c>
      <c r="O367" t="e">
        <f>COUNTIFS(#REF!, "=2")</f>
        <v>#REF!</v>
      </c>
      <c r="P367" t="e">
        <f>#REF!</f>
        <v>#REF!</v>
      </c>
    </row>
    <row r="368" spans="1:16" x14ac:dyDescent="0.25">
      <c r="A368" t="e">
        <f>AND(#REF!=2, COUNTIF(Tables!L$1:L$4,#REF!))</f>
        <v>#REF!</v>
      </c>
      <c r="B368" t="e">
        <f>AND(#REF!=1, COUNTIF(Tables!L$1:L$4,#REF!))</f>
        <v>#REF!</v>
      </c>
      <c r="C368" t="e">
        <f>AND(A368,#REF!= 0)</f>
        <v>#REF!</v>
      </c>
      <c r="D368" t="e">
        <f>AND(B368,#REF!= 0)</f>
        <v>#REF!</v>
      </c>
      <c r="E368" t="e">
        <f>isNetPoint(#REF!)</f>
        <v>#VALUE!</v>
      </c>
      <c r="F368" t="e">
        <f>OR(#REF!=1,#REF!= 1)</f>
        <v>#REF!</v>
      </c>
      <c r="G368" t="e">
        <f>IF(#REF!=1,OR(E368="1",E368="3",F368=TRUE),OR(E368="2",E368="3"))</f>
        <v>#REF!</v>
      </c>
      <c r="H368" t="e">
        <f>IF(#REF!=2,OR(E368="1",E368="3",F368=TRUE),OR(E368="2",E368="3"))</f>
        <v>#REF!</v>
      </c>
      <c r="I368" t="e">
        <f>AND(G368=TRUE,#REF!=1)</f>
        <v>#REF!</v>
      </c>
      <c r="J368" t="e">
        <f>AND(H368=TRUE,#REF!=2)</f>
        <v>#REF!</v>
      </c>
      <c r="K368" t="e">
        <f>IF(#REF!=1,K367+1,0)</f>
        <v>#REF!</v>
      </c>
      <c r="L368" t="e">
        <f>IF(#REF!=2,L367+1,0)</f>
        <v>#REF!</v>
      </c>
      <c r="M368" t="e">
        <f>#REF!</f>
        <v>#REF!</v>
      </c>
      <c r="N368" t="e">
        <f>COUNTIFS(#REF!, "=1")</f>
        <v>#REF!</v>
      </c>
      <c r="O368" t="e">
        <f>COUNTIFS(#REF!, "=2")</f>
        <v>#REF!</v>
      </c>
      <c r="P368" t="e">
        <f>#REF!</f>
        <v>#REF!</v>
      </c>
    </row>
    <row r="369" spans="1:16" x14ac:dyDescent="0.25">
      <c r="A369" t="e">
        <f>AND(#REF!=2, COUNTIF(Tables!L$1:L$4,#REF!))</f>
        <v>#REF!</v>
      </c>
      <c r="B369" t="e">
        <f>AND(#REF!=1, COUNTIF(Tables!L$1:L$4,#REF!))</f>
        <v>#REF!</v>
      </c>
      <c r="C369" t="e">
        <f>AND(A369,#REF!= 0)</f>
        <v>#REF!</v>
      </c>
      <c r="D369" t="e">
        <f>AND(B369,#REF!= 0)</f>
        <v>#REF!</v>
      </c>
      <c r="E369" t="e">
        <f>isNetPoint(#REF!)</f>
        <v>#VALUE!</v>
      </c>
      <c r="F369" t="e">
        <f>OR(#REF!=1,#REF!= 1)</f>
        <v>#REF!</v>
      </c>
      <c r="G369" t="e">
        <f>IF(#REF!=1,OR(E369="1",E369="3",F369=TRUE),OR(E369="2",E369="3"))</f>
        <v>#REF!</v>
      </c>
      <c r="H369" t="e">
        <f>IF(#REF!=2,OR(E369="1",E369="3",F369=TRUE),OR(E369="2",E369="3"))</f>
        <v>#REF!</v>
      </c>
      <c r="I369" t="e">
        <f>AND(G369=TRUE,#REF!=1)</f>
        <v>#REF!</v>
      </c>
      <c r="J369" t="e">
        <f>AND(H369=TRUE,#REF!=2)</f>
        <v>#REF!</v>
      </c>
      <c r="K369" t="e">
        <f>IF(#REF!=1,K368+1,0)</f>
        <v>#REF!</v>
      </c>
      <c r="L369" t="e">
        <f>IF(#REF!=2,L368+1,0)</f>
        <v>#REF!</v>
      </c>
      <c r="M369" t="e">
        <f>#REF!</f>
        <v>#REF!</v>
      </c>
      <c r="N369" t="e">
        <f>COUNTIFS(#REF!, "=1")</f>
        <v>#REF!</v>
      </c>
      <c r="O369" t="e">
        <f>COUNTIFS(#REF!, "=2")</f>
        <v>#REF!</v>
      </c>
      <c r="P369" t="e">
        <f>#REF!</f>
        <v>#REF!</v>
      </c>
    </row>
    <row r="370" spans="1:16" x14ac:dyDescent="0.25">
      <c r="A370" t="e">
        <f>AND(#REF!=2, COUNTIF(Tables!L$1:L$4,#REF!))</f>
        <v>#REF!</v>
      </c>
      <c r="B370" t="e">
        <f>AND(#REF!=1, COUNTIF(Tables!L$1:L$4,#REF!))</f>
        <v>#REF!</v>
      </c>
      <c r="C370" t="e">
        <f>AND(A370,#REF!= 0)</f>
        <v>#REF!</v>
      </c>
      <c r="D370" t="e">
        <f>AND(B370,#REF!= 0)</f>
        <v>#REF!</v>
      </c>
      <c r="E370" t="e">
        <f>isNetPoint(#REF!)</f>
        <v>#VALUE!</v>
      </c>
      <c r="F370" t="e">
        <f>OR(#REF!=1,#REF!= 1)</f>
        <v>#REF!</v>
      </c>
      <c r="G370" t="e">
        <f>IF(#REF!=1,OR(E370="1",E370="3",F370=TRUE),OR(E370="2",E370="3"))</f>
        <v>#REF!</v>
      </c>
      <c r="H370" t="e">
        <f>IF(#REF!=2,OR(E370="1",E370="3",F370=TRUE),OR(E370="2",E370="3"))</f>
        <v>#REF!</v>
      </c>
      <c r="I370" t="e">
        <f>AND(G370=TRUE,#REF!=1)</f>
        <v>#REF!</v>
      </c>
      <c r="J370" t="e">
        <f>AND(H370=TRUE,#REF!=2)</f>
        <v>#REF!</v>
      </c>
      <c r="K370" t="e">
        <f>IF(#REF!=1,K369+1,0)</f>
        <v>#REF!</v>
      </c>
      <c r="L370" t="e">
        <f>IF(#REF!=2,L369+1,0)</f>
        <v>#REF!</v>
      </c>
      <c r="M370" t="e">
        <f>#REF!</f>
        <v>#REF!</v>
      </c>
      <c r="N370" t="e">
        <f>COUNTIFS(#REF!, "=1")</f>
        <v>#REF!</v>
      </c>
      <c r="O370" t="e">
        <f>COUNTIFS(#REF!, "=2")</f>
        <v>#REF!</v>
      </c>
      <c r="P370" t="e">
        <f>#REF!</f>
        <v>#REF!</v>
      </c>
    </row>
    <row r="371" spans="1:16" x14ac:dyDescent="0.25">
      <c r="A371" t="e">
        <f>AND(#REF!=2, COUNTIF(Tables!L$1:L$4,#REF!))</f>
        <v>#REF!</v>
      </c>
      <c r="B371" t="e">
        <f>AND(#REF!=1, COUNTIF(Tables!L$1:L$4,#REF!))</f>
        <v>#REF!</v>
      </c>
      <c r="C371" t="e">
        <f>AND(A371,#REF!= 0)</f>
        <v>#REF!</v>
      </c>
      <c r="D371" t="e">
        <f>AND(B371,#REF!= 0)</f>
        <v>#REF!</v>
      </c>
      <c r="E371" t="e">
        <f>isNetPoint(#REF!)</f>
        <v>#VALUE!</v>
      </c>
      <c r="F371" t="e">
        <f>OR(#REF!=1,#REF!= 1)</f>
        <v>#REF!</v>
      </c>
      <c r="G371" t="e">
        <f>IF(#REF!=1,OR(E371="1",E371="3",F371=TRUE),OR(E371="2",E371="3"))</f>
        <v>#REF!</v>
      </c>
      <c r="H371" t="e">
        <f>IF(#REF!=2,OR(E371="1",E371="3",F371=TRUE),OR(E371="2",E371="3"))</f>
        <v>#REF!</v>
      </c>
      <c r="I371" t="e">
        <f>AND(G371=TRUE,#REF!=1)</f>
        <v>#REF!</v>
      </c>
      <c r="J371" t="e">
        <f>AND(H371=TRUE,#REF!=2)</f>
        <v>#REF!</v>
      </c>
      <c r="K371" t="e">
        <f>IF(#REF!=1,K370+1,0)</f>
        <v>#REF!</v>
      </c>
      <c r="L371" t="e">
        <f>IF(#REF!=2,L370+1,0)</f>
        <v>#REF!</v>
      </c>
      <c r="M371" t="e">
        <f>#REF!</f>
        <v>#REF!</v>
      </c>
      <c r="N371" t="e">
        <f>COUNTIFS(#REF!, "=1")</f>
        <v>#REF!</v>
      </c>
      <c r="O371" t="e">
        <f>COUNTIFS(#REF!, "=2")</f>
        <v>#REF!</v>
      </c>
      <c r="P371" t="e">
        <f>#REF!</f>
        <v>#REF!</v>
      </c>
    </row>
    <row r="372" spans="1:16" x14ac:dyDescent="0.25">
      <c r="A372" t="e">
        <f>AND(#REF!=2, COUNTIF(Tables!L$1:L$4,#REF!))</f>
        <v>#REF!</v>
      </c>
      <c r="B372" t="e">
        <f>AND(#REF!=1, COUNTIF(Tables!L$1:L$4,#REF!))</f>
        <v>#REF!</v>
      </c>
      <c r="C372" t="e">
        <f>AND(A372,#REF!= 0)</f>
        <v>#REF!</v>
      </c>
      <c r="D372" t="e">
        <f>AND(B372,#REF!= 0)</f>
        <v>#REF!</v>
      </c>
      <c r="E372" t="e">
        <f>isNetPoint(#REF!)</f>
        <v>#VALUE!</v>
      </c>
      <c r="F372" t="e">
        <f>OR(#REF!=1,#REF!= 1)</f>
        <v>#REF!</v>
      </c>
      <c r="G372" t="e">
        <f>IF(#REF!=1,OR(E372="1",E372="3",F372=TRUE),OR(E372="2",E372="3"))</f>
        <v>#REF!</v>
      </c>
      <c r="H372" t="e">
        <f>IF(#REF!=2,OR(E372="1",E372="3",F372=TRUE),OR(E372="2",E372="3"))</f>
        <v>#REF!</v>
      </c>
      <c r="I372" t="e">
        <f>AND(G372=TRUE,#REF!=1)</f>
        <v>#REF!</v>
      </c>
      <c r="J372" t="e">
        <f>AND(H372=TRUE,#REF!=2)</f>
        <v>#REF!</v>
      </c>
      <c r="K372" t="e">
        <f>IF(#REF!=1,K371+1,0)</f>
        <v>#REF!</v>
      </c>
      <c r="L372" t="e">
        <f>IF(#REF!=2,L371+1,0)</f>
        <v>#REF!</v>
      </c>
      <c r="M372" t="e">
        <f>#REF!</f>
        <v>#REF!</v>
      </c>
      <c r="N372" t="e">
        <f>COUNTIFS(#REF!, "=1")</f>
        <v>#REF!</v>
      </c>
      <c r="O372" t="e">
        <f>COUNTIFS(#REF!, "=2")</f>
        <v>#REF!</v>
      </c>
      <c r="P372" t="e">
        <f>#REF!</f>
        <v>#REF!</v>
      </c>
    </row>
    <row r="373" spans="1:16" x14ac:dyDescent="0.25">
      <c r="A373" t="e">
        <f>AND(#REF!=2, COUNTIF(Tables!L$1:L$4,#REF!))</f>
        <v>#REF!</v>
      </c>
      <c r="B373" t="e">
        <f>AND(#REF!=1, COUNTIF(Tables!L$1:L$4,#REF!))</f>
        <v>#REF!</v>
      </c>
      <c r="C373" t="e">
        <f>AND(A373,#REF!= 0)</f>
        <v>#REF!</v>
      </c>
      <c r="D373" t="e">
        <f>AND(B373,#REF!= 0)</f>
        <v>#REF!</v>
      </c>
      <c r="E373" t="e">
        <f>isNetPoint(#REF!)</f>
        <v>#VALUE!</v>
      </c>
      <c r="F373" t="e">
        <f>OR(#REF!=1,#REF!= 1)</f>
        <v>#REF!</v>
      </c>
      <c r="G373" t="e">
        <f>IF(#REF!=1,OR(E373="1",E373="3",F373=TRUE),OR(E373="2",E373="3"))</f>
        <v>#REF!</v>
      </c>
      <c r="H373" t="e">
        <f>IF(#REF!=2,OR(E373="1",E373="3",F373=TRUE),OR(E373="2",E373="3"))</f>
        <v>#REF!</v>
      </c>
      <c r="I373" t="e">
        <f>AND(G373=TRUE,#REF!=1)</f>
        <v>#REF!</v>
      </c>
      <c r="J373" t="e">
        <f>AND(H373=TRUE,#REF!=2)</f>
        <v>#REF!</v>
      </c>
      <c r="K373" t="e">
        <f>IF(#REF!=1,K372+1,0)</f>
        <v>#REF!</v>
      </c>
      <c r="L373" t="e">
        <f>IF(#REF!=2,L372+1,0)</f>
        <v>#REF!</v>
      </c>
      <c r="M373" t="e">
        <f>#REF!</f>
        <v>#REF!</v>
      </c>
      <c r="N373" t="e">
        <f>COUNTIFS(#REF!, "=1")</f>
        <v>#REF!</v>
      </c>
      <c r="O373" t="e">
        <f>COUNTIFS(#REF!, "=2")</f>
        <v>#REF!</v>
      </c>
      <c r="P373" t="e">
        <f>#REF!</f>
        <v>#REF!</v>
      </c>
    </row>
    <row r="374" spans="1:16" x14ac:dyDescent="0.25">
      <c r="A374" t="e">
        <f>AND(#REF!=2, COUNTIF(Tables!L$1:L$4,#REF!))</f>
        <v>#REF!</v>
      </c>
      <c r="B374" t="e">
        <f>AND(#REF!=1, COUNTIF(Tables!L$1:L$4,#REF!))</f>
        <v>#REF!</v>
      </c>
      <c r="C374" t="e">
        <f>AND(A374,#REF!= 0)</f>
        <v>#REF!</v>
      </c>
      <c r="D374" t="e">
        <f>AND(B374,#REF!= 0)</f>
        <v>#REF!</v>
      </c>
      <c r="E374" t="e">
        <f>isNetPoint(#REF!)</f>
        <v>#VALUE!</v>
      </c>
      <c r="F374" t="e">
        <f>OR(#REF!=1,#REF!= 1)</f>
        <v>#REF!</v>
      </c>
      <c r="G374" t="e">
        <f>IF(#REF!=1,OR(E374="1",E374="3",F374=TRUE),OR(E374="2",E374="3"))</f>
        <v>#REF!</v>
      </c>
      <c r="H374" t="e">
        <f>IF(#REF!=2,OR(E374="1",E374="3",F374=TRUE),OR(E374="2",E374="3"))</f>
        <v>#REF!</v>
      </c>
      <c r="I374" t="e">
        <f>AND(G374=TRUE,#REF!=1)</f>
        <v>#REF!</v>
      </c>
      <c r="J374" t="e">
        <f>AND(H374=TRUE,#REF!=2)</f>
        <v>#REF!</v>
      </c>
      <c r="K374" t="e">
        <f>IF(#REF!=1,K373+1,0)</f>
        <v>#REF!</v>
      </c>
      <c r="L374" t="e">
        <f>IF(#REF!=2,L373+1,0)</f>
        <v>#REF!</v>
      </c>
      <c r="M374" t="e">
        <f>#REF!</f>
        <v>#REF!</v>
      </c>
      <c r="N374" t="e">
        <f>COUNTIFS(#REF!, "=1")</f>
        <v>#REF!</v>
      </c>
      <c r="O374" t="e">
        <f>COUNTIFS(#REF!, "=2")</f>
        <v>#REF!</v>
      </c>
      <c r="P374" t="e">
        <f>#REF!</f>
        <v>#REF!</v>
      </c>
    </row>
    <row r="375" spans="1:16" x14ac:dyDescent="0.25">
      <c r="A375" t="e">
        <f>AND(#REF!=2, COUNTIF(Tables!L$1:L$4,#REF!))</f>
        <v>#REF!</v>
      </c>
      <c r="B375" t="e">
        <f>AND(#REF!=1, COUNTIF(Tables!L$1:L$4,#REF!))</f>
        <v>#REF!</v>
      </c>
      <c r="C375" t="e">
        <f>AND(A375,#REF!= 0)</f>
        <v>#REF!</v>
      </c>
      <c r="D375" t="e">
        <f>AND(B375,#REF!= 0)</f>
        <v>#REF!</v>
      </c>
      <c r="E375" t="e">
        <f>isNetPoint(#REF!)</f>
        <v>#VALUE!</v>
      </c>
      <c r="F375" t="e">
        <f>OR(#REF!=1,#REF!= 1)</f>
        <v>#REF!</v>
      </c>
      <c r="G375" t="e">
        <f>IF(#REF!=1,OR(E375="1",E375="3",F375=TRUE),OR(E375="2",E375="3"))</f>
        <v>#REF!</v>
      </c>
      <c r="H375" t="e">
        <f>IF(#REF!=2,OR(E375="1",E375="3",F375=TRUE),OR(E375="2",E375="3"))</f>
        <v>#REF!</v>
      </c>
      <c r="I375" t="e">
        <f>AND(G375=TRUE,#REF!=1)</f>
        <v>#REF!</v>
      </c>
      <c r="J375" t="e">
        <f>AND(H375=TRUE,#REF!=2)</f>
        <v>#REF!</v>
      </c>
      <c r="K375" t="e">
        <f>IF(#REF!=1,K374+1,0)</f>
        <v>#REF!</v>
      </c>
      <c r="L375" t="e">
        <f>IF(#REF!=2,L374+1,0)</f>
        <v>#REF!</v>
      </c>
      <c r="M375" t="e">
        <f>#REF!</f>
        <v>#REF!</v>
      </c>
      <c r="N375" t="e">
        <f>COUNTIFS(#REF!, "=1")</f>
        <v>#REF!</v>
      </c>
      <c r="O375" t="e">
        <f>COUNTIFS(#REF!, "=2")</f>
        <v>#REF!</v>
      </c>
      <c r="P375" t="e">
        <f>#REF!</f>
        <v>#REF!</v>
      </c>
    </row>
    <row r="376" spans="1:16" x14ac:dyDescent="0.25">
      <c r="A376" t="e">
        <f>AND(#REF!=2, COUNTIF(Tables!L$1:L$4,#REF!))</f>
        <v>#REF!</v>
      </c>
      <c r="B376" t="e">
        <f>AND(#REF!=1, COUNTIF(Tables!L$1:L$4,#REF!))</f>
        <v>#REF!</v>
      </c>
      <c r="C376" t="e">
        <f>AND(A376,#REF!= 0)</f>
        <v>#REF!</v>
      </c>
      <c r="D376" t="e">
        <f>AND(B376,#REF!= 0)</f>
        <v>#REF!</v>
      </c>
      <c r="E376" t="e">
        <f>isNetPoint(#REF!)</f>
        <v>#VALUE!</v>
      </c>
      <c r="F376" t="e">
        <f>OR(#REF!=1,#REF!= 1)</f>
        <v>#REF!</v>
      </c>
      <c r="G376" t="e">
        <f>IF(#REF!=1,OR(E376="1",E376="3",F376=TRUE),OR(E376="2",E376="3"))</f>
        <v>#REF!</v>
      </c>
      <c r="H376" t="e">
        <f>IF(#REF!=2,OR(E376="1",E376="3",F376=TRUE),OR(E376="2",E376="3"))</f>
        <v>#REF!</v>
      </c>
      <c r="I376" t="e">
        <f>AND(G376=TRUE,#REF!=1)</f>
        <v>#REF!</v>
      </c>
      <c r="J376" t="e">
        <f>AND(H376=TRUE,#REF!=2)</f>
        <v>#REF!</v>
      </c>
      <c r="K376" t="e">
        <f>IF(#REF!=1,K375+1,0)</f>
        <v>#REF!</v>
      </c>
      <c r="L376" t="e">
        <f>IF(#REF!=2,L375+1,0)</f>
        <v>#REF!</v>
      </c>
      <c r="M376" t="e">
        <f>#REF!</f>
        <v>#REF!</v>
      </c>
      <c r="N376" t="e">
        <f>COUNTIFS(#REF!, "=1")</f>
        <v>#REF!</v>
      </c>
      <c r="O376" t="e">
        <f>COUNTIFS(#REF!, "=2")</f>
        <v>#REF!</v>
      </c>
      <c r="P376" t="e">
        <f>#REF!</f>
        <v>#REF!</v>
      </c>
    </row>
    <row r="377" spans="1:16" x14ac:dyDescent="0.25">
      <c r="A377" t="e">
        <f>AND(#REF!=2, COUNTIF(Tables!L$1:L$4,#REF!))</f>
        <v>#REF!</v>
      </c>
      <c r="B377" t="e">
        <f>AND(#REF!=1, COUNTIF(Tables!L$1:L$4,#REF!))</f>
        <v>#REF!</v>
      </c>
      <c r="C377" t="e">
        <f>AND(A377,#REF!= 0)</f>
        <v>#REF!</v>
      </c>
      <c r="D377" t="e">
        <f>AND(B377,#REF!= 0)</f>
        <v>#REF!</v>
      </c>
      <c r="E377" t="e">
        <f>isNetPoint(#REF!)</f>
        <v>#VALUE!</v>
      </c>
      <c r="F377" t="e">
        <f>OR(#REF!=1,#REF!= 1)</f>
        <v>#REF!</v>
      </c>
      <c r="G377" t="e">
        <f>IF(#REF!=1,OR(E377="1",E377="3",F377=TRUE),OR(E377="2",E377="3"))</f>
        <v>#REF!</v>
      </c>
      <c r="H377" t="e">
        <f>IF(#REF!=2,OR(E377="1",E377="3",F377=TRUE),OR(E377="2",E377="3"))</f>
        <v>#REF!</v>
      </c>
      <c r="I377" t="e">
        <f>AND(G377=TRUE,#REF!=1)</f>
        <v>#REF!</v>
      </c>
      <c r="J377" t="e">
        <f>AND(H377=TRUE,#REF!=2)</f>
        <v>#REF!</v>
      </c>
      <c r="K377" t="e">
        <f>IF(#REF!=1,K376+1,0)</f>
        <v>#REF!</v>
      </c>
      <c r="L377" t="e">
        <f>IF(#REF!=2,L376+1,0)</f>
        <v>#REF!</v>
      </c>
      <c r="M377" t="e">
        <f>#REF!</f>
        <v>#REF!</v>
      </c>
      <c r="N377" t="e">
        <f>COUNTIFS(#REF!, "=1")</f>
        <v>#REF!</v>
      </c>
      <c r="O377" t="e">
        <f>COUNTIFS(#REF!, "=2")</f>
        <v>#REF!</v>
      </c>
      <c r="P377" t="e">
        <f>#REF!</f>
        <v>#REF!</v>
      </c>
    </row>
    <row r="378" spans="1:16" x14ac:dyDescent="0.25">
      <c r="A378" t="e">
        <f>AND(#REF!=2, COUNTIF(Tables!L$1:L$4,#REF!))</f>
        <v>#REF!</v>
      </c>
      <c r="B378" t="e">
        <f>AND(#REF!=1, COUNTIF(Tables!L$1:L$4,#REF!))</f>
        <v>#REF!</v>
      </c>
      <c r="C378" t="e">
        <f>AND(A378,#REF!= 0)</f>
        <v>#REF!</v>
      </c>
      <c r="D378" t="e">
        <f>AND(B378,#REF!= 0)</f>
        <v>#REF!</v>
      </c>
      <c r="E378" t="e">
        <f>isNetPoint(#REF!)</f>
        <v>#VALUE!</v>
      </c>
      <c r="F378" t="e">
        <f>OR(#REF!=1,#REF!= 1)</f>
        <v>#REF!</v>
      </c>
      <c r="G378" t="e">
        <f>IF(#REF!=1,OR(E378="1",E378="3",F378=TRUE),OR(E378="2",E378="3"))</f>
        <v>#REF!</v>
      </c>
      <c r="H378" t="e">
        <f>IF(#REF!=2,OR(E378="1",E378="3",F378=TRUE),OR(E378="2",E378="3"))</f>
        <v>#REF!</v>
      </c>
      <c r="I378" t="e">
        <f>AND(G378=TRUE,#REF!=1)</f>
        <v>#REF!</v>
      </c>
      <c r="J378" t="e">
        <f>AND(H378=TRUE,#REF!=2)</f>
        <v>#REF!</v>
      </c>
      <c r="K378" t="e">
        <f>IF(#REF!=1,K377+1,0)</f>
        <v>#REF!</v>
      </c>
      <c r="L378" t="e">
        <f>IF(#REF!=2,L377+1,0)</f>
        <v>#REF!</v>
      </c>
      <c r="M378" t="e">
        <f>#REF!</f>
        <v>#REF!</v>
      </c>
      <c r="N378" t="e">
        <f>COUNTIFS(#REF!, "=1")</f>
        <v>#REF!</v>
      </c>
      <c r="O378" t="e">
        <f>COUNTIFS(#REF!, "=2")</f>
        <v>#REF!</v>
      </c>
      <c r="P378" t="e">
        <f>#REF!</f>
        <v>#REF!</v>
      </c>
    </row>
    <row r="379" spans="1:16" x14ac:dyDescent="0.25">
      <c r="A379" t="e">
        <f>AND(#REF!=2, COUNTIF(Tables!L$1:L$4,#REF!))</f>
        <v>#REF!</v>
      </c>
      <c r="B379" t="e">
        <f>AND(#REF!=1, COUNTIF(Tables!L$1:L$4,#REF!))</f>
        <v>#REF!</v>
      </c>
      <c r="C379" t="e">
        <f>AND(A379,#REF!= 0)</f>
        <v>#REF!</v>
      </c>
      <c r="D379" t="e">
        <f>AND(B379,#REF!= 0)</f>
        <v>#REF!</v>
      </c>
      <c r="E379" t="e">
        <f>isNetPoint(#REF!)</f>
        <v>#VALUE!</v>
      </c>
      <c r="F379" t="e">
        <f>OR(#REF!=1,#REF!= 1)</f>
        <v>#REF!</v>
      </c>
      <c r="G379" t="e">
        <f>IF(#REF!=1,OR(E379="1",E379="3",F379=TRUE),OR(E379="2",E379="3"))</f>
        <v>#REF!</v>
      </c>
      <c r="H379" t="e">
        <f>IF(#REF!=2,OR(E379="1",E379="3",F379=TRUE),OR(E379="2",E379="3"))</f>
        <v>#REF!</v>
      </c>
      <c r="I379" t="e">
        <f>AND(G379=TRUE,#REF!=1)</f>
        <v>#REF!</v>
      </c>
      <c r="J379" t="e">
        <f>AND(H379=TRUE,#REF!=2)</f>
        <v>#REF!</v>
      </c>
      <c r="K379" t="e">
        <f>IF(#REF!=1,K378+1,0)</f>
        <v>#REF!</v>
      </c>
      <c r="L379" t="e">
        <f>IF(#REF!=2,L378+1,0)</f>
        <v>#REF!</v>
      </c>
      <c r="M379" t="e">
        <f>#REF!</f>
        <v>#REF!</v>
      </c>
      <c r="N379" t="e">
        <f>COUNTIFS(#REF!, "=1")</f>
        <v>#REF!</v>
      </c>
      <c r="O379" t="e">
        <f>COUNTIFS(#REF!, "=2")</f>
        <v>#REF!</v>
      </c>
      <c r="P379" t="e">
        <f>#REF!</f>
        <v>#REF!</v>
      </c>
    </row>
    <row r="380" spans="1:16" x14ac:dyDescent="0.25">
      <c r="A380" t="e">
        <f>AND(#REF!=2, COUNTIF(Tables!L$1:L$4,#REF!))</f>
        <v>#REF!</v>
      </c>
      <c r="B380" t="e">
        <f>AND(#REF!=1, COUNTIF(Tables!L$1:L$4,#REF!))</f>
        <v>#REF!</v>
      </c>
      <c r="C380" t="e">
        <f>AND(A380,#REF!= 0)</f>
        <v>#REF!</v>
      </c>
      <c r="D380" t="e">
        <f>AND(B380,#REF!= 0)</f>
        <v>#REF!</v>
      </c>
      <c r="E380" t="e">
        <f>isNetPoint(#REF!)</f>
        <v>#VALUE!</v>
      </c>
      <c r="F380" t="e">
        <f>OR(#REF!=1,#REF!= 1)</f>
        <v>#REF!</v>
      </c>
      <c r="G380" t="e">
        <f>IF(#REF!=1,OR(E380="1",E380="3",F380=TRUE),OR(E380="2",E380="3"))</f>
        <v>#REF!</v>
      </c>
      <c r="H380" t="e">
        <f>IF(#REF!=2,OR(E380="1",E380="3",F380=TRUE),OR(E380="2",E380="3"))</f>
        <v>#REF!</v>
      </c>
      <c r="I380" t="e">
        <f>AND(G380=TRUE,#REF!=1)</f>
        <v>#REF!</v>
      </c>
      <c r="J380" t="e">
        <f>AND(H380=TRUE,#REF!=2)</f>
        <v>#REF!</v>
      </c>
      <c r="K380" t="e">
        <f>IF(#REF!=1,K379+1,0)</f>
        <v>#REF!</v>
      </c>
      <c r="L380" t="e">
        <f>IF(#REF!=2,L379+1,0)</f>
        <v>#REF!</v>
      </c>
      <c r="M380" t="e">
        <f>#REF!</f>
        <v>#REF!</v>
      </c>
      <c r="N380" t="e">
        <f>COUNTIFS(#REF!, "=1")</f>
        <v>#REF!</v>
      </c>
      <c r="O380" t="e">
        <f>COUNTIFS(#REF!, "=2")</f>
        <v>#REF!</v>
      </c>
      <c r="P380" t="e">
        <f>#REF!</f>
        <v>#REF!</v>
      </c>
    </row>
    <row r="381" spans="1:16" x14ac:dyDescent="0.25">
      <c r="A381" t="e">
        <f>AND(#REF!=2, COUNTIF(Tables!L$1:L$4,#REF!))</f>
        <v>#REF!</v>
      </c>
      <c r="B381" t="e">
        <f>AND(#REF!=1, COUNTIF(Tables!L$1:L$4,#REF!))</f>
        <v>#REF!</v>
      </c>
      <c r="C381" t="e">
        <f>AND(A381,#REF!= 0)</f>
        <v>#REF!</v>
      </c>
      <c r="D381" t="e">
        <f>AND(B381,#REF!= 0)</f>
        <v>#REF!</v>
      </c>
      <c r="E381" t="e">
        <f>isNetPoint(#REF!)</f>
        <v>#VALUE!</v>
      </c>
      <c r="F381" t="e">
        <f>OR(#REF!=1,#REF!= 1)</f>
        <v>#REF!</v>
      </c>
      <c r="G381" t="e">
        <f>IF(#REF!=1,OR(E381="1",E381="3",F381=TRUE),OR(E381="2",E381="3"))</f>
        <v>#REF!</v>
      </c>
      <c r="H381" t="e">
        <f>IF(#REF!=2,OR(E381="1",E381="3",F381=TRUE),OR(E381="2",E381="3"))</f>
        <v>#REF!</v>
      </c>
      <c r="I381" t="e">
        <f>AND(G381=TRUE,#REF!=1)</f>
        <v>#REF!</v>
      </c>
      <c r="J381" t="e">
        <f>AND(H381=TRUE,#REF!=2)</f>
        <v>#REF!</v>
      </c>
      <c r="K381" t="e">
        <f>IF(#REF!=1,K380+1,0)</f>
        <v>#REF!</v>
      </c>
      <c r="L381" t="e">
        <f>IF(#REF!=2,L380+1,0)</f>
        <v>#REF!</v>
      </c>
      <c r="M381" t="e">
        <f>#REF!</f>
        <v>#REF!</v>
      </c>
      <c r="N381" t="e">
        <f>COUNTIFS(#REF!, "=1")</f>
        <v>#REF!</v>
      </c>
      <c r="O381" t="e">
        <f>COUNTIFS(#REF!, "=2")</f>
        <v>#REF!</v>
      </c>
      <c r="P381" t="e">
        <f>#REF!</f>
        <v>#REF!</v>
      </c>
    </row>
    <row r="382" spans="1:16" x14ac:dyDescent="0.25">
      <c r="A382" t="e">
        <f>AND(#REF!=2, COUNTIF(Tables!L$1:L$4,#REF!))</f>
        <v>#REF!</v>
      </c>
      <c r="B382" t="e">
        <f>AND(#REF!=1, COUNTIF(Tables!L$1:L$4,#REF!))</f>
        <v>#REF!</v>
      </c>
      <c r="C382" t="e">
        <f>AND(A382,#REF!= 0)</f>
        <v>#REF!</v>
      </c>
      <c r="D382" t="e">
        <f>AND(B382,#REF!= 0)</f>
        <v>#REF!</v>
      </c>
      <c r="E382" t="e">
        <f>isNetPoint(#REF!)</f>
        <v>#VALUE!</v>
      </c>
      <c r="F382" t="e">
        <f>OR(#REF!=1,#REF!= 1)</f>
        <v>#REF!</v>
      </c>
      <c r="G382" t="e">
        <f>IF(#REF!=1,OR(E382="1",E382="3",F382=TRUE),OR(E382="2",E382="3"))</f>
        <v>#REF!</v>
      </c>
      <c r="H382" t="e">
        <f>IF(#REF!=2,OR(E382="1",E382="3",F382=TRUE),OR(E382="2",E382="3"))</f>
        <v>#REF!</v>
      </c>
      <c r="I382" t="e">
        <f>AND(G382=TRUE,#REF!=1)</f>
        <v>#REF!</v>
      </c>
      <c r="J382" t="e">
        <f>AND(H382=TRUE,#REF!=2)</f>
        <v>#REF!</v>
      </c>
      <c r="K382" t="e">
        <f>IF(#REF!=1,K381+1,0)</f>
        <v>#REF!</v>
      </c>
      <c r="L382" t="e">
        <f>IF(#REF!=2,L381+1,0)</f>
        <v>#REF!</v>
      </c>
      <c r="M382" t="e">
        <f>#REF!</f>
        <v>#REF!</v>
      </c>
      <c r="N382" t="e">
        <f>COUNTIFS(#REF!, "=1")</f>
        <v>#REF!</v>
      </c>
      <c r="O382" t="e">
        <f>COUNTIFS(#REF!, "=2")</f>
        <v>#REF!</v>
      </c>
      <c r="P382" t="e">
        <f>#REF!</f>
        <v>#REF!</v>
      </c>
    </row>
    <row r="383" spans="1:16" x14ac:dyDescent="0.25">
      <c r="A383" t="e">
        <f>AND(#REF!=2, COUNTIF(Tables!L$1:L$4,#REF!))</f>
        <v>#REF!</v>
      </c>
      <c r="B383" t="e">
        <f>AND(#REF!=1, COUNTIF(Tables!L$1:L$4,#REF!))</f>
        <v>#REF!</v>
      </c>
      <c r="C383" t="e">
        <f>AND(A383,#REF!= 0)</f>
        <v>#REF!</v>
      </c>
      <c r="D383" t="e">
        <f>AND(B383,#REF!= 0)</f>
        <v>#REF!</v>
      </c>
      <c r="E383" t="e">
        <f>isNetPoint(#REF!)</f>
        <v>#VALUE!</v>
      </c>
      <c r="F383" t="e">
        <f>OR(#REF!=1,#REF!= 1)</f>
        <v>#REF!</v>
      </c>
      <c r="G383" t="e">
        <f>IF(#REF!=1,OR(E383="1",E383="3",F383=TRUE),OR(E383="2",E383="3"))</f>
        <v>#REF!</v>
      </c>
      <c r="H383" t="e">
        <f>IF(#REF!=2,OR(E383="1",E383="3",F383=TRUE),OR(E383="2",E383="3"))</f>
        <v>#REF!</v>
      </c>
      <c r="I383" t="e">
        <f>AND(G383=TRUE,#REF!=1)</f>
        <v>#REF!</v>
      </c>
      <c r="J383" t="e">
        <f>AND(H383=TRUE,#REF!=2)</f>
        <v>#REF!</v>
      </c>
      <c r="K383" t="e">
        <f>IF(#REF!=1,K382+1,0)</f>
        <v>#REF!</v>
      </c>
      <c r="L383" t="e">
        <f>IF(#REF!=2,L382+1,0)</f>
        <v>#REF!</v>
      </c>
      <c r="M383" t="e">
        <f>#REF!</f>
        <v>#REF!</v>
      </c>
      <c r="N383" t="e">
        <f>COUNTIFS(#REF!, "=1")</f>
        <v>#REF!</v>
      </c>
      <c r="O383" t="e">
        <f>COUNTIFS(#REF!, "=2")</f>
        <v>#REF!</v>
      </c>
      <c r="P383" t="e">
        <f>#REF!</f>
        <v>#REF!</v>
      </c>
    </row>
    <row r="384" spans="1:16" x14ac:dyDescent="0.25">
      <c r="A384" t="e">
        <f>AND(#REF!=2, COUNTIF(Tables!L$1:L$4,#REF!))</f>
        <v>#REF!</v>
      </c>
      <c r="B384" t="e">
        <f>AND(#REF!=1, COUNTIF(Tables!L$1:L$4,#REF!))</f>
        <v>#REF!</v>
      </c>
      <c r="C384" t="e">
        <f>AND(A384,#REF!= 0)</f>
        <v>#REF!</v>
      </c>
      <c r="D384" t="e">
        <f>AND(B384,#REF!= 0)</f>
        <v>#REF!</v>
      </c>
      <c r="E384" t="e">
        <f>isNetPoint(#REF!)</f>
        <v>#VALUE!</v>
      </c>
      <c r="F384" t="e">
        <f>OR(#REF!=1,#REF!= 1)</f>
        <v>#REF!</v>
      </c>
      <c r="G384" t="e">
        <f>IF(#REF!=1,OR(E384="1",E384="3",F384=TRUE),OR(E384="2",E384="3"))</f>
        <v>#REF!</v>
      </c>
      <c r="H384" t="e">
        <f>IF(#REF!=2,OR(E384="1",E384="3",F384=TRUE),OR(E384="2",E384="3"))</f>
        <v>#REF!</v>
      </c>
      <c r="I384" t="e">
        <f>AND(G384=TRUE,#REF!=1)</f>
        <v>#REF!</v>
      </c>
      <c r="J384" t="e">
        <f>AND(H384=TRUE,#REF!=2)</f>
        <v>#REF!</v>
      </c>
      <c r="K384" t="e">
        <f>IF(#REF!=1,K383+1,0)</f>
        <v>#REF!</v>
      </c>
      <c r="L384" t="e">
        <f>IF(#REF!=2,L383+1,0)</f>
        <v>#REF!</v>
      </c>
      <c r="M384" t="e">
        <f>#REF!</f>
        <v>#REF!</v>
      </c>
      <c r="N384" t="e">
        <f>COUNTIFS(#REF!, "=1")</f>
        <v>#REF!</v>
      </c>
      <c r="O384" t="e">
        <f>COUNTIFS(#REF!, "=2")</f>
        <v>#REF!</v>
      </c>
      <c r="P384" t="e">
        <f>#REF!</f>
        <v>#REF!</v>
      </c>
    </row>
    <row r="385" spans="1:16" x14ac:dyDescent="0.25">
      <c r="A385" t="e">
        <f>AND(#REF!=2, COUNTIF(Tables!L$1:L$4,#REF!))</f>
        <v>#REF!</v>
      </c>
      <c r="B385" t="e">
        <f>AND(#REF!=1, COUNTIF(Tables!L$1:L$4,#REF!))</f>
        <v>#REF!</v>
      </c>
      <c r="C385" t="e">
        <f>AND(A385,#REF!= 0)</f>
        <v>#REF!</v>
      </c>
      <c r="D385" t="e">
        <f>AND(B385,#REF!= 0)</f>
        <v>#REF!</v>
      </c>
      <c r="E385" t="e">
        <f>isNetPoint(#REF!)</f>
        <v>#VALUE!</v>
      </c>
      <c r="F385" t="e">
        <f>OR(#REF!=1,#REF!= 1)</f>
        <v>#REF!</v>
      </c>
      <c r="G385" t="e">
        <f>IF(#REF!=1,OR(E385="1",E385="3",F385=TRUE),OR(E385="2",E385="3"))</f>
        <v>#REF!</v>
      </c>
      <c r="H385" t="e">
        <f>IF(#REF!=2,OR(E385="1",E385="3",F385=TRUE),OR(E385="2",E385="3"))</f>
        <v>#REF!</v>
      </c>
      <c r="I385" t="e">
        <f>AND(G385=TRUE,#REF!=1)</f>
        <v>#REF!</v>
      </c>
      <c r="J385" t="e">
        <f>AND(H385=TRUE,#REF!=2)</f>
        <v>#REF!</v>
      </c>
      <c r="K385" t="e">
        <f>IF(#REF!=1,K384+1,0)</f>
        <v>#REF!</v>
      </c>
      <c r="L385" t="e">
        <f>IF(#REF!=2,L384+1,0)</f>
        <v>#REF!</v>
      </c>
      <c r="M385" t="e">
        <f>#REF!</f>
        <v>#REF!</v>
      </c>
      <c r="N385" t="e">
        <f>COUNTIFS(#REF!, "=1")</f>
        <v>#REF!</v>
      </c>
      <c r="O385" t="e">
        <f>COUNTIFS(#REF!, "=2")</f>
        <v>#REF!</v>
      </c>
      <c r="P385" t="e">
        <f>#REF!</f>
        <v>#REF!</v>
      </c>
    </row>
    <row r="386" spans="1:16" x14ac:dyDescent="0.25">
      <c r="A386" t="e">
        <f>AND(#REF!=2, COUNTIF(Tables!L$1:L$4,#REF!))</f>
        <v>#REF!</v>
      </c>
      <c r="B386" t="e">
        <f>AND(#REF!=1, COUNTIF(Tables!L$1:L$4,#REF!))</f>
        <v>#REF!</v>
      </c>
      <c r="C386" t="e">
        <f>AND(A386,#REF!= 0)</f>
        <v>#REF!</v>
      </c>
      <c r="D386" t="e">
        <f>AND(B386,#REF!= 0)</f>
        <v>#REF!</v>
      </c>
      <c r="E386" t="e">
        <f>isNetPoint(#REF!)</f>
        <v>#VALUE!</v>
      </c>
      <c r="F386" t="e">
        <f>OR(#REF!=1,#REF!= 1)</f>
        <v>#REF!</v>
      </c>
      <c r="G386" t="e">
        <f>IF(#REF!=1,OR(E386="1",E386="3",F386=TRUE),OR(E386="2",E386="3"))</f>
        <v>#REF!</v>
      </c>
      <c r="H386" t="e">
        <f>IF(#REF!=2,OR(E386="1",E386="3",F386=TRUE),OR(E386="2",E386="3"))</f>
        <v>#REF!</v>
      </c>
      <c r="I386" t="e">
        <f>AND(G386=TRUE,#REF!=1)</f>
        <v>#REF!</v>
      </c>
      <c r="J386" t="e">
        <f>AND(H386=TRUE,#REF!=2)</f>
        <v>#REF!</v>
      </c>
      <c r="K386" t="e">
        <f>IF(#REF!=1,K385+1,0)</f>
        <v>#REF!</v>
      </c>
      <c r="L386" t="e">
        <f>IF(#REF!=2,L385+1,0)</f>
        <v>#REF!</v>
      </c>
      <c r="M386" t="e">
        <f>#REF!</f>
        <v>#REF!</v>
      </c>
      <c r="N386" t="e">
        <f>COUNTIFS(#REF!, "=1")</f>
        <v>#REF!</v>
      </c>
      <c r="O386" t="e">
        <f>COUNTIFS(#REF!, "=2")</f>
        <v>#REF!</v>
      </c>
      <c r="P386" t="e">
        <f>#REF!</f>
        <v>#REF!</v>
      </c>
    </row>
    <row r="387" spans="1:16" x14ac:dyDescent="0.25">
      <c r="A387" t="e">
        <f>AND(#REF!=2, COUNTIF(Tables!L$1:L$4,#REF!))</f>
        <v>#REF!</v>
      </c>
      <c r="B387" t="e">
        <f>AND(#REF!=1, COUNTIF(Tables!L$1:L$4,#REF!))</f>
        <v>#REF!</v>
      </c>
      <c r="C387" t="e">
        <f>AND(A387,#REF!= 0)</f>
        <v>#REF!</v>
      </c>
      <c r="D387" t="e">
        <f>AND(B387,#REF!= 0)</f>
        <v>#REF!</v>
      </c>
      <c r="E387" t="e">
        <f>isNetPoint(#REF!)</f>
        <v>#VALUE!</v>
      </c>
      <c r="F387" t="e">
        <f>OR(#REF!=1,#REF!= 1)</f>
        <v>#REF!</v>
      </c>
      <c r="G387" t="e">
        <f>IF(#REF!=1,OR(E387="1",E387="3",F387=TRUE),OR(E387="2",E387="3"))</f>
        <v>#REF!</v>
      </c>
      <c r="H387" t="e">
        <f>IF(#REF!=2,OR(E387="1",E387="3",F387=TRUE),OR(E387="2",E387="3"))</f>
        <v>#REF!</v>
      </c>
      <c r="I387" t="e">
        <f>AND(G387=TRUE,#REF!=1)</f>
        <v>#REF!</v>
      </c>
      <c r="J387" t="e">
        <f>AND(H387=TRUE,#REF!=2)</f>
        <v>#REF!</v>
      </c>
      <c r="K387" t="e">
        <f>IF(#REF!=1,K386+1,0)</f>
        <v>#REF!</v>
      </c>
      <c r="L387" t="e">
        <f>IF(#REF!=2,L386+1,0)</f>
        <v>#REF!</v>
      </c>
      <c r="M387" t="e">
        <f>#REF!</f>
        <v>#REF!</v>
      </c>
      <c r="N387" t="e">
        <f>COUNTIFS(#REF!, "=1")</f>
        <v>#REF!</v>
      </c>
      <c r="O387" t="e">
        <f>COUNTIFS(#REF!, "=2")</f>
        <v>#REF!</v>
      </c>
      <c r="P387" t="e">
        <f>#REF!</f>
        <v>#REF!</v>
      </c>
    </row>
    <row r="388" spans="1:16" x14ac:dyDescent="0.25">
      <c r="A388" t="e">
        <f>AND(#REF!=2, COUNTIF(Tables!L$1:L$4,#REF!))</f>
        <v>#REF!</v>
      </c>
      <c r="B388" t="e">
        <f>AND(#REF!=1, COUNTIF(Tables!L$1:L$4,#REF!))</f>
        <v>#REF!</v>
      </c>
      <c r="C388" t="e">
        <f>AND(A388,#REF!= 0)</f>
        <v>#REF!</v>
      </c>
      <c r="D388" t="e">
        <f>AND(B388,#REF!= 0)</f>
        <v>#REF!</v>
      </c>
      <c r="E388" t="e">
        <f>isNetPoint(#REF!)</f>
        <v>#VALUE!</v>
      </c>
      <c r="F388" t="e">
        <f>OR(#REF!=1,#REF!= 1)</f>
        <v>#REF!</v>
      </c>
      <c r="G388" t="e">
        <f>IF(#REF!=1,OR(E388="1",E388="3",F388=TRUE),OR(E388="2",E388="3"))</f>
        <v>#REF!</v>
      </c>
      <c r="H388" t="e">
        <f>IF(#REF!=2,OR(E388="1",E388="3",F388=TRUE),OR(E388="2",E388="3"))</f>
        <v>#REF!</v>
      </c>
      <c r="I388" t="e">
        <f>AND(G388=TRUE,#REF!=1)</f>
        <v>#REF!</v>
      </c>
      <c r="J388" t="e">
        <f>AND(H388=TRUE,#REF!=2)</f>
        <v>#REF!</v>
      </c>
      <c r="K388" t="e">
        <f>IF(#REF!=1,K387+1,0)</f>
        <v>#REF!</v>
      </c>
      <c r="L388" t="e">
        <f>IF(#REF!=2,L387+1,0)</f>
        <v>#REF!</v>
      </c>
      <c r="M388" t="e">
        <f>#REF!</f>
        <v>#REF!</v>
      </c>
      <c r="N388" t="e">
        <f>COUNTIFS(#REF!, "=1")</f>
        <v>#REF!</v>
      </c>
      <c r="O388" t="e">
        <f>COUNTIFS(#REF!, "=2")</f>
        <v>#REF!</v>
      </c>
      <c r="P388" t="e">
        <f>#REF!</f>
        <v>#REF!</v>
      </c>
    </row>
    <row r="389" spans="1:16" x14ac:dyDescent="0.25">
      <c r="A389" t="e">
        <f>AND(#REF!=2, COUNTIF(Tables!L$1:L$4,#REF!))</f>
        <v>#REF!</v>
      </c>
      <c r="B389" t="e">
        <f>AND(#REF!=1, COUNTIF(Tables!L$1:L$4,#REF!))</f>
        <v>#REF!</v>
      </c>
      <c r="C389" t="e">
        <f>AND(A389,#REF!= 0)</f>
        <v>#REF!</v>
      </c>
      <c r="D389" t="e">
        <f>AND(B389,#REF!= 0)</f>
        <v>#REF!</v>
      </c>
      <c r="E389" t="e">
        <f>isNetPoint(#REF!)</f>
        <v>#VALUE!</v>
      </c>
      <c r="F389" t="e">
        <f>OR(#REF!=1,#REF!= 1)</f>
        <v>#REF!</v>
      </c>
      <c r="G389" t="e">
        <f>IF(#REF!=1,OR(E389="1",E389="3",F389=TRUE),OR(E389="2",E389="3"))</f>
        <v>#REF!</v>
      </c>
      <c r="H389" t="e">
        <f>IF(#REF!=2,OR(E389="1",E389="3",F389=TRUE),OR(E389="2",E389="3"))</f>
        <v>#REF!</v>
      </c>
      <c r="I389" t="e">
        <f>AND(G389=TRUE,#REF!=1)</f>
        <v>#REF!</v>
      </c>
      <c r="J389" t="e">
        <f>AND(H389=TRUE,#REF!=2)</f>
        <v>#REF!</v>
      </c>
      <c r="K389" t="e">
        <f>IF(#REF!=1,K388+1,0)</f>
        <v>#REF!</v>
      </c>
      <c r="L389" t="e">
        <f>IF(#REF!=2,L388+1,0)</f>
        <v>#REF!</v>
      </c>
      <c r="M389" t="e">
        <f>#REF!</f>
        <v>#REF!</v>
      </c>
      <c r="N389" t="e">
        <f>COUNTIFS(#REF!, "=1")</f>
        <v>#REF!</v>
      </c>
      <c r="O389" t="e">
        <f>COUNTIFS(#REF!, "=2")</f>
        <v>#REF!</v>
      </c>
      <c r="P389" t="e">
        <f>#REF!</f>
        <v>#REF!</v>
      </c>
    </row>
    <row r="390" spans="1:16" x14ac:dyDescent="0.25">
      <c r="A390" t="e">
        <f>AND(#REF!=2, COUNTIF(Tables!L$1:L$4,#REF!))</f>
        <v>#REF!</v>
      </c>
      <c r="B390" t="e">
        <f>AND(#REF!=1, COUNTIF(Tables!L$1:L$4,#REF!))</f>
        <v>#REF!</v>
      </c>
      <c r="C390" t="e">
        <f>AND(A390,#REF!= 0)</f>
        <v>#REF!</v>
      </c>
      <c r="D390" t="e">
        <f>AND(B390,#REF!= 0)</f>
        <v>#REF!</v>
      </c>
      <c r="E390" t="e">
        <f>isNetPoint(#REF!)</f>
        <v>#VALUE!</v>
      </c>
      <c r="F390" t="e">
        <f>OR(#REF!=1,#REF!= 1)</f>
        <v>#REF!</v>
      </c>
      <c r="G390" t="e">
        <f>IF(#REF!=1,OR(E390="1",E390="3",F390=TRUE),OR(E390="2",E390="3"))</f>
        <v>#REF!</v>
      </c>
      <c r="H390" t="e">
        <f>IF(#REF!=2,OR(E390="1",E390="3",F390=TRUE),OR(E390="2",E390="3"))</f>
        <v>#REF!</v>
      </c>
      <c r="I390" t="e">
        <f>AND(G390=TRUE,#REF!=1)</f>
        <v>#REF!</v>
      </c>
      <c r="J390" t="e">
        <f>AND(H390=TRUE,#REF!=2)</f>
        <v>#REF!</v>
      </c>
      <c r="K390" t="e">
        <f>IF(#REF!=1,K389+1,0)</f>
        <v>#REF!</v>
      </c>
      <c r="L390" t="e">
        <f>IF(#REF!=2,L389+1,0)</f>
        <v>#REF!</v>
      </c>
      <c r="M390" t="e">
        <f>#REF!</f>
        <v>#REF!</v>
      </c>
      <c r="N390" t="e">
        <f>COUNTIFS(#REF!, "=1")</f>
        <v>#REF!</v>
      </c>
      <c r="O390" t="e">
        <f>COUNTIFS(#REF!, "=2")</f>
        <v>#REF!</v>
      </c>
      <c r="P390" t="e">
        <f>#REF!</f>
        <v>#REF!</v>
      </c>
    </row>
    <row r="391" spans="1:16" x14ac:dyDescent="0.25">
      <c r="A391" t="e">
        <f>AND(#REF!=2, COUNTIF(Tables!L$1:L$4,#REF!))</f>
        <v>#REF!</v>
      </c>
      <c r="B391" t="e">
        <f>AND(#REF!=1, COUNTIF(Tables!L$1:L$4,#REF!))</f>
        <v>#REF!</v>
      </c>
      <c r="C391" t="e">
        <f>AND(A391,#REF!= 0)</f>
        <v>#REF!</v>
      </c>
      <c r="D391" t="e">
        <f>AND(B391,#REF!= 0)</f>
        <v>#REF!</v>
      </c>
      <c r="E391" t="e">
        <f>isNetPoint(#REF!)</f>
        <v>#VALUE!</v>
      </c>
      <c r="F391" t="e">
        <f>OR(#REF!=1,#REF!= 1)</f>
        <v>#REF!</v>
      </c>
      <c r="G391" t="e">
        <f>IF(#REF!=1,OR(E391="1",E391="3",F391=TRUE),OR(E391="2",E391="3"))</f>
        <v>#REF!</v>
      </c>
      <c r="H391" t="e">
        <f>IF(#REF!=2,OR(E391="1",E391="3",F391=TRUE),OR(E391="2",E391="3"))</f>
        <v>#REF!</v>
      </c>
      <c r="I391" t="e">
        <f>AND(G391=TRUE,#REF!=1)</f>
        <v>#REF!</v>
      </c>
      <c r="J391" t="e">
        <f>AND(H391=TRUE,#REF!=2)</f>
        <v>#REF!</v>
      </c>
      <c r="K391" t="e">
        <f>IF(#REF!=1,K390+1,0)</f>
        <v>#REF!</v>
      </c>
      <c r="L391" t="e">
        <f>IF(#REF!=2,L390+1,0)</f>
        <v>#REF!</v>
      </c>
      <c r="M391" t="e">
        <f>#REF!</f>
        <v>#REF!</v>
      </c>
      <c r="N391" t="e">
        <f>COUNTIFS(#REF!, "=1")</f>
        <v>#REF!</v>
      </c>
      <c r="O391" t="e">
        <f>COUNTIFS(#REF!, "=2")</f>
        <v>#REF!</v>
      </c>
      <c r="P391" t="e">
        <f>#REF!</f>
        <v>#REF!</v>
      </c>
    </row>
    <row r="392" spans="1:16" x14ac:dyDescent="0.25">
      <c r="A392" t="e">
        <f>AND(#REF!=2, COUNTIF(Tables!L$1:L$4,#REF!))</f>
        <v>#REF!</v>
      </c>
      <c r="B392" t="e">
        <f>AND(#REF!=1, COUNTIF(Tables!L$1:L$4,#REF!))</f>
        <v>#REF!</v>
      </c>
      <c r="C392" t="e">
        <f>AND(A392,#REF!= 0)</f>
        <v>#REF!</v>
      </c>
      <c r="D392" t="e">
        <f>AND(B392,#REF!= 0)</f>
        <v>#REF!</v>
      </c>
      <c r="E392" t="e">
        <f>isNetPoint(#REF!)</f>
        <v>#VALUE!</v>
      </c>
      <c r="F392" t="e">
        <f>OR(#REF!=1,#REF!= 1)</f>
        <v>#REF!</v>
      </c>
      <c r="G392" t="e">
        <f>IF(#REF!=1,OR(E392="1",E392="3",F392=TRUE),OR(E392="2",E392="3"))</f>
        <v>#REF!</v>
      </c>
      <c r="H392" t="e">
        <f>IF(#REF!=2,OR(E392="1",E392="3",F392=TRUE),OR(E392="2",E392="3"))</f>
        <v>#REF!</v>
      </c>
      <c r="I392" t="e">
        <f>AND(G392=TRUE,#REF!=1)</f>
        <v>#REF!</v>
      </c>
      <c r="J392" t="e">
        <f>AND(H392=TRUE,#REF!=2)</f>
        <v>#REF!</v>
      </c>
      <c r="K392" t="e">
        <f>IF(#REF!=1,K391+1,0)</f>
        <v>#REF!</v>
      </c>
      <c r="L392" t="e">
        <f>IF(#REF!=2,L391+1,0)</f>
        <v>#REF!</v>
      </c>
      <c r="M392" t="e">
        <f>#REF!</f>
        <v>#REF!</v>
      </c>
      <c r="N392" t="e">
        <f>COUNTIFS(#REF!, "=1")</f>
        <v>#REF!</v>
      </c>
      <c r="O392" t="e">
        <f>COUNTIFS(#REF!, "=2")</f>
        <v>#REF!</v>
      </c>
      <c r="P392" t="e">
        <f>#REF!</f>
        <v>#REF!</v>
      </c>
    </row>
    <row r="393" spans="1:16" x14ac:dyDescent="0.25">
      <c r="A393" t="e">
        <f>AND(#REF!=2, COUNTIF(Tables!L$1:L$4,#REF!))</f>
        <v>#REF!</v>
      </c>
      <c r="B393" t="e">
        <f>AND(#REF!=1, COUNTIF(Tables!L$1:L$4,#REF!))</f>
        <v>#REF!</v>
      </c>
      <c r="C393" t="e">
        <f>AND(A393,#REF!= 0)</f>
        <v>#REF!</v>
      </c>
      <c r="D393" t="e">
        <f>AND(B393,#REF!= 0)</f>
        <v>#REF!</v>
      </c>
      <c r="E393" t="e">
        <f>isNetPoint(#REF!)</f>
        <v>#VALUE!</v>
      </c>
      <c r="F393" t="e">
        <f>OR(#REF!=1,#REF!= 1)</f>
        <v>#REF!</v>
      </c>
      <c r="G393" t="e">
        <f>IF(#REF!=1,OR(E393="1",E393="3",F393=TRUE),OR(E393="2",E393="3"))</f>
        <v>#REF!</v>
      </c>
      <c r="H393" t="e">
        <f>IF(#REF!=2,OR(E393="1",E393="3",F393=TRUE),OR(E393="2",E393="3"))</f>
        <v>#REF!</v>
      </c>
      <c r="I393" t="e">
        <f>AND(G393=TRUE,#REF!=1)</f>
        <v>#REF!</v>
      </c>
      <c r="J393" t="e">
        <f>AND(H393=TRUE,#REF!=2)</f>
        <v>#REF!</v>
      </c>
      <c r="K393" t="e">
        <f>IF(#REF!=1,K392+1,0)</f>
        <v>#REF!</v>
      </c>
      <c r="L393" t="e">
        <f>IF(#REF!=2,L392+1,0)</f>
        <v>#REF!</v>
      </c>
      <c r="M393" t="e">
        <f>#REF!</f>
        <v>#REF!</v>
      </c>
      <c r="N393" t="e">
        <f>COUNTIFS(#REF!, "=1")</f>
        <v>#REF!</v>
      </c>
      <c r="O393" t="e">
        <f>COUNTIFS(#REF!, "=2")</f>
        <v>#REF!</v>
      </c>
      <c r="P393" t="e">
        <f>#REF!</f>
        <v>#REF!</v>
      </c>
    </row>
    <row r="394" spans="1:16" x14ac:dyDescent="0.25">
      <c r="A394" t="e">
        <f>AND(#REF!=2, COUNTIF(Tables!L$1:L$4,#REF!))</f>
        <v>#REF!</v>
      </c>
      <c r="B394" t="e">
        <f>AND(#REF!=1, COUNTIF(Tables!L$1:L$4,#REF!))</f>
        <v>#REF!</v>
      </c>
      <c r="C394" t="e">
        <f>AND(A394,#REF!= 0)</f>
        <v>#REF!</v>
      </c>
      <c r="D394" t="e">
        <f>AND(B394,#REF!= 0)</f>
        <v>#REF!</v>
      </c>
      <c r="E394" t="e">
        <f>isNetPoint(#REF!)</f>
        <v>#VALUE!</v>
      </c>
      <c r="F394" t="e">
        <f>OR(#REF!=1,#REF!= 1)</f>
        <v>#REF!</v>
      </c>
      <c r="G394" t="e">
        <f>IF(#REF!=1,OR(E394="1",E394="3",F394=TRUE),OR(E394="2",E394="3"))</f>
        <v>#REF!</v>
      </c>
      <c r="H394" t="e">
        <f>IF(#REF!=2,OR(E394="1",E394="3",F394=TRUE),OR(E394="2",E394="3"))</f>
        <v>#REF!</v>
      </c>
      <c r="I394" t="e">
        <f>AND(G394=TRUE,#REF!=1)</f>
        <v>#REF!</v>
      </c>
      <c r="J394" t="e">
        <f>AND(H394=TRUE,#REF!=2)</f>
        <v>#REF!</v>
      </c>
      <c r="K394" t="e">
        <f>IF(#REF!=1,K393+1,0)</f>
        <v>#REF!</v>
      </c>
      <c r="L394" t="e">
        <f>IF(#REF!=2,L393+1,0)</f>
        <v>#REF!</v>
      </c>
      <c r="M394" t="e">
        <f>#REF!</f>
        <v>#REF!</v>
      </c>
      <c r="N394" t="e">
        <f>COUNTIFS(#REF!, "=1")</f>
        <v>#REF!</v>
      </c>
      <c r="O394" t="e">
        <f>COUNTIFS(#REF!, "=2")</f>
        <v>#REF!</v>
      </c>
      <c r="P394" t="e">
        <f>#REF!</f>
        <v>#REF!</v>
      </c>
    </row>
    <row r="395" spans="1:16" x14ac:dyDescent="0.25">
      <c r="A395" t="e">
        <f>AND(#REF!=2, COUNTIF(Tables!L$1:L$4,#REF!))</f>
        <v>#REF!</v>
      </c>
      <c r="B395" t="e">
        <f>AND(#REF!=1, COUNTIF(Tables!L$1:L$4,#REF!))</f>
        <v>#REF!</v>
      </c>
      <c r="C395" t="e">
        <f>AND(A395,#REF!= 0)</f>
        <v>#REF!</v>
      </c>
      <c r="D395" t="e">
        <f>AND(B395,#REF!= 0)</f>
        <v>#REF!</v>
      </c>
      <c r="E395" t="e">
        <f>isNetPoint(#REF!)</f>
        <v>#VALUE!</v>
      </c>
      <c r="F395" t="e">
        <f>OR(#REF!=1,#REF!= 1)</f>
        <v>#REF!</v>
      </c>
      <c r="G395" t="e">
        <f>IF(#REF!=1,OR(E395="1",E395="3",F395=TRUE),OR(E395="2",E395="3"))</f>
        <v>#REF!</v>
      </c>
      <c r="H395" t="e">
        <f>IF(#REF!=2,OR(E395="1",E395="3",F395=TRUE),OR(E395="2",E395="3"))</f>
        <v>#REF!</v>
      </c>
      <c r="I395" t="e">
        <f>AND(G395=TRUE,#REF!=1)</f>
        <v>#REF!</v>
      </c>
      <c r="J395" t="e">
        <f>AND(H395=TRUE,#REF!=2)</f>
        <v>#REF!</v>
      </c>
      <c r="K395" t="e">
        <f>IF(#REF!=1,K394+1,0)</f>
        <v>#REF!</v>
      </c>
      <c r="L395" t="e">
        <f>IF(#REF!=2,L394+1,0)</f>
        <v>#REF!</v>
      </c>
      <c r="M395" t="e">
        <f>#REF!</f>
        <v>#REF!</v>
      </c>
      <c r="N395" t="e">
        <f>COUNTIFS(#REF!, "=1")</f>
        <v>#REF!</v>
      </c>
      <c r="O395" t="e">
        <f>COUNTIFS(#REF!, "=2")</f>
        <v>#REF!</v>
      </c>
      <c r="P395" t="e">
        <f>#REF!</f>
        <v>#REF!</v>
      </c>
    </row>
    <row r="396" spans="1:16" x14ac:dyDescent="0.25">
      <c r="A396" t="e">
        <f>AND(#REF!=2, COUNTIF(Tables!L$1:L$4,#REF!))</f>
        <v>#REF!</v>
      </c>
      <c r="B396" t="e">
        <f>AND(#REF!=1, COUNTIF(Tables!L$1:L$4,#REF!))</f>
        <v>#REF!</v>
      </c>
      <c r="C396" t="e">
        <f>AND(A396,#REF!= 0)</f>
        <v>#REF!</v>
      </c>
      <c r="D396" t="e">
        <f>AND(B396,#REF!= 0)</f>
        <v>#REF!</v>
      </c>
      <c r="E396" t="e">
        <f>isNetPoint(#REF!)</f>
        <v>#VALUE!</v>
      </c>
      <c r="F396" t="e">
        <f>OR(#REF!=1,#REF!= 1)</f>
        <v>#REF!</v>
      </c>
      <c r="G396" t="e">
        <f>IF(#REF!=1,OR(E396="1",E396="3",F396=TRUE),OR(E396="2",E396="3"))</f>
        <v>#REF!</v>
      </c>
      <c r="H396" t="e">
        <f>IF(#REF!=2,OR(E396="1",E396="3",F396=TRUE),OR(E396="2",E396="3"))</f>
        <v>#REF!</v>
      </c>
      <c r="I396" t="e">
        <f>AND(G396=TRUE,#REF!=1)</f>
        <v>#REF!</v>
      </c>
      <c r="J396" t="e">
        <f>AND(H396=TRUE,#REF!=2)</f>
        <v>#REF!</v>
      </c>
      <c r="K396" t="e">
        <f>IF(#REF!=1,K395+1,0)</f>
        <v>#REF!</v>
      </c>
      <c r="L396" t="e">
        <f>IF(#REF!=2,L395+1,0)</f>
        <v>#REF!</v>
      </c>
      <c r="M396" t="e">
        <f>#REF!</f>
        <v>#REF!</v>
      </c>
      <c r="N396" t="e">
        <f>COUNTIFS(#REF!, "=1")</f>
        <v>#REF!</v>
      </c>
      <c r="O396" t="e">
        <f>COUNTIFS(#REF!, "=2")</f>
        <v>#REF!</v>
      </c>
      <c r="P396" t="e">
        <f>#REF!</f>
        <v>#REF!</v>
      </c>
    </row>
    <row r="397" spans="1:16" x14ac:dyDescent="0.25">
      <c r="A397" t="e">
        <f>AND(#REF!=2, COUNTIF(Tables!L$1:L$4,#REF!))</f>
        <v>#REF!</v>
      </c>
      <c r="B397" t="e">
        <f>AND(#REF!=1, COUNTIF(Tables!L$1:L$4,#REF!))</f>
        <v>#REF!</v>
      </c>
      <c r="C397" t="e">
        <f>AND(A397,#REF!= 0)</f>
        <v>#REF!</v>
      </c>
      <c r="D397" t="e">
        <f>AND(B397,#REF!= 0)</f>
        <v>#REF!</v>
      </c>
      <c r="E397" t="e">
        <f>isNetPoint(#REF!)</f>
        <v>#VALUE!</v>
      </c>
      <c r="F397" t="e">
        <f>OR(#REF!=1,#REF!= 1)</f>
        <v>#REF!</v>
      </c>
      <c r="G397" t="e">
        <f>IF(#REF!=1,OR(E397="1",E397="3",F397=TRUE),OR(E397="2",E397="3"))</f>
        <v>#REF!</v>
      </c>
      <c r="H397" t="e">
        <f>IF(#REF!=2,OR(E397="1",E397="3",F397=TRUE),OR(E397="2",E397="3"))</f>
        <v>#REF!</v>
      </c>
      <c r="I397" t="e">
        <f>AND(G397=TRUE,#REF!=1)</f>
        <v>#REF!</v>
      </c>
      <c r="J397" t="e">
        <f>AND(H397=TRUE,#REF!=2)</f>
        <v>#REF!</v>
      </c>
      <c r="K397" t="e">
        <f>IF(#REF!=1,K396+1,0)</f>
        <v>#REF!</v>
      </c>
      <c r="L397" t="e">
        <f>IF(#REF!=2,L396+1,0)</f>
        <v>#REF!</v>
      </c>
      <c r="M397" t="e">
        <f>#REF!</f>
        <v>#REF!</v>
      </c>
      <c r="N397" t="e">
        <f>COUNTIFS(#REF!, "=1")</f>
        <v>#REF!</v>
      </c>
      <c r="O397" t="e">
        <f>COUNTIFS(#REF!, "=2")</f>
        <v>#REF!</v>
      </c>
      <c r="P397" t="e">
        <f>#REF!</f>
        <v>#REF!</v>
      </c>
    </row>
    <row r="398" spans="1:16" x14ac:dyDescent="0.25">
      <c r="A398" t="e">
        <f>AND(#REF!=2, COUNTIF(Tables!L$1:L$4,#REF!))</f>
        <v>#REF!</v>
      </c>
      <c r="B398" t="e">
        <f>AND(#REF!=1, COUNTIF(Tables!L$1:L$4,#REF!))</f>
        <v>#REF!</v>
      </c>
      <c r="C398" t="e">
        <f>AND(A398,#REF!= 0)</f>
        <v>#REF!</v>
      </c>
      <c r="D398" t="e">
        <f>AND(B398,#REF!= 0)</f>
        <v>#REF!</v>
      </c>
      <c r="E398" t="e">
        <f>isNetPoint(#REF!)</f>
        <v>#VALUE!</v>
      </c>
      <c r="F398" t="e">
        <f>OR(#REF!=1,#REF!= 1)</f>
        <v>#REF!</v>
      </c>
      <c r="G398" t="e">
        <f>IF(#REF!=1,OR(E398="1",E398="3",F398=TRUE),OR(E398="2",E398="3"))</f>
        <v>#REF!</v>
      </c>
      <c r="H398" t="e">
        <f>IF(#REF!=2,OR(E398="1",E398="3",F398=TRUE),OR(E398="2",E398="3"))</f>
        <v>#REF!</v>
      </c>
      <c r="I398" t="e">
        <f>AND(G398=TRUE,#REF!=1)</f>
        <v>#REF!</v>
      </c>
      <c r="J398" t="e">
        <f>AND(H398=TRUE,#REF!=2)</f>
        <v>#REF!</v>
      </c>
      <c r="K398" t="e">
        <f>IF(#REF!=1,K397+1,0)</f>
        <v>#REF!</v>
      </c>
      <c r="L398" t="e">
        <f>IF(#REF!=2,L397+1,0)</f>
        <v>#REF!</v>
      </c>
      <c r="M398" t="e">
        <f>#REF!</f>
        <v>#REF!</v>
      </c>
      <c r="N398" t="e">
        <f>COUNTIFS(#REF!, "=1")</f>
        <v>#REF!</v>
      </c>
      <c r="O398" t="e">
        <f>COUNTIFS(#REF!, "=2")</f>
        <v>#REF!</v>
      </c>
      <c r="P398" t="e">
        <f>#REF!</f>
        <v>#REF!</v>
      </c>
    </row>
    <row r="399" spans="1:16" x14ac:dyDescent="0.25">
      <c r="A399" t="e">
        <f>AND(#REF!=2, COUNTIF(Tables!L$1:L$4,#REF!))</f>
        <v>#REF!</v>
      </c>
      <c r="B399" t="e">
        <f>AND(#REF!=1, COUNTIF(Tables!L$1:L$4,#REF!))</f>
        <v>#REF!</v>
      </c>
      <c r="C399" t="e">
        <f>AND(A399,#REF!= 0)</f>
        <v>#REF!</v>
      </c>
      <c r="D399" t="e">
        <f>AND(B399,#REF!= 0)</f>
        <v>#REF!</v>
      </c>
      <c r="E399" t="e">
        <f>isNetPoint(#REF!)</f>
        <v>#VALUE!</v>
      </c>
      <c r="F399" t="e">
        <f>OR(#REF!=1,#REF!= 1)</f>
        <v>#REF!</v>
      </c>
      <c r="G399" t="e">
        <f>IF(#REF!=1,OR(E399="1",E399="3",F399=TRUE),OR(E399="2",E399="3"))</f>
        <v>#REF!</v>
      </c>
      <c r="H399" t="e">
        <f>IF(#REF!=2,OR(E399="1",E399="3",F399=TRUE),OR(E399="2",E399="3"))</f>
        <v>#REF!</v>
      </c>
      <c r="I399" t="e">
        <f>AND(G399=TRUE,#REF!=1)</f>
        <v>#REF!</v>
      </c>
      <c r="J399" t="e">
        <f>AND(H399=TRUE,#REF!=2)</f>
        <v>#REF!</v>
      </c>
      <c r="K399" t="e">
        <f>IF(#REF!=1,K398+1,0)</f>
        <v>#REF!</v>
      </c>
      <c r="L399" t="e">
        <f>IF(#REF!=2,L398+1,0)</f>
        <v>#REF!</v>
      </c>
      <c r="M399" t="e">
        <f>#REF!</f>
        <v>#REF!</v>
      </c>
      <c r="N399" t="e">
        <f>COUNTIFS(#REF!, "=1")</f>
        <v>#REF!</v>
      </c>
      <c r="O399" t="e">
        <f>COUNTIFS(#REF!, "=2")</f>
        <v>#REF!</v>
      </c>
      <c r="P399" t="e">
        <f>#REF!</f>
        <v>#REF!</v>
      </c>
    </row>
    <row r="400" spans="1:16" x14ac:dyDescent="0.25">
      <c r="A400" t="e">
        <f>AND(#REF!=2, COUNTIF(Tables!L$1:L$4,#REF!))</f>
        <v>#REF!</v>
      </c>
      <c r="B400" t="e">
        <f>AND(#REF!=1, COUNTIF(Tables!L$1:L$4,#REF!))</f>
        <v>#REF!</v>
      </c>
      <c r="C400" t="e">
        <f>AND(A400,#REF!= 0)</f>
        <v>#REF!</v>
      </c>
      <c r="D400" t="e">
        <f>AND(B400,#REF!= 0)</f>
        <v>#REF!</v>
      </c>
      <c r="E400" t="e">
        <f>isNetPoint(#REF!)</f>
        <v>#VALUE!</v>
      </c>
      <c r="F400" t="e">
        <f>OR(#REF!=1,#REF!= 1)</f>
        <v>#REF!</v>
      </c>
      <c r="G400" t="e">
        <f>IF(#REF!=1,OR(E400="1",E400="3",F400=TRUE),OR(E400="2",E400="3"))</f>
        <v>#REF!</v>
      </c>
      <c r="H400" t="e">
        <f>IF(#REF!=2,OR(E400="1",E400="3",F400=TRUE),OR(E400="2",E400="3"))</f>
        <v>#REF!</v>
      </c>
      <c r="I400" t="e">
        <f>AND(G400=TRUE,#REF!=1)</f>
        <v>#REF!</v>
      </c>
      <c r="J400" t="e">
        <f>AND(H400=TRUE,#REF!=2)</f>
        <v>#REF!</v>
      </c>
      <c r="K400" t="e">
        <f>IF(#REF!=1,K399+1,0)</f>
        <v>#REF!</v>
      </c>
      <c r="L400" t="e">
        <f>IF(#REF!=2,L399+1,0)</f>
        <v>#REF!</v>
      </c>
      <c r="M400" t="e">
        <f>#REF!</f>
        <v>#REF!</v>
      </c>
      <c r="N400" t="e">
        <f>COUNTIFS(#REF!, "=1")</f>
        <v>#REF!</v>
      </c>
      <c r="O400" t="e">
        <f>COUNTIFS(#REF!, "=2")</f>
        <v>#REF!</v>
      </c>
      <c r="P400" t="e">
        <f>#REF!</f>
        <v>#REF!</v>
      </c>
    </row>
    <row r="401" spans="1:16" x14ac:dyDescent="0.25">
      <c r="A401" t="e">
        <f>AND(#REF!=2, COUNTIF(Tables!L$1:L$4,#REF!))</f>
        <v>#REF!</v>
      </c>
      <c r="B401" t="e">
        <f>AND(#REF!=1, COUNTIF(Tables!L$1:L$4,#REF!))</f>
        <v>#REF!</v>
      </c>
      <c r="C401" t="e">
        <f>AND(A401,#REF!= 0)</f>
        <v>#REF!</v>
      </c>
      <c r="D401" t="e">
        <f>AND(B401,#REF!= 0)</f>
        <v>#REF!</v>
      </c>
      <c r="E401" t="e">
        <f>isNetPoint(#REF!)</f>
        <v>#VALUE!</v>
      </c>
      <c r="F401" t="e">
        <f>OR(#REF!=1,#REF!= 1)</f>
        <v>#REF!</v>
      </c>
      <c r="G401" t="e">
        <f>IF(#REF!=1,OR(E401="1",E401="3",F401=TRUE),OR(E401="2",E401="3"))</f>
        <v>#REF!</v>
      </c>
      <c r="H401" t="e">
        <f>IF(#REF!=2,OR(E401="1",E401="3",F401=TRUE),OR(E401="2",E401="3"))</f>
        <v>#REF!</v>
      </c>
      <c r="I401" t="e">
        <f>AND(G401=TRUE,#REF!=1)</f>
        <v>#REF!</v>
      </c>
      <c r="J401" t="e">
        <f>AND(H401=TRUE,#REF!=2)</f>
        <v>#REF!</v>
      </c>
      <c r="K401" t="e">
        <f>IF(#REF!=1,K400+1,0)</f>
        <v>#REF!</v>
      </c>
      <c r="L401" t="e">
        <f>IF(#REF!=2,L400+1,0)</f>
        <v>#REF!</v>
      </c>
      <c r="M401" t="e">
        <f>#REF!</f>
        <v>#REF!</v>
      </c>
      <c r="N401" t="e">
        <f>COUNTIFS(#REF!, "=1")</f>
        <v>#REF!</v>
      </c>
      <c r="O401" t="e">
        <f>COUNTIFS(#REF!, "=2")</f>
        <v>#REF!</v>
      </c>
      <c r="P401" t="e">
        <f>#REF!</f>
        <v>#REF!</v>
      </c>
    </row>
    <row r="402" spans="1:16" x14ac:dyDescent="0.25">
      <c r="A402" t="e">
        <f>AND(#REF!=2, COUNTIF(Tables!L$1:L$4,#REF!))</f>
        <v>#REF!</v>
      </c>
      <c r="B402" t="e">
        <f>AND(#REF!=1, COUNTIF(Tables!L$1:L$4,#REF!))</f>
        <v>#REF!</v>
      </c>
      <c r="C402" t="e">
        <f>AND(A402,#REF!= 0)</f>
        <v>#REF!</v>
      </c>
      <c r="D402" t="e">
        <f>AND(B402,#REF!= 0)</f>
        <v>#REF!</v>
      </c>
      <c r="E402" t="e">
        <f>isNetPoint(#REF!)</f>
        <v>#VALUE!</v>
      </c>
      <c r="F402" t="e">
        <f>OR(#REF!=1,#REF!= 1)</f>
        <v>#REF!</v>
      </c>
      <c r="G402" t="e">
        <f>IF(#REF!=1,OR(E402="1",E402="3",F402=TRUE),OR(E402="2",E402="3"))</f>
        <v>#REF!</v>
      </c>
      <c r="H402" t="e">
        <f>IF(#REF!=2,OR(E402="1",E402="3",F402=TRUE),OR(E402="2",E402="3"))</f>
        <v>#REF!</v>
      </c>
      <c r="I402" t="e">
        <f>AND(G402=TRUE,#REF!=1)</f>
        <v>#REF!</v>
      </c>
      <c r="J402" t="e">
        <f>AND(H402=TRUE,#REF!=2)</f>
        <v>#REF!</v>
      </c>
      <c r="K402" t="e">
        <f>IF(#REF!=1,K401+1,0)</f>
        <v>#REF!</v>
      </c>
      <c r="L402" t="e">
        <f>IF(#REF!=2,L401+1,0)</f>
        <v>#REF!</v>
      </c>
      <c r="M402" t="e">
        <f>#REF!</f>
        <v>#REF!</v>
      </c>
      <c r="N402" t="e">
        <f>COUNTIFS(#REF!, "=1")</f>
        <v>#REF!</v>
      </c>
      <c r="O402" t="e">
        <f>COUNTIFS(#REF!, "=2")</f>
        <v>#REF!</v>
      </c>
      <c r="P402" t="e">
        <f>#REF!</f>
        <v>#REF!</v>
      </c>
    </row>
    <row r="403" spans="1:16" x14ac:dyDescent="0.25">
      <c r="A403" t="e">
        <f>AND(#REF!=2, COUNTIF(Tables!L$1:L$4,#REF!))</f>
        <v>#REF!</v>
      </c>
      <c r="B403" t="e">
        <f>AND(#REF!=1, COUNTIF(Tables!L$1:L$4,#REF!))</f>
        <v>#REF!</v>
      </c>
      <c r="C403" t="e">
        <f>AND(A403,#REF!= 0)</f>
        <v>#REF!</v>
      </c>
      <c r="D403" t="e">
        <f>AND(B403,#REF!= 0)</f>
        <v>#REF!</v>
      </c>
      <c r="E403" t="e">
        <f>isNetPoint(#REF!)</f>
        <v>#VALUE!</v>
      </c>
      <c r="F403" t="e">
        <f>OR(#REF!=1,#REF!= 1)</f>
        <v>#REF!</v>
      </c>
      <c r="G403" t="e">
        <f>IF(#REF!=1,OR(E403="1",E403="3",F403=TRUE),OR(E403="2",E403="3"))</f>
        <v>#REF!</v>
      </c>
      <c r="H403" t="e">
        <f>IF(#REF!=2,OR(E403="1",E403="3",F403=TRUE),OR(E403="2",E403="3"))</f>
        <v>#REF!</v>
      </c>
      <c r="I403" t="e">
        <f>AND(G403=TRUE,#REF!=1)</f>
        <v>#REF!</v>
      </c>
      <c r="J403" t="e">
        <f>AND(H403=TRUE,#REF!=2)</f>
        <v>#REF!</v>
      </c>
      <c r="K403" t="e">
        <f>IF(#REF!=1,K402+1,0)</f>
        <v>#REF!</v>
      </c>
      <c r="L403" t="e">
        <f>IF(#REF!=2,L402+1,0)</f>
        <v>#REF!</v>
      </c>
      <c r="M403" t="e">
        <f>#REF!</f>
        <v>#REF!</v>
      </c>
      <c r="N403" t="e">
        <f>COUNTIFS(#REF!, "=1")</f>
        <v>#REF!</v>
      </c>
      <c r="O403" t="e">
        <f>COUNTIFS(#REF!, "=2")</f>
        <v>#REF!</v>
      </c>
      <c r="P403" t="e">
        <f>#REF!</f>
        <v>#REF!</v>
      </c>
    </row>
    <row r="404" spans="1:16" x14ac:dyDescent="0.25">
      <c r="A404" t="e">
        <f>AND(#REF!=2, COUNTIF(Tables!L$1:L$4,#REF!))</f>
        <v>#REF!</v>
      </c>
      <c r="B404" t="e">
        <f>AND(#REF!=1, COUNTIF(Tables!L$1:L$4,#REF!))</f>
        <v>#REF!</v>
      </c>
      <c r="C404" t="e">
        <f>AND(A404,#REF!= 0)</f>
        <v>#REF!</v>
      </c>
      <c r="D404" t="e">
        <f>AND(B404,#REF!= 0)</f>
        <v>#REF!</v>
      </c>
      <c r="E404" t="e">
        <f>isNetPoint(#REF!)</f>
        <v>#VALUE!</v>
      </c>
      <c r="F404" t="e">
        <f>OR(#REF!=1,#REF!= 1)</f>
        <v>#REF!</v>
      </c>
      <c r="G404" t="e">
        <f>IF(#REF!=1,OR(E404="1",E404="3",F404=TRUE),OR(E404="2",E404="3"))</f>
        <v>#REF!</v>
      </c>
      <c r="H404" t="e">
        <f>IF(#REF!=2,OR(E404="1",E404="3",F404=TRUE),OR(E404="2",E404="3"))</f>
        <v>#REF!</v>
      </c>
      <c r="I404" t="e">
        <f>AND(G404=TRUE,#REF!=1)</f>
        <v>#REF!</v>
      </c>
      <c r="J404" t="e">
        <f>AND(H404=TRUE,#REF!=2)</f>
        <v>#REF!</v>
      </c>
      <c r="K404" t="e">
        <f>IF(#REF!=1,K403+1,0)</f>
        <v>#REF!</v>
      </c>
      <c r="L404" t="e">
        <f>IF(#REF!=2,L403+1,0)</f>
        <v>#REF!</v>
      </c>
      <c r="M404" t="e">
        <f>#REF!</f>
        <v>#REF!</v>
      </c>
      <c r="N404" t="e">
        <f>COUNTIFS(#REF!, "=1")</f>
        <v>#REF!</v>
      </c>
      <c r="O404" t="e">
        <f>COUNTIFS(#REF!, "=2")</f>
        <v>#REF!</v>
      </c>
      <c r="P404" t="e">
        <f>#REF!</f>
        <v>#REF!</v>
      </c>
    </row>
    <row r="405" spans="1:16" x14ac:dyDescent="0.25">
      <c r="A405" t="e">
        <f>AND(#REF!=2, COUNTIF(Tables!L$1:L$4,#REF!))</f>
        <v>#REF!</v>
      </c>
      <c r="B405" t="e">
        <f>AND(#REF!=1, COUNTIF(Tables!L$1:L$4,#REF!))</f>
        <v>#REF!</v>
      </c>
      <c r="C405" t="e">
        <f>AND(A405,#REF!= 0)</f>
        <v>#REF!</v>
      </c>
      <c r="D405" t="e">
        <f>AND(B405,#REF!= 0)</f>
        <v>#REF!</v>
      </c>
      <c r="E405" t="e">
        <f>isNetPoint(#REF!)</f>
        <v>#VALUE!</v>
      </c>
      <c r="F405" t="e">
        <f>OR(#REF!=1,#REF!= 1)</f>
        <v>#REF!</v>
      </c>
      <c r="G405" t="e">
        <f>IF(#REF!=1,OR(E405="1",E405="3",F405=TRUE),OR(E405="2",E405="3"))</f>
        <v>#REF!</v>
      </c>
      <c r="H405" t="e">
        <f>IF(#REF!=2,OR(E405="1",E405="3",F405=TRUE),OR(E405="2",E405="3"))</f>
        <v>#REF!</v>
      </c>
      <c r="I405" t="e">
        <f>AND(G405=TRUE,#REF!=1)</f>
        <v>#REF!</v>
      </c>
      <c r="J405" t="e">
        <f>AND(H405=TRUE,#REF!=2)</f>
        <v>#REF!</v>
      </c>
      <c r="K405" t="e">
        <f>IF(#REF!=1,K404+1,0)</f>
        <v>#REF!</v>
      </c>
      <c r="L405" t="e">
        <f>IF(#REF!=2,L404+1,0)</f>
        <v>#REF!</v>
      </c>
      <c r="M405" t="e">
        <f>#REF!</f>
        <v>#REF!</v>
      </c>
      <c r="N405" t="e">
        <f>COUNTIFS(#REF!, "=1")</f>
        <v>#REF!</v>
      </c>
      <c r="O405" t="e">
        <f>COUNTIFS(#REF!, "=2")</f>
        <v>#REF!</v>
      </c>
      <c r="P405" t="e">
        <f>#REF!</f>
        <v>#REF!</v>
      </c>
    </row>
    <row r="406" spans="1:16" x14ac:dyDescent="0.25">
      <c r="A406" t="e">
        <f>AND(#REF!=2, COUNTIF(Tables!L$1:L$4,#REF!))</f>
        <v>#REF!</v>
      </c>
      <c r="B406" t="e">
        <f>AND(#REF!=1, COUNTIF(Tables!L$1:L$4,#REF!))</f>
        <v>#REF!</v>
      </c>
      <c r="C406" t="e">
        <f>AND(A406,#REF!= 0)</f>
        <v>#REF!</v>
      </c>
      <c r="D406" t="e">
        <f>AND(B406,#REF!= 0)</f>
        <v>#REF!</v>
      </c>
      <c r="E406" t="e">
        <f>isNetPoint(#REF!)</f>
        <v>#VALUE!</v>
      </c>
      <c r="F406" t="e">
        <f>OR(#REF!=1,#REF!= 1)</f>
        <v>#REF!</v>
      </c>
      <c r="G406" t="e">
        <f>IF(#REF!=1,OR(E406="1",E406="3",F406=TRUE),OR(E406="2",E406="3"))</f>
        <v>#REF!</v>
      </c>
      <c r="H406" t="e">
        <f>IF(#REF!=2,OR(E406="1",E406="3",F406=TRUE),OR(E406="2",E406="3"))</f>
        <v>#REF!</v>
      </c>
      <c r="I406" t="e">
        <f>AND(G406=TRUE,#REF!=1)</f>
        <v>#REF!</v>
      </c>
      <c r="J406" t="e">
        <f>AND(H406=TRUE,#REF!=2)</f>
        <v>#REF!</v>
      </c>
      <c r="K406" t="e">
        <f>IF(#REF!=1,K405+1,0)</f>
        <v>#REF!</v>
      </c>
      <c r="L406" t="e">
        <f>IF(#REF!=2,L405+1,0)</f>
        <v>#REF!</v>
      </c>
      <c r="M406" t="e">
        <f>#REF!</f>
        <v>#REF!</v>
      </c>
      <c r="N406" t="e">
        <f>COUNTIFS(#REF!, "=1")</f>
        <v>#REF!</v>
      </c>
      <c r="O406" t="e">
        <f>COUNTIFS(#REF!, "=2")</f>
        <v>#REF!</v>
      </c>
      <c r="P406" t="e">
        <f>#REF!</f>
        <v>#REF!</v>
      </c>
    </row>
    <row r="407" spans="1:16" x14ac:dyDescent="0.25">
      <c r="A407" t="e">
        <f>AND(#REF!=2, COUNTIF(Tables!L$1:L$4,#REF!))</f>
        <v>#REF!</v>
      </c>
      <c r="B407" t="e">
        <f>AND(#REF!=1, COUNTIF(Tables!L$1:L$4,#REF!))</f>
        <v>#REF!</v>
      </c>
      <c r="C407" t="e">
        <f>AND(A407,#REF!= 0)</f>
        <v>#REF!</v>
      </c>
      <c r="D407" t="e">
        <f>AND(B407,#REF!= 0)</f>
        <v>#REF!</v>
      </c>
      <c r="E407" t="e">
        <f>isNetPoint(#REF!)</f>
        <v>#VALUE!</v>
      </c>
      <c r="F407" t="e">
        <f>OR(#REF!=1,#REF!= 1)</f>
        <v>#REF!</v>
      </c>
      <c r="G407" t="e">
        <f>IF(#REF!=1,OR(E407="1",E407="3",F407=TRUE),OR(E407="2",E407="3"))</f>
        <v>#REF!</v>
      </c>
      <c r="H407" t="e">
        <f>IF(#REF!=2,OR(E407="1",E407="3",F407=TRUE),OR(E407="2",E407="3"))</f>
        <v>#REF!</v>
      </c>
      <c r="I407" t="e">
        <f>AND(G407=TRUE,#REF!=1)</f>
        <v>#REF!</v>
      </c>
      <c r="J407" t="e">
        <f>AND(H407=TRUE,#REF!=2)</f>
        <v>#REF!</v>
      </c>
      <c r="K407" t="e">
        <f>IF(#REF!=1,K406+1,0)</f>
        <v>#REF!</v>
      </c>
      <c r="L407" t="e">
        <f>IF(#REF!=2,L406+1,0)</f>
        <v>#REF!</v>
      </c>
      <c r="M407" t="e">
        <f>#REF!</f>
        <v>#REF!</v>
      </c>
      <c r="N407" t="e">
        <f>COUNTIFS(#REF!, "=1")</f>
        <v>#REF!</v>
      </c>
      <c r="O407" t="e">
        <f>COUNTIFS(#REF!, "=2")</f>
        <v>#REF!</v>
      </c>
      <c r="P407" t="e">
        <f>#REF!</f>
        <v>#REF!</v>
      </c>
    </row>
    <row r="408" spans="1:16" x14ac:dyDescent="0.25">
      <c r="A408" t="e">
        <f>AND(#REF!=2, COUNTIF(Tables!L$1:L$4,#REF!))</f>
        <v>#REF!</v>
      </c>
      <c r="B408" t="e">
        <f>AND(#REF!=1, COUNTIF(Tables!L$1:L$4,#REF!))</f>
        <v>#REF!</v>
      </c>
      <c r="C408" t="e">
        <f>AND(A408,#REF!= 0)</f>
        <v>#REF!</v>
      </c>
      <c r="D408" t="e">
        <f>AND(B408,#REF!= 0)</f>
        <v>#REF!</v>
      </c>
      <c r="E408" t="e">
        <f>isNetPoint(#REF!)</f>
        <v>#VALUE!</v>
      </c>
      <c r="F408" t="e">
        <f>OR(#REF!=1,#REF!= 1)</f>
        <v>#REF!</v>
      </c>
      <c r="G408" t="e">
        <f>IF(#REF!=1,OR(E408="1",E408="3",F408=TRUE),OR(E408="2",E408="3"))</f>
        <v>#REF!</v>
      </c>
      <c r="H408" t="e">
        <f>IF(#REF!=2,OR(E408="1",E408="3",F408=TRUE),OR(E408="2",E408="3"))</f>
        <v>#REF!</v>
      </c>
      <c r="I408" t="e">
        <f>AND(G408=TRUE,#REF!=1)</f>
        <v>#REF!</v>
      </c>
      <c r="J408" t="e">
        <f>AND(H408=TRUE,#REF!=2)</f>
        <v>#REF!</v>
      </c>
      <c r="K408" t="e">
        <f>IF(#REF!=1,K407+1,0)</f>
        <v>#REF!</v>
      </c>
      <c r="L408" t="e">
        <f>IF(#REF!=2,L407+1,0)</f>
        <v>#REF!</v>
      </c>
      <c r="M408" t="e">
        <f>#REF!</f>
        <v>#REF!</v>
      </c>
      <c r="N408" t="e">
        <f>COUNTIFS(#REF!, "=1")</f>
        <v>#REF!</v>
      </c>
      <c r="O408" t="e">
        <f>COUNTIFS(#REF!, "=2")</f>
        <v>#REF!</v>
      </c>
      <c r="P408" t="e">
        <f>#REF!</f>
        <v>#REF!</v>
      </c>
    </row>
    <row r="409" spans="1:16" x14ac:dyDescent="0.25">
      <c r="A409" t="e">
        <f>AND(#REF!=2, COUNTIF(Tables!L$1:L$4,#REF!))</f>
        <v>#REF!</v>
      </c>
      <c r="B409" t="e">
        <f>AND(#REF!=1, COUNTIF(Tables!L$1:L$4,#REF!))</f>
        <v>#REF!</v>
      </c>
      <c r="C409" t="e">
        <f>AND(A409,#REF!= 0)</f>
        <v>#REF!</v>
      </c>
      <c r="D409" t="e">
        <f>AND(B409,#REF!= 0)</f>
        <v>#REF!</v>
      </c>
      <c r="E409" t="e">
        <f>isNetPoint(#REF!)</f>
        <v>#VALUE!</v>
      </c>
      <c r="F409" t="e">
        <f>OR(#REF!=1,#REF!= 1)</f>
        <v>#REF!</v>
      </c>
      <c r="G409" t="e">
        <f>IF(#REF!=1,OR(E409="1",E409="3",F409=TRUE),OR(E409="2",E409="3"))</f>
        <v>#REF!</v>
      </c>
      <c r="H409" t="e">
        <f>IF(#REF!=2,OR(E409="1",E409="3",F409=TRUE),OR(E409="2",E409="3"))</f>
        <v>#REF!</v>
      </c>
      <c r="I409" t="e">
        <f>AND(G409=TRUE,#REF!=1)</f>
        <v>#REF!</v>
      </c>
      <c r="J409" t="e">
        <f>AND(H409=TRUE,#REF!=2)</f>
        <v>#REF!</v>
      </c>
      <c r="K409" t="e">
        <f>IF(#REF!=1,K408+1,0)</f>
        <v>#REF!</v>
      </c>
      <c r="L409" t="e">
        <f>IF(#REF!=2,L408+1,0)</f>
        <v>#REF!</v>
      </c>
      <c r="M409" t="e">
        <f>#REF!</f>
        <v>#REF!</v>
      </c>
      <c r="N409" t="e">
        <f>COUNTIFS(#REF!, "=1")</f>
        <v>#REF!</v>
      </c>
      <c r="O409" t="e">
        <f>COUNTIFS(#REF!, "=2")</f>
        <v>#REF!</v>
      </c>
      <c r="P409" t="e">
        <f>#REF!</f>
        <v>#REF!</v>
      </c>
    </row>
    <row r="410" spans="1:16" x14ac:dyDescent="0.25">
      <c r="A410" t="e">
        <f>AND(#REF!=2, COUNTIF(Tables!L$1:L$4,#REF!))</f>
        <v>#REF!</v>
      </c>
      <c r="B410" t="e">
        <f>AND(#REF!=1, COUNTIF(Tables!L$1:L$4,#REF!))</f>
        <v>#REF!</v>
      </c>
      <c r="C410" t="e">
        <f>AND(A410,#REF!= 0)</f>
        <v>#REF!</v>
      </c>
      <c r="D410" t="e">
        <f>AND(B410,#REF!= 0)</f>
        <v>#REF!</v>
      </c>
      <c r="E410" t="e">
        <f>isNetPoint(#REF!)</f>
        <v>#VALUE!</v>
      </c>
      <c r="F410" t="e">
        <f>OR(#REF!=1,#REF!= 1)</f>
        <v>#REF!</v>
      </c>
      <c r="G410" t="e">
        <f>IF(#REF!=1,OR(E410="1",E410="3",F410=TRUE),OR(E410="2",E410="3"))</f>
        <v>#REF!</v>
      </c>
      <c r="H410" t="e">
        <f>IF(#REF!=2,OR(E410="1",E410="3",F410=TRUE),OR(E410="2",E410="3"))</f>
        <v>#REF!</v>
      </c>
      <c r="I410" t="e">
        <f>AND(G410=TRUE,#REF!=1)</f>
        <v>#REF!</v>
      </c>
      <c r="J410" t="e">
        <f>AND(H410=TRUE,#REF!=2)</f>
        <v>#REF!</v>
      </c>
      <c r="K410" t="e">
        <f>IF(#REF!=1,K409+1,0)</f>
        <v>#REF!</v>
      </c>
      <c r="L410" t="e">
        <f>IF(#REF!=2,L409+1,0)</f>
        <v>#REF!</v>
      </c>
      <c r="M410" t="e">
        <f>#REF!</f>
        <v>#REF!</v>
      </c>
      <c r="N410" t="e">
        <f>COUNTIFS(#REF!, "=1")</f>
        <v>#REF!</v>
      </c>
      <c r="O410" t="e">
        <f>COUNTIFS(#REF!, "=2")</f>
        <v>#REF!</v>
      </c>
      <c r="P410" t="e">
        <f>#REF!</f>
        <v>#REF!</v>
      </c>
    </row>
    <row r="411" spans="1:16" x14ac:dyDescent="0.25">
      <c r="A411" t="e">
        <f>AND(#REF!=2, COUNTIF(Tables!L$1:L$4,#REF!))</f>
        <v>#REF!</v>
      </c>
      <c r="B411" t="e">
        <f>AND(#REF!=1, COUNTIF(Tables!L$1:L$4,#REF!))</f>
        <v>#REF!</v>
      </c>
      <c r="C411" t="e">
        <f>AND(A411,#REF!= 0)</f>
        <v>#REF!</v>
      </c>
      <c r="D411" t="e">
        <f>AND(B411,#REF!= 0)</f>
        <v>#REF!</v>
      </c>
      <c r="E411" t="e">
        <f>isNetPoint(#REF!)</f>
        <v>#VALUE!</v>
      </c>
      <c r="F411" t="e">
        <f>OR(#REF!=1,#REF!= 1)</f>
        <v>#REF!</v>
      </c>
      <c r="G411" t="e">
        <f>IF(#REF!=1,OR(E411="1",E411="3",F411=TRUE),OR(E411="2",E411="3"))</f>
        <v>#REF!</v>
      </c>
      <c r="H411" t="e">
        <f>IF(#REF!=2,OR(E411="1",E411="3",F411=TRUE),OR(E411="2",E411="3"))</f>
        <v>#REF!</v>
      </c>
      <c r="I411" t="e">
        <f>AND(G411=TRUE,#REF!=1)</f>
        <v>#REF!</v>
      </c>
      <c r="J411" t="e">
        <f>AND(H411=TRUE,#REF!=2)</f>
        <v>#REF!</v>
      </c>
      <c r="K411" t="e">
        <f>IF(#REF!=1,K410+1,0)</f>
        <v>#REF!</v>
      </c>
      <c r="L411" t="e">
        <f>IF(#REF!=2,L410+1,0)</f>
        <v>#REF!</v>
      </c>
      <c r="M411" t="e">
        <f>#REF!</f>
        <v>#REF!</v>
      </c>
      <c r="N411" t="e">
        <f>COUNTIFS(#REF!, "=1")</f>
        <v>#REF!</v>
      </c>
      <c r="O411" t="e">
        <f>COUNTIFS(#REF!, "=2")</f>
        <v>#REF!</v>
      </c>
      <c r="P411" t="e">
        <f>#REF!</f>
        <v>#REF!</v>
      </c>
    </row>
    <row r="412" spans="1:16" x14ac:dyDescent="0.25">
      <c r="A412" t="e">
        <f>AND(#REF!=2, COUNTIF(Tables!L$1:L$4,#REF!))</f>
        <v>#REF!</v>
      </c>
      <c r="B412" t="e">
        <f>AND(#REF!=1, COUNTIF(Tables!L$1:L$4,#REF!))</f>
        <v>#REF!</v>
      </c>
      <c r="C412" t="e">
        <f>AND(A412,#REF!= 0)</f>
        <v>#REF!</v>
      </c>
      <c r="D412" t="e">
        <f>AND(B412,#REF!= 0)</f>
        <v>#REF!</v>
      </c>
      <c r="E412" t="e">
        <f>isNetPoint(#REF!)</f>
        <v>#VALUE!</v>
      </c>
      <c r="F412" t="e">
        <f>OR(#REF!=1,#REF!= 1)</f>
        <v>#REF!</v>
      </c>
      <c r="G412" t="e">
        <f>IF(#REF!=1,OR(E412="1",E412="3",F412=TRUE),OR(E412="2",E412="3"))</f>
        <v>#REF!</v>
      </c>
      <c r="H412" t="e">
        <f>IF(#REF!=2,OR(E412="1",E412="3",F412=TRUE),OR(E412="2",E412="3"))</f>
        <v>#REF!</v>
      </c>
      <c r="I412" t="e">
        <f>AND(G412=TRUE,#REF!=1)</f>
        <v>#REF!</v>
      </c>
      <c r="J412" t="e">
        <f>AND(H412=TRUE,#REF!=2)</f>
        <v>#REF!</v>
      </c>
      <c r="K412" t="e">
        <f>IF(#REF!=1,K411+1,0)</f>
        <v>#REF!</v>
      </c>
      <c r="L412" t="e">
        <f>IF(#REF!=2,L411+1,0)</f>
        <v>#REF!</v>
      </c>
      <c r="M412" t="e">
        <f>#REF!</f>
        <v>#REF!</v>
      </c>
      <c r="N412" t="e">
        <f>COUNTIFS(#REF!, "=1")</f>
        <v>#REF!</v>
      </c>
      <c r="O412" t="e">
        <f>COUNTIFS(#REF!, "=2")</f>
        <v>#REF!</v>
      </c>
      <c r="P412" t="e">
        <f>#REF!</f>
        <v>#REF!</v>
      </c>
    </row>
    <row r="413" spans="1:16" x14ac:dyDescent="0.25">
      <c r="A413" t="e">
        <f>AND(#REF!=2, COUNTIF(Tables!L$1:L$4,#REF!))</f>
        <v>#REF!</v>
      </c>
      <c r="B413" t="e">
        <f>AND(#REF!=1, COUNTIF(Tables!L$1:L$4,#REF!))</f>
        <v>#REF!</v>
      </c>
      <c r="C413" t="e">
        <f>AND(A413,#REF!= 0)</f>
        <v>#REF!</v>
      </c>
      <c r="D413" t="e">
        <f>AND(B413,#REF!= 0)</f>
        <v>#REF!</v>
      </c>
      <c r="E413" t="e">
        <f>isNetPoint(#REF!)</f>
        <v>#VALUE!</v>
      </c>
      <c r="F413" t="e">
        <f>OR(#REF!=1,#REF!= 1)</f>
        <v>#REF!</v>
      </c>
      <c r="G413" t="e">
        <f>IF(#REF!=1,OR(E413="1",E413="3",F413=TRUE),OR(E413="2",E413="3"))</f>
        <v>#REF!</v>
      </c>
      <c r="H413" t="e">
        <f>IF(#REF!=2,OR(E413="1",E413="3",F413=TRUE),OR(E413="2",E413="3"))</f>
        <v>#REF!</v>
      </c>
      <c r="I413" t="e">
        <f>AND(G413=TRUE,#REF!=1)</f>
        <v>#REF!</v>
      </c>
      <c r="J413" t="e">
        <f>AND(H413=TRUE,#REF!=2)</f>
        <v>#REF!</v>
      </c>
      <c r="K413" t="e">
        <f>IF(#REF!=1,K412+1,0)</f>
        <v>#REF!</v>
      </c>
      <c r="L413" t="e">
        <f>IF(#REF!=2,L412+1,0)</f>
        <v>#REF!</v>
      </c>
      <c r="M413" t="e">
        <f>#REF!</f>
        <v>#REF!</v>
      </c>
      <c r="N413" t="e">
        <f>COUNTIFS(#REF!, "=1")</f>
        <v>#REF!</v>
      </c>
      <c r="O413" t="e">
        <f>COUNTIFS(#REF!, "=2")</f>
        <v>#REF!</v>
      </c>
      <c r="P413" t="e">
        <f>#REF!</f>
        <v>#REF!</v>
      </c>
    </row>
    <row r="414" spans="1:16" x14ac:dyDescent="0.25">
      <c r="A414" t="e">
        <f>AND(#REF!=2, COUNTIF(Tables!L$1:L$4,#REF!))</f>
        <v>#REF!</v>
      </c>
      <c r="B414" t="e">
        <f>AND(#REF!=1, COUNTIF(Tables!L$1:L$4,#REF!))</f>
        <v>#REF!</v>
      </c>
      <c r="C414" t="e">
        <f>AND(A414,#REF!= 0)</f>
        <v>#REF!</v>
      </c>
      <c r="D414" t="e">
        <f>AND(B414,#REF!= 0)</f>
        <v>#REF!</v>
      </c>
      <c r="E414" t="e">
        <f>isNetPoint(#REF!)</f>
        <v>#VALUE!</v>
      </c>
      <c r="F414" t="e">
        <f>OR(#REF!=1,#REF!= 1)</f>
        <v>#REF!</v>
      </c>
      <c r="G414" t="e">
        <f>IF(#REF!=1,OR(E414="1",E414="3",F414=TRUE),OR(E414="2",E414="3"))</f>
        <v>#REF!</v>
      </c>
      <c r="H414" t="e">
        <f>IF(#REF!=2,OR(E414="1",E414="3",F414=TRUE),OR(E414="2",E414="3"))</f>
        <v>#REF!</v>
      </c>
      <c r="I414" t="e">
        <f>AND(G414=TRUE,#REF!=1)</f>
        <v>#REF!</v>
      </c>
      <c r="J414" t="e">
        <f>AND(H414=TRUE,#REF!=2)</f>
        <v>#REF!</v>
      </c>
      <c r="K414" t="e">
        <f>IF(#REF!=1,K413+1,0)</f>
        <v>#REF!</v>
      </c>
      <c r="L414" t="e">
        <f>IF(#REF!=2,L413+1,0)</f>
        <v>#REF!</v>
      </c>
      <c r="M414" t="e">
        <f>#REF!</f>
        <v>#REF!</v>
      </c>
      <c r="N414" t="e">
        <f>COUNTIFS(#REF!, "=1")</f>
        <v>#REF!</v>
      </c>
      <c r="O414" t="e">
        <f>COUNTIFS(#REF!, "=2")</f>
        <v>#REF!</v>
      </c>
      <c r="P414" t="e">
        <f>#REF!</f>
        <v>#REF!</v>
      </c>
    </row>
    <row r="415" spans="1:16" x14ac:dyDescent="0.25">
      <c r="A415" t="e">
        <f>AND(#REF!=2, COUNTIF(Tables!L$1:L$4,#REF!))</f>
        <v>#REF!</v>
      </c>
      <c r="B415" t="e">
        <f>AND(#REF!=1, COUNTIF(Tables!L$1:L$4,#REF!))</f>
        <v>#REF!</v>
      </c>
      <c r="C415" t="e">
        <f>AND(A415,#REF!= 0)</f>
        <v>#REF!</v>
      </c>
      <c r="D415" t="e">
        <f>AND(B415,#REF!= 0)</f>
        <v>#REF!</v>
      </c>
      <c r="E415" t="e">
        <f>isNetPoint(#REF!)</f>
        <v>#VALUE!</v>
      </c>
      <c r="F415" t="e">
        <f>OR(#REF!=1,#REF!= 1)</f>
        <v>#REF!</v>
      </c>
      <c r="G415" t="e">
        <f>IF(#REF!=1,OR(E415="1",E415="3",F415=TRUE),OR(E415="2",E415="3"))</f>
        <v>#REF!</v>
      </c>
      <c r="H415" t="e">
        <f>IF(#REF!=2,OR(E415="1",E415="3",F415=TRUE),OR(E415="2",E415="3"))</f>
        <v>#REF!</v>
      </c>
      <c r="I415" t="e">
        <f>AND(G415=TRUE,#REF!=1)</f>
        <v>#REF!</v>
      </c>
      <c r="J415" t="e">
        <f>AND(H415=TRUE,#REF!=2)</f>
        <v>#REF!</v>
      </c>
      <c r="K415" t="e">
        <f>IF(#REF!=1,K414+1,0)</f>
        <v>#REF!</v>
      </c>
      <c r="L415" t="e">
        <f>IF(#REF!=2,L414+1,0)</f>
        <v>#REF!</v>
      </c>
      <c r="M415" t="e">
        <f>#REF!</f>
        <v>#REF!</v>
      </c>
      <c r="N415" t="e">
        <f>COUNTIFS(#REF!, "=1")</f>
        <v>#REF!</v>
      </c>
      <c r="O415" t="e">
        <f>COUNTIFS(#REF!, "=2")</f>
        <v>#REF!</v>
      </c>
      <c r="P415" t="e">
        <f>#REF!</f>
        <v>#REF!</v>
      </c>
    </row>
    <row r="416" spans="1:16" x14ac:dyDescent="0.25">
      <c r="A416" t="e">
        <f>AND(#REF!=2, COUNTIF(Tables!L$1:L$4,#REF!))</f>
        <v>#REF!</v>
      </c>
      <c r="B416" t="e">
        <f>AND(#REF!=1, COUNTIF(Tables!L$1:L$4,#REF!))</f>
        <v>#REF!</v>
      </c>
      <c r="C416" t="e">
        <f>AND(A416,#REF!= 0)</f>
        <v>#REF!</v>
      </c>
      <c r="D416" t="e">
        <f>AND(B416,#REF!= 0)</f>
        <v>#REF!</v>
      </c>
      <c r="E416" t="e">
        <f>isNetPoint(#REF!)</f>
        <v>#VALUE!</v>
      </c>
      <c r="F416" t="e">
        <f>OR(#REF!=1,#REF!= 1)</f>
        <v>#REF!</v>
      </c>
      <c r="G416" t="e">
        <f>IF(#REF!=1,OR(E416="1",E416="3",F416=TRUE),OR(E416="2",E416="3"))</f>
        <v>#REF!</v>
      </c>
      <c r="H416" t="e">
        <f>IF(#REF!=2,OR(E416="1",E416="3",F416=TRUE),OR(E416="2",E416="3"))</f>
        <v>#REF!</v>
      </c>
      <c r="I416" t="e">
        <f>AND(G416=TRUE,#REF!=1)</f>
        <v>#REF!</v>
      </c>
      <c r="J416" t="e">
        <f>AND(H416=TRUE,#REF!=2)</f>
        <v>#REF!</v>
      </c>
      <c r="K416" t="e">
        <f>IF(#REF!=1,K415+1,0)</f>
        <v>#REF!</v>
      </c>
      <c r="L416" t="e">
        <f>IF(#REF!=2,L415+1,0)</f>
        <v>#REF!</v>
      </c>
      <c r="M416" t="e">
        <f>#REF!</f>
        <v>#REF!</v>
      </c>
      <c r="N416" t="e">
        <f>COUNTIFS(#REF!, "=1")</f>
        <v>#REF!</v>
      </c>
      <c r="O416" t="e">
        <f>COUNTIFS(#REF!, "=2")</f>
        <v>#REF!</v>
      </c>
      <c r="P416" t="e">
        <f>#REF!</f>
        <v>#REF!</v>
      </c>
    </row>
    <row r="417" spans="1:16" x14ac:dyDescent="0.25">
      <c r="A417" t="e">
        <f>AND(#REF!=2, COUNTIF(Tables!L$1:L$4,#REF!))</f>
        <v>#REF!</v>
      </c>
      <c r="B417" t="e">
        <f>AND(#REF!=1, COUNTIF(Tables!L$1:L$4,#REF!))</f>
        <v>#REF!</v>
      </c>
      <c r="C417" t="e">
        <f>AND(A417,#REF!= 0)</f>
        <v>#REF!</v>
      </c>
      <c r="D417" t="e">
        <f>AND(B417,#REF!= 0)</f>
        <v>#REF!</v>
      </c>
      <c r="E417" t="e">
        <f>isNetPoint(#REF!)</f>
        <v>#VALUE!</v>
      </c>
      <c r="F417" t="e">
        <f>OR(#REF!=1,#REF!= 1)</f>
        <v>#REF!</v>
      </c>
      <c r="G417" t="e">
        <f>IF(#REF!=1,OR(E417="1",E417="3",F417=TRUE),OR(E417="2",E417="3"))</f>
        <v>#REF!</v>
      </c>
      <c r="H417" t="e">
        <f>IF(#REF!=2,OR(E417="1",E417="3",F417=TRUE),OR(E417="2",E417="3"))</f>
        <v>#REF!</v>
      </c>
      <c r="I417" t="e">
        <f>AND(G417=TRUE,#REF!=1)</f>
        <v>#REF!</v>
      </c>
      <c r="J417" t="e">
        <f>AND(H417=TRUE,#REF!=2)</f>
        <v>#REF!</v>
      </c>
      <c r="K417" t="e">
        <f>IF(#REF!=1,K416+1,0)</f>
        <v>#REF!</v>
      </c>
      <c r="L417" t="e">
        <f>IF(#REF!=2,L416+1,0)</f>
        <v>#REF!</v>
      </c>
      <c r="M417" t="e">
        <f>#REF!</f>
        <v>#REF!</v>
      </c>
      <c r="N417" t="e">
        <f>COUNTIFS(#REF!, "=1")</f>
        <v>#REF!</v>
      </c>
      <c r="O417" t="e">
        <f>COUNTIFS(#REF!, "=2")</f>
        <v>#REF!</v>
      </c>
      <c r="P417" t="e">
        <f>#REF!</f>
        <v>#REF!</v>
      </c>
    </row>
    <row r="418" spans="1:16" x14ac:dyDescent="0.25">
      <c r="A418" t="e">
        <f>AND(#REF!=2, COUNTIF(Tables!L$1:L$4,#REF!))</f>
        <v>#REF!</v>
      </c>
      <c r="B418" t="e">
        <f>AND(#REF!=1, COUNTIF(Tables!L$1:L$4,#REF!))</f>
        <v>#REF!</v>
      </c>
      <c r="C418" t="e">
        <f>AND(A418,#REF!= 0)</f>
        <v>#REF!</v>
      </c>
      <c r="D418" t="e">
        <f>AND(B418,#REF!= 0)</f>
        <v>#REF!</v>
      </c>
      <c r="E418" t="e">
        <f>isNetPoint(#REF!)</f>
        <v>#VALUE!</v>
      </c>
      <c r="F418" t="e">
        <f>OR(#REF!=1,#REF!= 1)</f>
        <v>#REF!</v>
      </c>
      <c r="G418" t="e">
        <f>IF(#REF!=1,OR(E418="1",E418="3",F418=TRUE),OR(E418="2",E418="3"))</f>
        <v>#REF!</v>
      </c>
      <c r="H418" t="e">
        <f>IF(#REF!=2,OR(E418="1",E418="3",F418=TRUE),OR(E418="2",E418="3"))</f>
        <v>#REF!</v>
      </c>
      <c r="I418" t="e">
        <f>AND(G418=TRUE,#REF!=1)</f>
        <v>#REF!</v>
      </c>
      <c r="J418" t="e">
        <f>AND(H418=TRUE,#REF!=2)</f>
        <v>#REF!</v>
      </c>
      <c r="K418" t="e">
        <f>IF(#REF!=1,K417+1,0)</f>
        <v>#REF!</v>
      </c>
      <c r="L418" t="e">
        <f>IF(#REF!=2,L417+1,0)</f>
        <v>#REF!</v>
      </c>
      <c r="M418" t="e">
        <f>#REF!</f>
        <v>#REF!</v>
      </c>
      <c r="N418" t="e">
        <f>COUNTIFS(#REF!, "=1")</f>
        <v>#REF!</v>
      </c>
      <c r="O418" t="e">
        <f>COUNTIFS(#REF!, "=2")</f>
        <v>#REF!</v>
      </c>
      <c r="P418" t="e">
        <f>#REF!</f>
        <v>#REF!</v>
      </c>
    </row>
    <row r="419" spans="1:16" x14ac:dyDescent="0.25">
      <c r="A419" t="e">
        <f>AND(#REF!=2, COUNTIF(Tables!L$1:L$4,#REF!))</f>
        <v>#REF!</v>
      </c>
      <c r="B419" t="e">
        <f>AND(#REF!=1, COUNTIF(Tables!L$1:L$4,#REF!))</f>
        <v>#REF!</v>
      </c>
      <c r="C419" t="e">
        <f>AND(A419,#REF!= 0)</f>
        <v>#REF!</v>
      </c>
      <c r="D419" t="e">
        <f>AND(B419,#REF!= 0)</f>
        <v>#REF!</v>
      </c>
      <c r="E419" t="e">
        <f>isNetPoint(#REF!)</f>
        <v>#VALUE!</v>
      </c>
      <c r="F419" t="e">
        <f>OR(#REF!=1,#REF!= 1)</f>
        <v>#REF!</v>
      </c>
      <c r="G419" t="e">
        <f>IF(#REF!=1,OR(E419="1",E419="3",F419=TRUE),OR(E419="2",E419="3"))</f>
        <v>#REF!</v>
      </c>
      <c r="H419" t="e">
        <f>IF(#REF!=2,OR(E419="1",E419="3",F419=TRUE),OR(E419="2",E419="3"))</f>
        <v>#REF!</v>
      </c>
      <c r="I419" t="e">
        <f>AND(G419=TRUE,#REF!=1)</f>
        <v>#REF!</v>
      </c>
      <c r="J419" t="e">
        <f>AND(H419=TRUE,#REF!=2)</f>
        <v>#REF!</v>
      </c>
      <c r="K419" t="e">
        <f>IF(#REF!=1,K418+1,0)</f>
        <v>#REF!</v>
      </c>
      <c r="L419" t="e">
        <f>IF(#REF!=2,L418+1,0)</f>
        <v>#REF!</v>
      </c>
      <c r="M419" t="e">
        <f>#REF!</f>
        <v>#REF!</v>
      </c>
      <c r="N419" t="e">
        <f>COUNTIFS(#REF!, "=1")</f>
        <v>#REF!</v>
      </c>
      <c r="O419" t="e">
        <f>COUNTIFS(#REF!, "=2")</f>
        <v>#REF!</v>
      </c>
      <c r="P419" t="e">
        <f>#REF!</f>
        <v>#REF!</v>
      </c>
    </row>
    <row r="420" spans="1:16" x14ac:dyDescent="0.25">
      <c r="A420" t="e">
        <f>AND(#REF!=2, COUNTIF(Tables!L$1:L$4,#REF!))</f>
        <v>#REF!</v>
      </c>
      <c r="B420" t="e">
        <f>AND(#REF!=1, COUNTIF(Tables!L$1:L$4,#REF!))</f>
        <v>#REF!</v>
      </c>
      <c r="C420" t="e">
        <f>AND(A420,#REF!= 0)</f>
        <v>#REF!</v>
      </c>
      <c r="D420" t="e">
        <f>AND(B420,#REF!= 0)</f>
        <v>#REF!</v>
      </c>
      <c r="E420" t="e">
        <f>isNetPoint(#REF!)</f>
        <v>#VALUE!</v>
      </c>
      <c r="F420" t="e">
        <f>OR(#REF!=1,#REF!= 1)</f>
        <v>#REF!</v>
      </c>
      <c r="G420" t="e">
        <f>IF(#REF!=1,OR(E420="1",E420="3",F420=TRUE),OR(E420="2",E420="3"))</f>
        <v>#REF!</v>
      </c>
      <c r="H420" t="e">
        <f>IF(#REF!=2,OR(E420="1",E420="3",F420=TRUE),OR(E420="2",E420="3"))</f>
        <v>#REF!</v>
      </c>
      <c r="I420" t="e">
        <f>AND(G420=TRUE,#REF!=1)</f>
        <v>#REF!</v>
      </c>
      <c r="J420" t="e">
        <f>AND(H420=TRUE,#REF!=2)</f>
        <v>#REF!</v>
      </c>
      <c r="K420" t="e">
        <f>IF(#REF!=1,K419+1,0)</f>
        <v>#REF!</v>
      </c>
      <c r="L420" t="e">
        <f>IF(#REF!=2,L419+1,0)</f>
        <v>#REF!</v>
      </c>
      <c r="M420" t="e">
        <f>#REF!</f>
        <v>#REF!</v>
      </c>
      <c r="N420" t="e">
        <f>COUNTIFS(#REF!, "=1")</f>
        <v>#REF!</v>
      </c>
      <c r="O420" t="e">
        <f>COUNTIFS(#REF!, "=2")</f>
        <v>#REF!</v>
      </c>
      <c r="P420" t="e">
        <f>#REF!</f>
        <v>#REF!</v>
      </c>
    </row>
    <row r="421" spans="1:16" x14ac:dyDescent="0.25">
      <c r="A421" t="e">
        <f>AND(#REF!=2, COUNTIF(Tables!L$1:L$4,#REF!))</f>
        <v>#REF!</v>
      </c>
      <c r="B421" t="e">
        <f>AND(#REF!=1, COUNTIF(Tables!L$1:L$4,#REF!))</f>
        <v>#REF!</v>
      </c>
      <c r="C421" t="e">
        <f>AND(A421,#REF!= 0)</f>
        <v>#REF!</v>
      </c>
      <c r="D421" t="e">
        <f>AND(B421,#REF!= 0)</f>
        <v>#REF!</v>
      </c>
      <c r="E421" t="e">
        <f>isNetPoint(#REF!)</f>
        <v>#VALUE!</v>
      </c>
      <c r="F421" t="e">
        <f>OR(#REF!=1,#REF!= 1)</f>
        <v>#REF!</v>
      </c>
      <c r="G421" t="e">
        <f>IF(#REF!=1,OR(E421="1",E421="3",F421=TRUE),OR(E421="2",E421="3"))</f>
        <v>#REF!</v>
      </c>
      <c r="H421" t="e">
        <f>IF(#REF!=2,OR(E421="1",E421="3",F421=TRUE),OR(E421="2",E421="3"))</f>
        <v>#REF!</v>
      </c>
      <c r="I421" t="e">
        <f>AND(G421=TRUE,#REF!=1)</f>
        <v>#REF!</v>
      </c>
      <c r="J421" t="e">
        <f>AND(H421=TRUE,#REF!=2)</f>
        <v>#REF!</v>
      </c>
      <c r="K421" t="e">
        <f>IF(#REF!=1,K420+1,0)</f>
        <v>#REF!</v>
      </c>
      <c r="L421" t="e">
        <f>IF(#REF!=2,L420+1,0)</f>
        <v>#REF!</v>
      </c>
      <c r="M421" t="e">
        <f>#REF!</f>
        <v>#REF!</v>
      </c>
      <c r="N421" t="e">
        <f>COUNTIFS(#REF!, "=1")</f>
        <v>#REF!</v>
      </c>
      <c r="O421" t="e">
        <f>COUNTIFS(#REF!, "=2")</f>
        <v>#REF!</v>
      </c>
      <c r="P421" t="e">
        <f>#REF!</f>
        <v>#REF!</v>
      </c>
    </row>
    <row r="422" spans="1:16" x14ac:dyDescent="0.25">
      <c r="A422" t="e">
        <f>AND(#REF!=2, COUNTIF(Tables!L$1:L$4,#REF!))</f>
        <v>#REF!</v>
      </c>
      <c r="B422" t="e">
        <f>AND(#REF!=1, COUNTIF(Tables!L$1:L$4,#REF!))</f>
        <v>#REF!</v>
      </c>
      <c r="C422" t="e">
        <f>AND(A422,#REF!= 0)</f>
        <v>#REF!</v>
      </c>
      <c r="D422" t="e">
        <f>AND(B422,#REF!= 0)</f>
        <v>#REF!</v>
      </c>
      <c r="E422" t="e">
        <f>isNetPoint(#REF!)</f>
        <v>#VALUE!</v>
      </c>
      <c r="F422" t="e">
        <f>OR(#REF!=1,#REF!= 1)</f>
        <v>#REF!</v>
      </c>
      <c r="G422" t="e">
        <f>IF(#REF!=1,OR(E422="1",E422="3",F422=TRUE),OR(E422="2",E422="3"))</f>
        <v>#REF!</v>
      </c>
      <c r="H422" t="e">
        <f>IF(#REF!=2,OR(E422="1",E422="3",F422=TRUE),OR(E422="2",E422="3"))</f>
        <v>#REF!</v>
      </c>
      <c r="I422" t="e">
        <f>AND(G422=TRUE,#REF!=1)</f>
        <v>#REF!</v>
      </c>
      <c r="J422" t="e">
        <f>AND(H422=TRUE,#REF!=2)</f>
        <v>#REF!</v>
      </c>
      <c r="K422" t="e">
        <f>IF(#REF!=1,K421+1,0)</f>
        <v>#REF!</v>
      </c>
      <c r="L422" t="e">
        <f>IF(#REF!=2,L421+1,0)</f>
        <v>#REF!</v>
      </c>
      <c r="M422" t="e">
        <f>#REF!</f>
        <v>#REF!</v>
      </c>
      <c r="N422" t="e">
        <f>COUNTIFS(#REF!, "=1")</f>
        <v>#REF!</v>
      </c>
      <c r="O422" t="e">
        <f>COUNTIFS(#REF!, "=2")</f>
        <v>#REF!</v>
      </c>
      <c r="P422" t="e">
        <f>#REF!</f>
        <v>#REF!</v>
      </c>
    </row>
    <row r="423" spans="1:16" x14ac:dyDescent="0.25">
      <c r="A423" t="e">
        <f>AND(#REF!=2, COUNTIF(Tables!L$1:L$4,#REF!))</f>
        <v>#REF!</v>
      </c>
      <c r="B423" t="e">
        <f>AND(#REF!=1, COUNTIF(Tables!L$1:L$4,#REF!))</f>
        <v>#REF!</v>
      </c>
      <c r="C423" t="e">
        <f>AND(A423,#REF!= 0)</f>
        <v>#REF!</v>
      </c>
      <c r="D423" t="e">
        <f>AND(B423,#REF!= 0)</f>
        <v>#REF!</v>
      </c>
      <c r="E423" t="e">
        <f>isNetPoint(#REF!)</f>
        <v>#VALUE!</v>
      </c>
      <c r="F423" t="e">
        <f>OR(#REF!=1,#REF!= 1)</f>
        <v>#REF!</v>
      </c>
      <c r="G423" t="e">
        <f>IF(#REF!=1,OR(E423="1",E423="3",F423=TRUE),OR(E423="2",E423="3"))</f>
        <v>#REF!</v>
      </c>
      <c r="H423" t="e">
        <f>IF(#REF!=2,OR(E423="1",E423="3",F423=TRUE),OR(E423="2",E423="3"))</f>
        <v>#REF!</v>
      </c>
      <c r="I423" t="e">
        <f>AND(G423=TRUE,#REF!=1)</f>
        <v>#REF!</v>
      </c>
      <c r="J423" t="e">
        <f>AND(H423=TRUE,#REF!=2)</f>
        <v>#REF!</v>
      </c>
      <c r="K423" t="e">
        <f>IF(#REF!=1,K422+1,0)</f>
        <v>#REF!</v>
      </c>
      <c r="L423" t="e">
        <f>IF(#REF!=2,L422+1,0)</f>
        <v>#REF!</v>
      </c>
      <c r="M423" t="e">
        <f>#REF!</f>
        <v>#REF!</v>
      </c>
      <c r="N423" t="e">
        <f>COUNTIFS(#REF!, "=1")</f>
        <v>#REF!</v>
      </c>
      <c r="O423" t="e">
        <f>COUNTIFS(#REF!, "=2")</f>
        <v>#REF!</v>
      </c>
      <c r="P423" t="e">
        <f>#REF!</f>
        <v>#REF!</v>
      </c>
    </row>
    <row r="424" spans="1:16" x14ac:dyDescent="0.25">
      <c r="A424" t="e">
        <f>AND(#REF!=2, COUNTIF(Tables!L$1:L$4,#REF!))</f>
        <v>#REF!</v>
      </c>
      <c r="B424" t="e">
        <f>AND(#REF!=1, COUNTIF(Tables!L$1:L$4,#REF!))</f>
        <v>#REF!</v>
      </c>
      <c r="C424" t="e">
        <f>AND(A424,#REF!= 0)</f>
        <v>#REF!</v>
      </c>
      <c r="D424" t="e">
        <f>AND(B424,#REF!= 0)</f>
        <v>#REF!</v>
      </c>
      <c r="E424" t="e">
        <f>isNetPoint(#REF!)</f>
        <v>#VALUE!</v>
      </c>
      <c r="F424" t="e">
        <f>OR(#REF!=1,#REF!= 1)</f>
        <v>#REF!</v>
      </c>
      <c r="G424" t="e">
        <f>IF(#REF!=1,OR(E424="1",E424="3",F424=TRUE),OR(E424="2",E424="3"))</f>
        <v>#REF!</v>
      </c>
      <c r="H424" t="e">
        <f>IF(#REF!=2,OR(E424="1",E424="3",F424=TRUE),OR(E424="2",E424="3"))</f>
        <v>#REF!</v>
      </c>
      <c r="I424" t="e">
        <f>AND(G424=TRUE,#REF!=1)</f>
        <v>#REF!</v>
      </c>
      <c r="J424" t="e">
        <f>AND(H424=TRUE,#REF!=2)</f>
        <v>#REF!</v>
      </c>
      <c r="K424" t="e">
        <f>IF(#REF!=1,K423+1,0)</f>
        <v>#REF!</v>
      </c>
      <c r="L424" t="e">
        <f>IF(#REF!=2,L423+1,0)</f>
        <v>#REF!</v>
      </c>
      <c r="M424" t="e">
        <f>#REF!</f>
        <v>#REF!</v>
      </c>
      <c r="N424" t="e">
        <f>COUNTIFS(#REF!, "=1")</f>
        <v>#REF!</v>
      </c>
      <c r="O424" t="e">
        <f>COUNTIFS(#REF!, "=2")</f>
        <v>#REF!</v>
      </c>
      <c r="P424" t="e">
        <f>#REF!</f>
        <v>#REF!</v>
      </c>
    </row>
    <row r="425" spans="1:16" x14ac:dyDescent="0.25">
      <c r="A425" t="e">
        <f>AND(#REF!=2, COUNTIF(Tables!L$1:L$4,#REF!))</f>
        <v>#REF!</v>
      </c>
      <c r="B425" t="e">
        <f>AND(#REF!=1, COUNTIF(Tables!L$1:L$4,#REF!))</f>
        <v>#REF!</v>
      </c>
      <c r="C425" t="e">
        <f>AND(A425,#REF!= 0)</f>
        <v>#REF!</v>
      </c>
      <c r="D425" t="e">
        <f>AND(B425,#REF!= 0)</f>
        <v>#REF!</v>
      </c>
      <c r="E425" t="e">
        <f>isNetPoint(#REF!)</f>
        <v>#VALUE!</v>
      </c>
      <c r="F425" t="e">
        <f>OR(#REF!=1,#REF!= 1)</f>
        <v>#REF!</v>
      </c>
      <c r="G425" t="e">
        <f>IF(#REF!=1,OR(E425="1",E425="3",F425=TRUE),OR(E425="2",E425="3"))</f>
        <v>#REF!</v>
      </c>
      <c r="H425" t="e">
        <f>IF(#REF!=2,OR(E425="1",E425="3",F425=TRUE),OR(E425="2",E425="3"))</f>
        <v>#REF!</v>
      </c>
      <c r="I425" t="e">
        <f>AND(G425=TRUE,#REF!=1)</f>
        <v>#REF!</v>
      </c>
      <c r="J425" t="e">
        <f>AND(H425=TRUE,#REF!=2)</f>
        <v>#REF!</v>
      </c>
      <c r="K425" t="e">
        <f>IF(#REF!=1,K424+1,0)</f>
        <v>#REF!</v>
      </c>
      <c r="L425" t="e">
        <f>IF(#REF!=2,L424+1,0)</f>
        <v>#REF!</v>
      </c>
      <c r="M425" t="e">
        <f>#REF!</f>
        <v>#REF!</v>
      </c>
      <c r="N425" t="e">
        <f>COUNTIFS(#REF!, "=1")</f>
        <v>#REF!</v>
      </c>
      <c r="O425" t="e">
        <f>COUNTIFS(#REF!, "=2")</f>
        <v>#REF!</v>
      </c>
      <c r="P425" t="e">
        <f>#REF!</f>
        <v>#REF!</v>
      </c>
    </row>
    <row r="426" spans="1:16" x14ac:dyDescent="0.25">
      <c r="A426" t="e">
        <f>AND(#REF!=2, COUNTIF(Tables!L$1:L$4,#REF!))</f>
        <v>#REF!</v>
      </c>
      <c r="B426" t="e">
        <f>AND(#REF!=1, COUNTIF(Tables!L$1:L$4,#REF!))</f>
        <v>#REF!</v>
      </c>
      <c r="C426" t="e">
        <f>AND(A426,#REF!= 0)</f>
        <v>#REF!</v>
      </c>
      <c r="D426" t="e">
        <f>AND(B426,#REF!= 0)</f>
        <v>#REF!</v>
      </c>
      <c r="E426" t="e">
        <f>isNetPoint(#REF!)</f>
        <v>#VALUE!</v>
      </c>
      <c r="F426" t="e">
        <f>OR(#REF!=1,#REF!= 1)</f>
        <v>#REF!</v>
      </c>
      <c r="G426" t="e">
        <f>IF(#REF!=1,OR(E426="1",E426="3",F426=TRUE),OR(E426="2",E426="3"))</f>
        <v>#REF!</v>
      </c>
      <c r="H426" t="e">
        <f>IF(#REF!=2,OR(E426="1",E426="3",F426=TRUE),OR(E426="2",E426="3"))</f>
        <v>#REF!</v>
      </c>
      <c r="I426" t="e">
        <f>AND(G426=TRUE,#REF!=1)</f>
        <v>#REF!</v>
      </c>
      <c r="J426" t="e">
        <f>AND(H426=TRUE,#REF!=2)</f>
        <v>#REF!</v>
      </c>
      <c r="K426" t="e">
        <f>IF(#REF!=1,K425+1,0)</f>
        <v>#REF!</v>
      </c>
      <c r="L426" t="e">
        <f>IF(#REF!=2,L425+1,0)</f>
        <v>#REF!</v>
      </c>
      <c r="M426" t="e">
        <f>#REF!</f>
        <v>#REF!</v>
      </c>
      <c r="N426" t="e">
        <f>COUNTIFS(#REF!, "=1")</f>
        <v>#REF!</v>
      </c>
      <c r="O426" t="e">
        <f>COUNTIFS(#REF!, "=2")</f>
        <v>#REF!</v>
      </c>
      <c r="P426" t="e">
        <f>#REF!</f>
        <v>#REF!</v>
      </c>
    </row>
    <row r="427" spans="1:16" x14ac:dyDescent="0.25">
      <c r="A427" t="e">
        <f>AND(#REF!=2, COUNTIF(Tables!L$1:L$4,#REF!))</f>
        <v>#REF!</v>
      </c>
      <c r="B427" t="e">
        <f>AND(#REF!=1, COUNTIF(Tables!L$1:L$4,#REF!))</f>
        <v>#REF!</v>
      </c>
      <c r="C427" t="e">
        <f>AND(A427,#REF!= 0)</f>
        <v>#REF!</v>
      </c>
      <c r="D427" t="e">
        <f>AND(B427,#REF!= 0)</f>
        <v>#REF!</v>
      </c>
      <c r="E427" t="e">
        <f>isNetPoint(#REF!)</f>
        <v>#VALUE!</v>
      </c>
      <c r="F427" t="e">
        <f>OR(#REF!=1,#REF!= 1)</f>
        <v>#REF!</v>
      </c>
      <c r="G427" t="e">
        <f>IF(#REF!=1,OR(E427="1",E427="3",F427=TRUE),OR(E427="2",E427="3"))</f>
        <v>#REF!</v>
      </c>
      <c r="H427" t="e">
        <f>IF(#REF!=2,OR(E427="1",E427="3",F427=TRUE),OR(E427="2",E427="3"))</f>
        <v>#REF!</v>
      </c>
      <c r="I427" t="e">
        <f>AND(G427=TRUE,#REF!=1)</f>
        <v>#REF!</v>
      </c>
      <c r="J427" t="e">
        <f>AND(H427=TRUE,#REF!=2)</f>
        <v>#REF!</v>
      </c>
      <c r="K427" t="e">
        <f>IF(#REF!=1,K426+1,0)</f>
        <v>#REF!</v>
      </c>
      <c r="L427" t="e">
        <f>IF(#REF!=2,L426+1,0)</f>
        <v>#REF!</v>
      </c>
      <c r="M427" t="e">
        <f>#REF!</f>
        <v>#REF!</v>
      </c>
      <c r="N427" t="e">
        <f>COUNTIFS(#REF!, "=1")</f>
        <v>#REF!</v>
      </c>
      <c r="O427" t="e">
        <f>COUNTIFS(#REF!, "=2")</f>
        <v>#REF!</v>
      </c>
      <c r="P427" t="e">
        <f>#REF!</f>
        <v>#REF!</v>
      </c>
    </row>
    <row r="428" spans="1:16" x14ac:dyDescent="0.25">
      <c r="A428" t="e">
        <f>AND(#REF!=2, COUNTIF(Tables!L$1:L$4,#REF!))</f>
        <v>#REF!</v>
      </c>
      <c r="B428" t="e">
        <f>AND(#REF!=1, COUNTIF(Tables!L$1:L$4,#REF!))</f>
        <v>#REF!</v>
      </c>
      <c r="C428" t="e">
        <f>AND(A428,#REF!= 0)</f>
        <v>#REF!</v>
      </c>
      <c r="D428" t="e">
        <f>AND(B428,#REF!= 0)</f>
        <v>#REF!</v>
      </c>
      <c r="E428" t="e">
        <f>isNetPoint(#REF!)</f>
        <v>#VALUE!</v>
      </c>
      <c r="F428" t="e">
        <f>OR(#REF!=1,#REF!= 1)</f>
        <v>#REF!</v>
      </c>
      <c r="G428" t="e">
        <f>IF(#REF!=1,OR(E428="1",E428="3",F428=TRUE),OR(E428="2",E428="3"))</f>
        <v>#REF!</v>
      </c>
      <c r="H428" t="e">
        <f>IF(#REF!=2,OR(E428="1",E428="3",F428=TRUE),OR(E428="2",E428="3"))</f>
        <v>#REF!</v>
      </c>
      <c r="I428" t="e">
        <f>AND(G428=TRUE,#REF!=1)</f>
        <v>#REF!</v>
      </c>
      <c r="J428" t="e">
        <f>AND(H428=TRUE,#REF!=2)</f>
        <v>#REF!</v>
      </c>
      <c r="K428" t="e">
        <f>IF(#REF!=1,K427+1,0)</f>
        <v>#REF!</v>
      </c>
      <c r="L428" t="e">
        <f>IF(#REF!=2,L427+1,0)</f>
        <v>#REF!</v>
      </c>
      <c r="M428" t="e">
        <f>#REF!</f>
        <v>#REF!</v>
      </c>
      <c r="N428" t="e">
        <f>COUNTIFS(#REF!, "=1")</f>
        <v>#REF!</v>
      </c>
      <c r="O428" t="e">
        <f>COUNTIFS(#REF!, "=2")</f>
        <v>#REF!</v>
      </c>
      <c r="P428" t="e">
        <f>#REF!</f>
        <v>#REF!</v>
      </c>
    </row>
    <row r="429" spans="1:16" x14ac:dyDescent="0.25">
      <c r="A429" t="e">
        <f>AND(#REF!=2, COUNTIF(Tables!L$1:L$4,#REF!))</f>
        <v>#REF!</v>
      </c>
      <c r="B429" t="e">
        <f>AND(#REF!=1, COUNTIF(Tables!L$1:L$4,#REF!))</f>
        <v>#REF!</v>
      </c>
      <c r="C429" t="e">
        <f>AND(A429,#REF!= 0)</f>
        <v>#REF!</v>
      </c>
      <c r="D429" t="e">
        <f>AND(B429,#REF!= 0)</f>
        <v>#REF!</v>
      </c>
      <c r="E429" t="e">
        <f>isNetPoint(#REF!)</f>
        <v>#VALUE!</v>
      </c>
      <c r="F429" t="e">
        <f>OR(#REF!=1,#REF!= 1)</f>
        <v>#REF!</v>
      </c>
      <c r="G429" t="e">
        <f>IF(#REF!=1,OR(E429="1",E429="3",F429=TRUE),OR(E429="2",E429="3"))</f>
        <v>#REF!</v>
      </c>
      <c r="H429" t="e">
        <f>IF(#REF!=2,OR(E429="1",E429="3",F429=TRUE),OR(E429="2",E429="3"))</f>
        <v>#REF!</v>
      </c>
      <c r="I429" t="e">
        <f>AND(G429=TRUE,#REF!=1)</f>
        <v>#REF!</v>
      </c>
      <c r="J429" t="e">
        <f>AND(H429=TRUE,#REF!=2)</f>
        <v>#REF!</v>
      </c>
      <c r="K429" t="e">
        <f>IF(#REF!=1,K428+1,0)</f>
        <v>#REF!</v>
      </c>
      <c r="L429" t="e">
        <f>IF(#REF!=2,L428+1,0)</f>
        <v>#REF!</v>
      </c>
      <c r="M429" t="e">
        <f>#REF!</f>
        <v>#REF!</v>
      </c>
      <c r="N429" t="e">
        <f>COUNTIFS(#REF!, "=1")</f>
        <v>#REF!</v>
      </c>
      <c r="O429" t="e">
        <f>COUNTIFS(#REF!, "=2")</f>
        <v>#REF!</v>
      </c>
      <c r="P429" t="e">
        <f>#REF!</f>
        <v>#REF!</v>
      </c>
    </row>
    <row r="430" spans="1:16" x14ac:dyDescent="0.25">
      <c r="A430" t="e">
        <f>AND(#REF!=2, COUNTIF(Tables!L$1:L$4,#REF!))</f>
        <v>#REF!</v>
      </c>
      <c r="B430" t="e">
        <f>AND(#REF!=1, COUNTIF(Tables!L$1:L$4,#REF!))</f>
        <v>#REF!</v>
      </c>
      <c r="C430" t="e">
        <f>AND(A430,#REF!= 0)</f>
        <v>#REF!</v>
      </c>
      <c r="D430" t="e">
        <f>AND(B430,#REF!= 0)</f>
        <v>#REF!</v>
      </c>
      <c r="E430" t="e">
        <f>isNetPoint(#REF!)</f>
        <v>#VALUE!</v>
      </c>
      <c r="F430" t="e">
        <f>OR(#REF!=1,#REF!= 1)</f>
        <v>#REF!</v>
      </c>
      <c r="G430" t="e">
        <f>IF(#REF!=1,OR(E430="1",E430="3",F430=TRUE),OR(E430="2",E430="3"))</f>
        <v>#REF!</v>
      </c>
      <c r="H430" t="e">
        <f>IF(#REF!=2,OR(E430="1",E430="3",F430=TRUE),OR(E430="2",E430="3"))</f>
        <v>#REF!</v>
      </c>
      <c r="I430" t="e">
        <f>AND(G430=TRUE,#REF!=1)</f>
        <v>#REF!</v>
      </c>
      <c r="J430" t="e">
        <f>AND(H430=TRUE,#REF!=2)</f>
        <v>#REF!</v>
      </c>
      <c r="K430" t="e">
        <f>IF(#REF!=1,K429+1,0)</f>
        <v>#REF!</v>
      </c>
      <c r="L430" t="e">
        <f>IF(#REF!=2,L429+1,0)</f>
        <v>#REF!</v>
      </c>
      <c r="M430" t="e">
        <f>#REF!</f>
        <v>#REF!</v>
      </c>
      <c r="N430" t="e">
        <f>COUNTIFS(#REF!, "=1")</f>
        <v>#REF!</v>
      </c>
      <c r="O430" t="e">
        <f>COUNTIFS(#REF!, "=2")</f>
        <v>#REF!</v>
      </c>
      <c r="P430" t="e">
        <f>#REF!</f>
        <v>#REF!</v>
      </c>
    </row>
    <row r="431" spans="1:16" x14ac:dyDescent="0.25">
      <c r="A431" t="e">
        <f>AND(#REF!=2, COUNTIF(Tables!L$1:L$4,#REF!))</f>
        <v>#REF!</v>
      </c>
      <c r="B431" t="e">
        <f>AND(#REF!=1, COUNTIF(Tables!L$1:L$4,#REF!))</f>
        <v>#REF!</v>
      </c>
      <c r="C431" t="e">
        <f>AND(A431,#REF!= 0)</f>
        <v>#REF!</v>
      </c>
      <c r="D431" t="e">
        <f>AND(B431,#REF!= 0)</f>
        <v>#REF!</v>
      </c>
      <c r="E431" t="e">
        <f>isNetPoint(#REF!)</f>
        <v>#VALUE!</v>
      </c>
      <c r="F431" t="e">
        <f>OR(#REF!=1,#REF!= 1)</f>
        <v>#REF!</v>
      </c>
      <c r="G431" t="e">
        <f>IF(#REF!=1,OR(E431="1",E431="3",F431=TRUE),OR(E431="2",E431="3"))</f>
        <v>#REF!</v>
      </c>
      <c r="H431" t="e">
        <f>IF(#REF!=2,OR(E431="1",E431="3",F431=TRUE),OR(E431="2",E431="3"))</f>
        <v>#REF!</v>
      </c>
      <c r="I431" t="e">
        <f>AND(G431=TRUE,#REF!=1)</f>
        <v>#REF!</v>
      </c>
      <c r="J431" t="e">
        <f>AND(H431=TRUE,#REF!=2)</f>
        <v>#REF!</v>
      </c>
      <c r="K431" t="e">
        <f>IF(#REF!=1,K430+1,0)</f>
        <v>#REF!</v>
      </c>
      <c r="L431" t="e">
        <f>IF(#REF!=2,L430+1,0)</f>
        <v>#REF!</v>
      </c>
      <c r="M431" t="e">
        <f>#REF!</f>
        <v>#REF!</v>
      </c>
      <c r="N431" t="e">
        <f>COUNTIFS(#REF!, "=1")</f>
        <v>#REF!</v>
      </c>
      <c r="O431" t="e">
        <f>COUNTIFS(#REF!, "=2")</f>
        <v>#REF!</v>
      </c>
      <c r="P431" t="e">
        <f>#REF!</f>
        <v>#REF!</v>
      </c>
    </row>
    <row r="432" spans="1:16" x14ac:dyDescent="0.25">
      <c r="A432" t="e">
        <f>AND(#REF!=2, COUNTIF(Tables!L$1:L$4,#REF!))</f>
        <v>#REF!</v>
      </c>
      <c r="B432" t="e">
        <f>AND(#REF!=1, COUNTIF(Tables!L$1:L$4,#REF!))</f>
        <v>#REF!</v>
      </c>
      <c r="C432" t="e">
        <f>AND(A432,#REF!= 0)</f>
        <v>#REF!</v>
      </c>
      <c r="D432" t="e">
        <f>AND(B432,#REF!= 0)</f>
        <v>#REF!</v>
      </c>
      <c r="E432" t="e">
        <f>isNetPoint(#REF!)</f>
        <v>#VALUE!</v>
      </c>
      <c r="F432" t="e">
        <f>OR(#REF!=1,#REF!= 1)</f>
        <v>#REF!</v>
      </c>
      <c r="G432" t="e">
        <f>IF(#REF!=1,OR(E432="1",E432="3",F432=TRUE),OR(E432="2",E432="3"))</f>
        <v>#REF!</v>
      </c>
      <c r="H432" t="e">
        <f>IF(#REF!=2,OR(E432="1",E432="3",F432=TRUE),OR(E432="2",E432="3"))</f>
        <v>#REF!</v>
      </c>
      <c r="I432" t="e">
        <f>AND(G432=TRUE,#REF!=1)</f>
        <v>#REF!</v>
      </c>
      <c r="J432" t="e">
        <f>AND(H432=TRUE,#REF!=2)</f>
        <v>#REF!</v>
      </c>
      <c r="K432" t="e">
        <f>IF(#REF!=1,K431+1,0)</f>
        <v>#REF!</v>
      </c>
      <c r="L432" t="e">
        <f>IF(#REF!=2,L431+1,0)</f>
        <v>#REF!</v>
      </c>
      <c r="M432" t="e">
        <f>#REF!</f>
        <v>#REF!</v>
      </c>
      <c r="N432" t="e">
        <f>COUNTIFS(#REF!, "=1")</f>
        <v>#REF!</v>
      </c>
      <c r="O432" t="e">
        <f>COUNTIFS(#REF!, "=2")</f>
        <v>#REF!</v>
      </c>
      <c r="P432" t="e">
        <f>#REF!</f>
        <v>#REF!</v>
      </c>
    </row>
    <row r="433" spans="1:16" x14ac:dyDescent="0.25">
      <c r="A433" t="e">
        <f>AND(#REF!=2, COUNTIF(Tables!L$1:L$4,#REF!))</f>
        <v>#REF!</v>
      </c>
      <c r="B433" t="e">
        <f>AND(#REF!=1, COUNTIF(Tables!L$1:L$4,#REF!))</f>
        <v>#REF!</v>
      </c>
      <c r="C433" t="e">
        <f>AND(A433,#REF!= 0)</f>
        <v>#REF!</v>
      </c>
      <c r="D433" t="e">
        <f>AND(B433,#REF!= 0)</f>
        <v>#REF!</v>
      </c>
      <c r="E433" t="e">
        <f>isNetPoint(#REF!)</f>
        <v>#VALUE!</v>
      </c>
      <c r="F433" t="e">
        <f>OR(#REF!=1,#REF!= 1)</f>
        <v>#REF!</v>
      </c>
      <c r="G433" t="e">
        <f>IF(#REF!=1,OR(E433="1",E433="3",F433=TRUE),OR(E433="2",E433="3"))</f>
        <v>#REF!</v>
      </c>
      <c r="H433" t="e">
        <f>IF(#REF!=2,OR(E433="1",E433="3",F433=TRUE),OR(E433="2",E433="3"))</f>
        <v>#REF!</v>
      </c>
      <c r="I433" t="e">
        <f>AND(G433=TRUE,#REF!=1)</f>
        <v>#REF!</v>
      </c>
      <c r="J433" t="e">
        <f>AND(H433=TRUE,#REF!=2)</f>
        <v>#REF!</v>
      </c>
      <c r="K433" t="e">
        <f>IF(#REF!=1,K432+1,0)</f>
        <v>#REF!</v>
      </c>
      <c r="L433" t="e">
        <f>IF(#REF!=2,L432+1,0)</f>
        <v>#REF!</v>
      </c>
      <c r="M433" t="e">
        <f>#REF!</f>
        <v>#REF!</v>
      </c>
      <c r="N433" t="e">
        <f>COUNTIFS(#REF!, "=1")</f>
        <v>#REF!</v>
      </c>
      <c r="O433" t="e">
        <f>COUNTIFS(#REF!, "=2")</f>
        <v>#REF!</v>
      </c>
      <c r="P433" t="e">
        <f>#REF!</f>
        <v>#REF!</v>
      </c>
    </row>
    <row r="434" spans="1:16" x14ac:dyDescent="0.25">
      <c r="A434" t="e">
        <f>AND(#REF!=2, COUNTIF(Tables!L$1:L$4,#REF!))</f>
        <v>#REF!</v>
      </c>
      <c r="B434" t="e">
        <f>AND(#REF!=1, COUNTIF(Tables!L$1:L$4,#REF!))</f>
        <v>#REF!</v>
      </c>
      <c r="C434" t="e">
        <f>AND(A434,#REF!= 0)</f>
        <v>#REF!</v>
      </c>
      <c r="D434" t="e">
        <f>AND(B434,#REF!= 0)</f>
        <v>#REF!</v>
      </c>
      <c r="E434" t="e">
        <f>isNetPoint(#REF!)</f>
        <v>#VALUE!</v>
      </c>
      <c r="F434" t="e">
        <f>OR(#REF!=1,#REF!= 1)</f>
        <v>#REF!</v>
      </c>
      <c r="G434" t="e">
        <f>IF(#REF!=1,OR(E434="1",E434="3",F434=TRUE),OR(E434="2",E434="3"))</f>
        <v>#REF!</v>
      </c>
      <c r="H434" t="e">
        <f>IF(#REF!=2,OR(E434="1",E434="3",F434=TRUE),OR(E434="2",E434="3"))</f>
        <v>#REF!</v>
      </c>
      <c r="I434" t="e">
        <f>AND(G434=TRUE,#REF!=1)</f>
        <v>#REF!</v>
      </c>
      <c r="J434" t="e">
        <f>AND(H434=TRUE,#REF!=2)</f>
        <v>#REF!</v>
      </c>
      <c r="K434" t="e">
        <f>IF(#REF!=1,K433+1,0)</f>
        <v>#REF!</v>
      </c>
      <c r="L434" t="e">
        <f>IF(#REF!=2,L433+1,0)</f>
        <v>#REF!</v>
      </c>
      <c r="M434" t="e">
        <f>#REF!</f>
        <v>#REF!</v>
      </c>
      <c r="N434" t="e">
        <f>COUNTIFS(#REF!, "=1")</f>
        <v>#REF!</v>
      </c>
      <c r="O434" t="e">
        <f>COUNTIFS(#REF!, "=2")</f>
        <v>#REF!</v>
      </c>
      <c r="P434" t="e">
        <f>#REF!</f>
        <v>#REF!</v>
      </c>
    </row>
    <row r="435" spans="1:16" x14ac:dyDescent="0.25">
      <c r="A435" t="e">
        <f>AND(#REF!=2, COUNTIF(Tables!L$1:L$4,#REF!))</f>
        <v>#REF!</v>
      </c>
      <c r="B435" t="e">
        <f>AND(#REF!=1, COUNTIF(Tables!L$1:L$4,#REF!))</f>
        <v>#REF!</v>
      </c>
      <c r="C435" t="e">
        <f>AND(A435,#REF!= 0)</f>
        <v>#REF!</v>
      </c>
      <c r="D435" t="e">
        <f>AND(B435,#REF!= 0)</f>
        <v>#REF!</v>
      </c>
      <c r="E435" t="e">
        <f>isNetPoint(#REF!)</f>
        <v>#VALUE!</v>
      </c>
      <c r="F435" t="e">
        <f>OR(#REF!=1,#REF!= 1)</f>
        <v>#REF!</v>
      </c>
      <c r="G435" t="e">
        <f>IF(#REF!=1,OR(E435="1",E435="3",F435=TRUE),OR(E435="2",E435="3"))</f>
        <v>#REF!</v>
      </c>
      <c r="H435" t="e">
        <f>IF(#REF!=2,OR(E435="1",E435="3",F435=TRUE),OR(E435="2",E435="3"))</f>
        <v>#REF!</v>
      </c>
      <c r="I435" t="e">
        <f>AND(G435=TRUE,#REF!=1)</f>
        <v>#REF!</v>
      </c>
      <c r="J435" t="e">
        <f>AND(H435=TRUE,#REF!=2)</f>
        <v>#REF!</v>
      </c>
      <c r="K435" t="e">
        <f>IF(#REF!=1,K434+1,0)</f>
        <v>#REF!</v>
      </c>
      <c r="L435" t="e">
        <f>IF(#REF!=2,L434+1,0)</f>
        <v>#REF!</v>
      </c>
      <c r="M435" t="e">
        <f>#REF!</f>
        <v>#REF!</v>
      </c>
      <c r="N435" t="e">
        <f>COUNTIFS(#REF!, "=1")</f>
        <v>#REF!</v>
      </c>
      <c r="O435" t="e">
        <f>COUNTIFS(#REF!, "=2")</f>
        <v>#REF!</v>
      </c>
      <c r="P435" t="e">
        <f>#REF!</f>
        <v>#REF!</v>
      </c>
    </row>
    <row r="436" spans="1:16" x14ac:dyDescent="0.25">
      <c r="A436" t="e">
        <f>AND(#REF!=2, COUNTIF(Tables!L$1:L$4,#REF!))</f>
        <v>#REF!</v>
      </c>
      <c r="B436" t="e">
        <f>AND(#REF!=1, COUNTIF(Tables!L$1:L$4,#REF!))</f>
        <v>#REF!</v>
      </c>
      <c r="C436" t="e">
        <f>AND(A436,#REF!= 0)</f>
        <v>#REF!</v>
      </c>
      <c r="D436" t="e">
        <f>AND(B436,#REF!= 0)</f>
        <v>#REF!</v>
      </c>
      <c r="E436" t="e">
        <f>isNetPoint(#REF!)</f>
        <v>#VALUE!</v>
      </c>
      <c r="F436" t="e">
        <f>OR(#REF!=1,#REF!= 1)</f>
        <v>#REF!</v>
      </c>
      <c r="G436" t="e">
        <f>IF(#REF!=1,OR(E436="1",E436="3",F436=TRUE),OR(E436="2",E436="3"))</f>
        <v>#REF!</v>
      </c>
      <c r="H436" t="e">
        <f>IF(#REF!=2,OR(E436="1",E436="3",F436=TRUE),OR(E436="2",E436="3"))</f>
        <v>#REF!</v>
      </c>
      <c r="I436" t="e">
        <f>AND(G436=TRUE,#REF!=1)</f>
        <v>#REF!</v>
      </c>
      <c r="J436" t="e">
        <f>AND(H436=TRUE,#REF!=2)</f>
        <v>#REF!</v>
      </c>
      <c r="K436" t="e">
        <f>IF(#REF!=1,K435+1,0)</f>
        <v>#REF!</v>
      </c>
      <c r="L436" t="e">
        <f>IF(#REF!=2,L435+1,0)</f>
        <v>#REF!</v>
      </c>
      <c r="M436" t="e">
        <f>#REF!</f>
        <v>#REF!</v>
      </c>
      <c r="N436" t="e">
        <f>COUNTIFS(#REF!, "=1")</f>
        <v>#REF!</v>
      </c>
      <c r="O436" t="e">
        <f>COUNTIFS(#REF!, "=2")</f>
        <v>#REF!</v>
      </c>
      <c r="P436" t="e">
        <f>#REF!</f>
        <v>#REF!</v>
      </c>
    </row>
    <row r="437" spans="1:16" x14ac:dyDescent="0.25">
      <c r="A437" t="e">
        <f>AND(#REF!=2, COUNTIF(Tables!L$1:L$4,#REF!))</f>
        <v>#REF!</v>
      </c>
      <c r="B437" t="e">
        <f>AND(#REF!=1, COUNTIF(Tables!L$1:L$4,#REF!))</f>
        <v>#REF!</v>
      </c>
      <c r="C437" t="e">
        <f>AND(A437,#REF!= 0)</f>
        <v>#REF!</v>
      </c>
      <c r="D437" t="e">
        <f>AND(B437,#REF!= 0)</f>
        <v>#REF!</v>
      </c>
      <c r="E437" t="e">
        <f>isNetPoint(#REF!)</f>
        <v>#VALUE!</v>
      </c>
      <c r="F437" t="e">
        <f>OR(#REF!=1,#REF!= 1)</f>
        <v>#REF!</v>
      </c>
      <c r="G437" t="e">
        <f>IF(#REF!=1,OR(E437="1",E437="3",F437=TRUE),OR(E437="2",E437="3"))</f>
        <v>#REF!</v>
      </c>
      <c r="H437" t="e">
        <f>IF(#REF!=2,OR(E437="1",E437="3",F437=TRUE),OR(E437="2",E437="3"))</f>
        <v>#REF!</v>
      </c>
      <c r="I437" t="e">
        <f>AND(G437=TRUE,#REF!=1)</f>
        <v>#REF!</v>
      </c>
      <c r="J437" t="e">
        <f>AND(H437=TRUE,#REF!=2)</f>
        <v>#REF!</v>
      </c>
      <c r="K437" t="e">
        <f>IF(#REF!=1,K436+1,0)</f>
        <v>#REF!</v>
      </c>
      <c r="L437" t="e">
        <f>IF(#REF!=2,L436+1,0)</f>
        <v>#REF!</v>
      </c>
      <c r="M437" t="e">
        <f>#REF!</f>
        <v>#REF!</v>
      </c>
      <c r="N437" t="e">
        <f>COUNTIFS(#REF!, "=1")</f>
        <v>#REF!</v>
      </c>
      <c r="O437" t="e">
        <f>COUNTIFS(#REF!, "=2")</f>
        <v>#REF!</v>
      </c>
      <c r="P437" t="e">
        <f>#REF!</f>
        <v>#REF!</v>
      </c>
    </row>
    <row r="438" spans="1:16" x14ac:dyDescent="0.25">
      <c r="A438" t="e">
        <f>AND(#REF!=2, COUNTIF(Tables!L$1:L$4,#REF!))</f>
        <v>#REF!</v>
      </c>
      <c r="B438" t="e">
        <f>AND(#REF!=1, COUNTIF(Tables!L$1:L$4,#REF!))</f>
        <v>#REF!</v>
      </c>
      <c r="C438" t="e">
        <f>AND(A438,#REF!= 0)</f>
        <v>#REF!</v>
      </c>
      <c r="D438" t="e">
        <f>AND(B438,#REF!= 0)</f>
        <v>#REF!</v>
      </c>
      <c r="E438" t="e">
        <f>isNetPoint(#REF!)</f>
        <v>#VALUE!</v>
      </c>
      <c r="F438" t="e">
        <f>OR(#REF!=1,#REF!= 1)</f>
        <v>#REF!</v>
      </c>
      <c r="G438" t="e">
        <f>IF(#REF!=1,OR(E438="1",E438="3",F438=TRUE),OR(E438="2",E438="3"))</f>
        <v>#REF!</v>
      </c>
      <c r="H438" t="e">
        <f>IF(#REF!=2,OR(E438="1",E438="3",F438=TRUE),OR(E438="2",E438="3"))</f>
        <v>#REF!</v>
      </c>
      <c r="I438" t="e">
        <f>AND(G438=TRUE,#REF!=1)</f>
        <v>#REF!</v>
      </c>
      <c r="J438" t="e">
        <f>AND(H438=TRUE,#REF!=2)</f>
        <v>#REF!</v>
      </c>
      <c r="K438" t="e">
        <f>IF(#REF!=1,K437+1,0)</f>
        <v>#REF!</v>
      </c>
      <c r="L438" t="e">
        <f>IF(#REF!=2,L437+1,0)</f>
        <v>#REF!</v>
      </c>
      <c r="M438" t="e">
        <f>#REF!</f>
        <v>#REF!</v>
      </c>
      <c r="N438" t="e">
        <f>COUNTIFS(#REF!, "=1")</f>
        <v>#REF!</v>
      </c>
      <c r="O438" t="e">
        <f>COUNTIFS(#REF!, "=2")</f>
        <v>#REF!</v>
      </c>
      <c r="P438" t="e">
        <f>#REF!</f>
        <v>#REF!</v>
      </c>
    </row>
    <row r="439" spans="1:16" x14ac:dyDescent="0.25">
      <c r="A439" t="e">
        <f>AND(#REF!=2, COUNTIF(Tables!L$1:L$4,#REF!))</f>
        <v>#REF!</v>
      </c>
      <c r="B439" t="e">
        <f>AND(#REF!=1, COUNTIF(Tables!L$1:L$4,#REF!))</f>
        <v>#REF!</v>
      </c>
      <c r="C439" t="e">
        <f>AND(A439,#REF!= 0)</f>
        <v>#REF!</v>
      </c>
      <c r="D439" t="e">
        <f>AND(B439,#REF!= 0)</f>
        <v>#REF!</v>
      </c>
      <c r="E439" t="e">
        <f>isNetPoint(#REF!)</f>
        <v>#VALUE!</v>
      </c>
      <c r="F439" t="e">
        <f>OR(#REF!=1,#REF!= 1)</f>
        <v>#REF!</v>
      </c>
      <c r="G439" t="e">
        <f>IF(#REF!=1,OR(E439="1",E439="3",F439=TRUE),OR(E439="2",E439="3"))</f>
        <v>#REF!</v>
      </c>
      <c r="H439" t="e">
        <f>IF(#REF!=2,OR(E439="1",E439="3",F439=TRUE),OR(E439="2",E439="3"))</f>
        <v>#REF!</v>
      </c>
      <c r="I439" t="e">
        <f>AND(G439=TRUE,#REF!=1)</f>
        <v>#REF!</v>
      </c>
      <c r="J439" t="e">
        <f>AND(H439=TRUE,#REF!=2)</f>
        <v>#REF!</v>
      </c>
      <c r="K439" t="e">
        <f>IF(#REF!=1,K438+1,0)</f>
        <v>#REF!</v>
      </c>
      <c r="L439" t="e">
        <f>IF(#REF!=2,L438+1,0)</f>
        <v>#REF!</v>
      </c>
      <c r="M439" t="e">
        <f>#REF!</f>
        <v>#REF!</v>
      </c>
      <c r="N439" t="e">
        <f>COUNTIFS(#REF!, "=1")</f>
        <v>#REF!</v>
      </c>
      <c r="O439" t="e">
        <f>COUNTIFS(#REF!, "=2")</f>
        <v>#REF!</v>
      </c>
      <c r="P439" t="e">
        <f>#REF!</f>
        <v>#REF!</v>
      </c>
    </row>
    <row r="440" spans="1:16" x14ac:dyDescent="0.25">
      <c r="A440" t="e">
        <f>AND(#REF!=2, COUNTIF(Tables!L$1:L$4,#REF!))</f>
        <v>#REF!</v>
      </c>
      <c r="B440" t="e">
        <f>AND(#REF!=1, COUNTIF(Tables!L$1:L$4,#REF!))</f>
        <v>#REF!</v>
      </c>
      <c r="C440" t="e">
        <f>AND(A440,#REF!= 0)</f>
        <v>#REF!</v>
      </c>
      <c r="D440" t="e">
        <f>AND(B440,#REF!= 0)</f>
        <v>#REF!</v>
      </c>
      <c r="E440" t="e">
        <f>isNetPoint(#REF!)</f>
        <v>#VALUE!</v>
      </c>
      <c r="F440" t="e">
        <f>OR(#REF!=1,#REF!= 1)</f>
        <v>#REF!</v>
      </c>
      <c r="G440" t="e">
        <f>IF(#REF!=1,OR(E440="1",E440="3",F440=TRUE),OR(E440="2",E440="3"))</f>
        <v>#REF!</v>
      </c>
      <c r="H440" t="e">
        <f>IF(#REF!=2,OR(E440="1",E440="3",F440=TRUE),OR(E440="2",E440="3"))</f>
        <v>#REF!</v>
      </c>
      <c r="I440" t="e">
        <f>AND(G440=TRUE,#REF!=1)</f>
        <v>#REF!</v>
      </c>
      <c r="J440" t="e">
        <f>AND(H440=TRUE,#REF!=2)</f>
        <v>#REF!</v>
      </c>
      <c r="K440" t="e">
        <f>IF(#REF!=1,K439+1,0)</f>
        <v>#REF!</v>
      </c>
      <c r="L440" t="e">
        <f>IF(#REF!=2,L439+1,0)</f>
        <v>#REF!</v>
      </c>
      <c r="M440" t="e">
        <f>#REF!</f>
        <v>#REF!</v>
      </c>
      <c r="N440" t="e">
        <f>COUNTIFS(#REF!, "=1")</f>
        <v>#REF!</v>
      </c>
      <c r="O440" t="e">
        <f>COUNTIFS(#REF!, "=2")</f>
        <v>#REF!</v>
      </c>
      <c r="P440" t="e">
        <f>#REF!</f>
        <v>#REF!</v>
      </c>
    </row>
    <row r="441" spans="1:16" x14ac:dyDescent="0.25">
      <c r="A441" t="e">
        <f>AND(#REF!=2, COUNTIF(Tables!L$1:L$4,#REF!))</f>
        <v>#REF!</v>
      </c>
      <c r="B441" t="e">
        <f>AND(#REF!=1, COUNTIF(Tables!L$1:L$4,#REF!))</f>
        <v>#REF!</v>
      </c>
      <c r="C441" t="e">
        <f>AND(A441,#REF!= 0)</f>
        <v>#REF!</v>
      </c>
      <c r="D441" t="e">
        <f>AND(B441,#REF!= 0)</f>
        <v>#REF!</v>
      </c>
      <c r="E441" t="e">
        <f>isNetPoint(#REF!)</f>
        <v>#VALUE!</v>
      </c>
      <c r="F441" t="e">
        <f>OR(#REF!=1,#REF!= 1)</f>
        <v>#REF!</v>
      </c>
      <c r="G441" t="e">
        <f>IF(#REF!=1,OR(E441="1",E441="3",F441=TRUE),OR(E441="2",E441="3"))</f>
        <v>#REF!</v>
      </c>
      <c r="H441" t="e">
        <f>IF(#REF!=2,OR(E441="1",E441="3",F441=TRUE),OR(E441="2",E441="3"))</f>
        <v>#REF!</v>
      </c>
      <c r="I441" t="e">
        <f>AND(G441=TRUE,#REF!=1)</f>
        <v>#REF!</v>
      </c>
      <c r="J441" t="e">
        <f>AND(H441=TRUE,#REF!=2)</f>
        <v>#REF!</v>
      </c>
      <c r="K441" t="e">
        <f>IF(#REF!=1,K440+1,0)</f>
        <v>#REF!</v>
      </c>
      <c r="L441" t="e">
        <f>IF(#REF!=2,L440+1,0)</f>
        <v>#REF!</v>
      </c>
      <c r="M441" t="e">
        <f>#REF!</f>
        <v>#REF!</v>
      </c>
      <c r="N441" t="e">
        <f>COUNTIFS(#REF!, "=1")</f>
        <v>#REF!</v>
      </c>
      <c r="O441" t="e">
        <f>COUNTIFS(#REF!, "=2")</f>
        <v>#REF!</v>
      </c>
      <c r="P441" t="e">
        <f>#REF!</f>
        <v>#REF!</v>
      </c>
    </row>
    <row r="442" spans="1:16" x14ac:dyDescent="0.25">
      <c r="A442" t="e">
        <f>AND(#REF!=2, COUNTIF(Tables!L$1:L$4,#REF!))</f>
        <v>#REF!</v>
      </c>
      <c r="B442" t="e">
        <f>AND(#REF!=1, COUNTIF(Tables!L$1:L$4,#REF!))</f>
        <v>#REF!</v>
      </c>
      <c r="C442" t="e">
        <f>AND(A442,#REF!= 0)</f>
        <v>#REF!</v>
      </c>
      <c r="D442" t="e">
        <f>AND(B442,#REF!= 0)</f>
        <v>#REF!</v>
      </c>
      <c r="E442" t="e">
        <f>isNetPoint(#REF!)</f>
        <v>#VALUE!</v>
      </c>
      <c r="F442" t="e">
        <f>OR(#REF!=1,#REF!= 1)</f>
        <v>#REF!</v>
      </c>
      <c r="G442" t="e">
        <f>IF(#REF!=1,OR(E442="1",E442="3",F442=TRUE),OR(E442="2",E442="3"))</f>
        <v>#REF!</v>
      </c>
      <c r="H442" t="e">
        <f>IF(#REF!=2,OR(E442="1",E442="3",F442=TRUE),OR(E442="2",E442="3"))</f>
        <v>#REF!</v>
      </c>
      <c r="I442" t="e">
        <f>AND(G442=TRUE,#REF!=1)</f>
        <v>#REF!</v>
      </c>
      <c r="J442" t="e">
        <f>AND(H442=TRUE,#REF!=2)</f>
        <v>#REF!</v>
      </c>
      <c r="K442" t="e">
        <f>IF(#REF!=1,K441+1,0)</f>
        <v>#REF!</v>
      </c>
      <c r="L442" t="e">
        <f>IF(#REF!=2,L441+1,0)</f>
        <v>#REF!</v>
      </c>
      <c r="M442" t="e">
        <f>#REF!</f>
        <v>#REF!</v>
      </c>
      <c r="N442" t="e">
        <f>COUNTIFS(#REF!, "=1")</f>
        <v>#REF!</v>
      </c>
      <c r="O442" t="e">
        <f>COUNTIFS(#REF!, "=2")</f>
        <v>#REF!</v>
      </c>
      <c r="P442" t="e">
        <f>#REF!</f>
        <v>#REF!</v>
      </c>
    </row>
    <row r="443" spans="1:16" x14ac:dyDescent="0.25">
      <c r="A443" t="e">
        <f>AND(#REF!=2, COUNTIF(Tables!L$1:L$4,#REF!))</f>
        <v>#REF!</v>
      </c>
      <c r="B443" t="e">
        <f>AND(#REF!=1, COUNTIF(Tables!L$1:L$4,#REF!))</f>
        <v>#REF!</v>
      </c>
      <c r="C443" t="e">
        <f>AND(A443,#REF!= 0)</f>
        <v>#REF!</v>
      </c>
      <c r="D443" t="e">
        <f>AND(B443,#REF!= 0)</f>
        <v>#REF!</v>
      </c>
      <c r="E443" t="e">
        <f>isNetPoint(#REF!)</f>
        <v>#VALUE!</v>
      </c>
      <c r="F443" t="e">
        <f>OR(#REF!=1,#REF!= 1)</f>
        <v>#REF!</v>
      </c>
      <c r="G443" t="e">
        <f>IF(#REF!=1,OR(E443="1",E443="3",F443=TRUE),OR(E443="2",E443="3"))</f>
        <v>#REF!</v>
      </c>
      <c r="H443" t="e">
        <f>IF(#REF!=2,OR(E443="1",E443="3",F443=TRUE),OR(E443="2",E443="3"))</f>
        <v>#REF!</v>
      </c>
      <c r="I443" t="e">
        <f>AND(G443=TRUE,#REF!=1)</f>
        <v>#REF!</v>
      </c>
      <c r="J443" t="e">
        <f>AND(H443=TRUE,#REF!=2)</f>
        <v>#REF!</v>
      </c>
      <c r="K443" t="e">
        <f>IF(#REF!=1,K442+1,0)</f>
        <v>#REF!</v>
      </c>
      <c r="L443" t="e">
        <f>IF(#REF!=2,L442+1,0)</f>
        <v>#REF!</v>
      </c>
      <c r="M443" t="e">
        <f>#REF!</f>
        <v>#REF!</v>
      </c>
      <c r="N443" t="e">
        <f>COUNTIFS(#REF!, "=1")</f>
        <v>#REF!</v>
      </c>
      <c r="O443" t="e">
        <f>COUNTIFS(#REF!, "=2")</f>
        <v>#REF!</v>
      </c>
      <c r="P443" t="e">
        <f>#REF!</f>
        <v>#REF!</v>
      </c>
    </row>
    <row r="444" spans="1:16" x14ac:dyDescent="0.25">
      <c r="A444" t="e">
        <f>AND(#REF!=2, COUNTIF(Tables!L$1:L$4,#REF!))</f>
        <v>#REF!</v>
      </c>
      <c r="B444" t="e">
        <f>AND(#REF!=1, COUNTIF(Tables!L$1:L$4,#REF!))</f>
        <v>#REF!</v>
      </c>
      <c r="C444" t="e">
        <f>AND(A444,#REF!= 0)</f>
        <v>#REF!</v>
      </c>
      <c r="D444" t="e">
        <f>AND(B444,#REF!= 0)</f>
        <v>#REF!</v>
      </c>
      <c r="E444" t="e">
        <f>isNetPoint(#REF!)</f>
        <v>#VALUE!</v>
      </c>
      <c r="F444" t="e">
        <f>OR(#REF!=1,#REF!= 1)</f>
        <v>#REF!</v>
      </c>
      <c r="G444" t="e">
        <f>IF(#REF!=1,OR(E444="1",E444="3",F444=TRUE),OR(E444="2",E444="3"))</f>
        <v>#REF!</v>
      </c>
      <c r="H444" t="e">
        <f>IF(#REF!=2,OR(E444="1",E444="3",F444=TRUE),OR(E444="2",E444="3"))</f>
        <v>#REF!</v>
      </c>
      <c r="I444" t="e">
        <f>AND(G444=TRUE,#REF!=1)</f>
        <v>#REF!</v>
      </c>
      <c r="J444" t="e">
        <f>AND(H444=TRUE,#REF!=2)</f>
        <v>#REF!</v>
      </c>
      <c r="K444" t="e">
        <f>IF(#REF!=1,K443+1,0)</f>
        <v>#REF!</v>
      </c>
      <c r="L444" t="e">
        <f>IF(#REF!=2,L443+1,0)</f>
        <v>#REF!</v>
      </c>
      <c r="M444" t="e">
        <f>#REF!</f>
        <v>#REF!</v>
      </c>
      <c r="N444" t="e">
        <f>COUNTIFS(#REF!, "=1")</f>
        <v>#REF!</v>
      </c>
      <c r="O444" t="e">
        <f>COUNTIFS(#REF!, "=2")</f>
        <v>#REF!</v>
      </c>
      <c r="P444" t="e">
        <f>#REF!</f>
        <v>#REF!</v>
      </c>
    </row>
    <row r="445" spans="1:16" x14ac:dyDescent="0.25">
      <c r="A445" t="e">
        <f>AND(#REF!=2, COUNTIF(Tables!L$1:L$4,#REF!))</f>
        <v>#REF!</v>
      </c>
      <c r="B445" t="e">
        <f>AND(#REF!=1, COUNTIF(Tables!L$1:L$4,#REF!))</f>
        <v>#REF!</v>
      </c>
      <c r="C445" t="e">
        <f>AND(A445,#REF!= 0)</f>
        <v>#REF!</v>
      </c>
      <c r="D445" t="e">
        <f>AND(B445,#REF!= 0)</f>
        <v>#REF!</v>
      </c>
      <c r="E445" t="e">
        <f>isNetPoint(#REF!)</f>
        <v>#VALUE!</v>
      </c>
      <c r="F445" t="e">
        <f>OR(#REF!=1,#REF!= 1)</f>
        <v>#REF!</v>
      </c>
      <c r="G445" t="e">
        <f>IF(#REF!=1,OR(E445="1",E445="3",F445=TRUE),OR(E445="2",E445="3"))</f>
        <v>#REF!</v>
      </c>
      <c r="H445" t="e">
        <f>IF(#REF!=2,OR(E445="1",E445="3",F445=TRUE),OR(E445="2",E445="3"))</f>
        <v>#REF!</v>
      </c>
      <c r="I445" t="e">
        <f>AND(G445=TRUE,#REF!=1)</f>
        <v>#REF!</v>
      </c>
      <c r="J445" t="e">
        <f>AND(H445=TRUE,#REF!=2)</f>
        <v>#REF!</v>
      </c>
      <c r="K445" t="e">
        <f>IF(#REF!=1,K444+1,0)</f>
        <v>#REF!</v>
      </c>
      <c r="L445" t="e">
        <f>IF(#REF!=2,L444+1,0)</f>
        <v>#REF!</v>
      </c>
      <c r="M445" t="e">
        <f>#REF!</f>
        <v>#REF!</v>
      </c>
      <c r="N445" t="e">
        <f>COUNTIFS(#REF!, "=1")</f>
        <v>#REF!</v>
      </c>
      <c r="O445" t="e">
        <f>COUNTIFS(#REF!, "=2")</f>
        <v>#REF!</v>
      </c>
      <c r="P445" t="e">
        <f>#REF!</f>
        <v>#REF!</v>
      </c>
    </row>
    <row r="446" spans="1:16" x14ac:dyDescent="0.25">
      <c r="A446" t="e">
        <f>AND(#REF!=2, COUNTIF(Tables!L$1:L$4,#REF!))</f>
        <v>#REF!</v>
      </c>
      <c r="B446" t="e">
        <f>AND(#REF!=1, COUNTIF(Tables!L$1:L$4,#REF!))</f>
        <v>#REF!</v>
      </c>
      <c r="C446" t="e">
        <f>AND(A446,#REF!= 0)</f>
        <v>#REF!</v>
      </c>
      <c r="D446" t="e">
        <f>AND(B446,#REF!= 0)</f>
        <v>#REF!</v>
      </c>
      <c r="E446" t="e">
        <f>isNetPoint(#REF!)</f>
        <v>#VALUE!</v>
      </c>
      <c r="F446" t="e">
        <f>OR(#REF!=1,#REF!= 1)</f>
        <v>#REF!</v>
      </c>
      <c r="G446" t="e">
        <f>IF(#REF!=1,OR(E446="1",E446="3",F446=TRUE),OR(E446="2",E446="3"))</f>
        <v>#REF!</v>
      </c>
      <c r="H446" t="e">
        <f>IF(#REF!=2,OR(E446="1",E446="3",F446=TRUE),OR(E446="2",E446="3"))</f>
        <v>#REF!</v>
      </c>
      <c r="I446" t="e">
        <f>AND(G446=TRUE,#REF!=1)</f>
        <v>#REF!</v>
      </c>
      <c r="J446" t="e">
        <f>AND(H446=TRUE,#REF!=2)</f>
        <v>#REF!</v>
      </c>
      <c r="K446" t="e">
        <f>IF(#REF!=1,K445+1,0)</f>
        <v>#REF!</v>
      </c>
      <c r="L446" t="e">
        <f>IF(#REF!=2,L445+1,0)</f>
        <v>#REF!</v>
      </c>
      <c r="M446" t="e">
        <f>#REF!</f>
        <v>#REF!</v>
      </c>
      <c r="N446" t="e">
        <f>COUNTIFS(#REF!, "=1")</f>
        <v>#REF!</v>
      </c>
      <c r="O446" t="e">
        <f>COUNTIFS(#REF!, "=2")</f>
        <v>#REF!</v>
      </c>
      <c r="P446" t="e">
        <f>#REF!</f>
        <v>#REF!</v>
      </c>
    </row>
    <row r="447" spans="1:16" x14ac:dyDescent="0.25">
      <c r="A447" t="e">
        <f>AND(#REF!=2, COUNTIF(Tables!L$1:L$4,#REF!))</f>
        <v>#REF!</v>
      </c>
      <c r="B447" t="e">
        <f>AND(#REF!=1, COUNTIF(Tables!L$1:L$4,#REF!))</f>
        <v>#REF!</v>
      </c>
      <c r="C447" t="e">
        <f>AND(A447,#REF!= 0)</f>
        <v>#REF!</v>
      </c>
      <c r="D447" t="e">
        <f>AND(B447,#REF!= 0)</f>
        <v>#REF!</v>
      </c>
      <c r="E447" t="e">
        <f>isNetPoint(#REF!)</f>
        <v>#VALUE!</v>
      </c>
      <c r="F447" t="e">
        <f>OR(#REF!=1,#REF!= 1)</f>
        <v>#REF!</v>
      </c>
      <c r="G447" t="e">
        <f>IF(#REF!=1,OR(E447="1",E447="3",F447=TRUE),OR(E447="2",E447="3"))</f>
        <v>#REF!</v>
      </c>
      <c r="H447" t="e">
        <f>IF(#REF!=2,OR(E447="1",E447="3",F447=TRUE),OR(E447="2",E447="3"))</f>
        <v>#REF!</v>
      </c>
      <c r="I447" t="e">
        <f>AND(G447=TRUE,#REF!=1)</f>
        <v>#REF!</v>
      </c>
      <c r="J447" t="e">
        <f>AND(H447=TRUE,#REF!=2)</f>
        <v>#REF!</v>
      </c>
      <c r="K447" t="e">
        <f>IF(#REF!=1,K446+1,0)</f>
        <v>#REF!</v>
      </c>
      <c r="L447" t="e">
        <f>IF(#REF!=2,L446+1,0)</f>
        <v>#REF!</v>
      </c>
      <c r="M447" t="e">
        <f>#REF!</f>
        <v>#REF!</v>
      </c>
      <c r="N447" t="e">
        <f>COUNTIFS(#REF!, "=1")</f>
        <v>#REF!</v>
      </c>
      <c r="O447" t="e">
        <f>COUNTIFS(#REF!, "=2")</f>
        <v>#REF!</v>
      </c>
      <c r="P447" t="e">
        <f>#REF!</f>
        <v>#REF!</v>
      </c>
    </row>
    <row r="448" spans="1:16" x14ac:dyDescent="0.25">
      <c r="A448" t="e">
        <f>AND(#REF!=2, COUNTIF(Tables!L$1:L$4,#REF!))</f>
        <v>#REF!</v>
      </c>
      <c r="B448" t="e">
        <f>AND(#REF!=1, COUNTIF(Tables!L$1:L$4,#REF!))</f>
        <v>#REF!</v>
      </c>
      <c r="C448" t="e">
        <f>AND(A448,#REF!= 0)</f>
        <v>#REF!</v>
      </c>
      <c r="D448" t="e">
        <f>AND(B448,#REF!= 0)</f>
        <v>#REF!</v>
      </c>
      <c r="E448" t="e">
        <f>isNetPoint(#REF!)</f>
        <v>#VALUE!</v>
      </c>
      <c r="F448" t="e">
        <f>OR(#REF!=1,#REF!= 1)</f>
        <v>#REF!</v>
      </c>
      <c r="G448" t="e">
        <f>IF(#REF!=1,OR(E448="1",E448="3",F448=TRUE),OR(E448="2",E448="3"))</f>
        <v>#REF!</v>
      </c>
      <c r="H448" t="e">
        <f>IF(#REF!=2,OR(E448="1",E448="3",F448=TRUE),OR(E448="2",E448="3"))</f>
        <v>#REF!</v>
      </c>
      <c r="I448" t="e">
        <f>AND(G448=TRUE,#REF!=1)</f>
        <v>#REF!</v>
      </c>
      <c r="J448" t="e">
        <f>AND(H448=TRUE,#REF!=2)</f>
        <v>#REF!</v>
      </c>
      <c r="K448" t="e">
        <f>IF(#REF!=1,K447+1,0)</f>
        <v>#REF!</v>
      </c>
      <c r="L448" t="e">
        <f>IF(#REF!=2,L447+1,0)</f>
        <v>#REF!</v>
      </c>
      <c r="M448" t="e">
        <f>#REF!</f>
        <v>#REF!</v>
      </c>
      <c r="N448" t="e">
        <f>COUNTIFS(#REF!, "=1")</f>
        <v>#REF!</v>
      </c>
      <c r="O448" t="e">
        <f>COUNTIFS(#REF!, "=2")</f>
        <v>#REF!</v>
      </c>
      <c r="P448" t="e">
        <f>#REF!</f>
        <v>#REF!</v>
      </c>
    </row>
    <row r="449" spans="1:16" x14ac:dyDescent="0.25">
      <c r="A449" t="e">
        <f>AND(#REF!=2, COUNTIF(Tables!L$1:L$4,#REF!))</f>
        <v>#REF!</v>
      </c>
      <c r="B449" t="e">
        <f>AND(#REF!=1, COUNTIF(Tables!L$1:L$4,#REF!))</f>
        <v>#REF!</v>
      </c>
      <c r="C449" t="e">
        <f>AND(A449,#REF!= 0)</f>
        <v>#REF!</v>
      </c>
      <c r="D449" t="e">
        <f>AND(B449,#REF!= 0)</f>
        <v>#REF!</v>
      </c>
      <c r="E449" t="e">
        <f>isNetPoint(#REF!)</f>
        <v>#VALUE!</v>
      </c>
      <c r="F449" t="e">
        <f>OR(#REF!=1,#REF!= 1)</f>
        <v>#REF!</v>
      </c>
      <c r="G449" t="e">
        <f>IF(#REF!=1,OR(E449="1",E449="3",F449=TRUE),OR(E449="2",E449="3"))</f>
        <v>#REF!</v>
      </c>
      <c r="H449" t="e">
        <f>IF(#REF!=2,OR(E449="1",E449="3",F449=TRUE),OR(E449="2",E449="3"))</f>
        <v>#REF!</v>
      </c>
      <c r="I449" t="e">
        <f>AND(G449=TRUE,#REF!=1)</f>
        <v>#REF!</v>
      </c>
      <c r="J449" t="e">
        <f>AND(H449=TRUE,#REF!=2)</f>
        <v>#REF!</v>
      </c>
      <c r="K449" t="e">
        <f>IF(#REF!=1,K448+1,0)</f>
        <v>#REF!</v>
      </c>
      <c r="L449" t="e">
        <f>IF(#REF!=2,L448+1,0)</f>
        <v>#REF!</v>
      </c>
      <c r="M449" t="e">
        <f>#REF!</f>
        <v>#REF!</v>
      </c>
      <c r="N449" t="e">
        <f>COUNTIFS(#REF!, "=1")</f>
        <v>#REF!</v>
      </c>
      <c r="O449" t="e">
        <f>COUNTIFS(#REF!, "=2")</f>
        <v>#REF!</v>
      </c>
      <c r="P449" t="e">
        <f>#REF!</f>
        <v>#REF!</v>
      </c>
    </row>
    <row r="450" spans="1:16" x14ac:dyDescent="0.25">
      <c r="A450" t="e">
        <f>AND(#REF!=2, COUNTIF(Tables!L$1:L$4,#REF!))</f>
        <v>#REF!</v>
      </c>
      <c r="B450" t="e">
        <f>AND(#REF!=1, COUNTIF(Tables!L$1:L$4,#REF!))</f>
        <v>#REF!</v>
      </c>
      <c r="C450" t="e">
        <f>AND(A450,#REF!= 0)</f>
        <v>#REF!</v>
      </c>
      <c r="D450" t="e">
        <f>AND(B450,#REF!= 0)</f>
        <v>#REF!</v>
      </c>
      <c r="E450" t="e">
        <f>isNetPoint(#REF!)</f>
        <v>#VALUE!</v>
      </c>
      <c r="F450" t="e">
        <f>OR(#REF!=1,#REF!= 1)</f>
        <v>#REF!</v>
      </c>
      <c r="G450" t="e">
        <f>IF(#REF!=1,OR(E450="1",E450="3",F450=TRUE),OR(E450="2",E450="3"))</f>
        <v>#REF!</v>
      </c>
      <c r="H450" t="e">
        <f>IF(#REF!=2,OR(E450="1",E450="3",F450=TRUE),OR(E450="2",E450="3"))</f>
        <v>#REF!</v>
      </c>
      <c r="I450" t="e">
        <f>AND(G450=TRUE,#REF!=1)</f>
        <v>#REF!</v>
      </c>
      <c r="J450" t="e">
        <f>AND(H450=TRUE,#REF!=2)</f>
        <v>#REF!</v>
      </c>
      <c r="K450" t="e">
        <f>IF(#REF!=1,K449+1,0)</f>
        <v>#REF!</v>
      </c>
      <c r="L450" t="e">
        <f>IF(#REF!=2,L449+1,0)</f>
        <v>#REF!</v>
      </c>
      <c r="M450" t="e">
        <f>#REF!</f>
        <v>#REF!</v>
      </c>
      <c r="N450" t="e">
        <f>COUNTIFS(#REF!, "=1")</f>
        <v>#REF!</v>
      </c>
      <c r="O450" t="e">
        <f>COUNTIFS(#REF!, "=2")</f>
        <v>#REF!</v>
      </c>
      <c r="P450" t="e">
        <f>#REF!</f>
        <v>#REF!</v>
      </c>
    </row>
    <row r="451" spans="1:16" x14ac:dyDescent="0.25">
      <c r="A451" t="e">
        <f>AND(#REF!=2, COUNTIF(Tables!L$1:L$4,#REF!))</f>
        <v>#REF!</v>
      </c>
      <c r="B451" t="e">
        <f>AND(#REF!=1, COUNTIF(Tables!L$1:L$4,#REF!))</f>
        <v>#REF!</v>
      </c>
      <c r="C451" t="e">
        <f>AND(A451,#REF!= 0)</f>
        <v>#REF!</v>
      </c>
      <c r="D451" t="e">
        <f>AND(B451,#REF!= 0)</f>
        <v>#REF!</v>
      </c>
      <c r="E451" t="e">
        <f>isNetPoint(#REF!)</f>
        <v>#VALUE!</v>
      </c>
      <c r="F451" t="e">
        <f>OR(#REF!=1,#REF!= 1)</f>
        <v>#REF!</v>
      </c>
      <c r="G451" t="e">
        <f>IF(#REF!=1,OR(E451="1",E451="3",F451=TRUE),OR(E451="2",E451="3"))</f>
        <v>#REF!</v>
      </c>
      <c r="H451" t="e">
        <f>IF(#REF!=2,OR(E451="1",E451="3",F451=TRUE),OR(E451="2",E451="3"))</f>
        <v>#REF!</v>
      </c>
      <c r="I451" t="e">
        <f>AND(G451=TRUE,#REF!=1)</f>
        <v>#REF!</v>
      </c>
      <c r="J451" t="e">
        <f>AND(H451=TRUE,#REF!=2)</f>
        <v>#REF!</v>
      </c>
      <c r="K451" t="e">
        <f>IF(#REF!=1,K450+1,0)</f>
        <v>#REF!</v>
      </c>
      <c r="L451" t="e">
        <f>IF(#REF!=2,L450+1,0)</f>
        <v>#REF!</v>
      </c>
      <c r="M451" t="e">
        <f>#REF!</f>
        <v>#REF!</v>
      </c>
      <c r="N451" t="e">
        <f>COUNTIFS(#REF!, "=1")</f>
        <v>#REF!</v>
      </c>
      <c r="O451" t="e">
        <f>COUNTIFS(#REF!, "=2")</f>
        <v>#REF!</v>
      </c>
      <c r="P451" t="e">
        <f>#REF!</f>
        <v>#REF!</v>
      </c>
    </row>
    <row r="452" spans="1:16" x14ac:dyDescent="0.25">
      <c r="A452" t="e">
        <f>AND(#REF!=2, COUNTIF(Tables!L$1:L$4,#REF!))</f>
        <v>#REF!</v>
      </c>
      <c r="B452" t="e">
        <f>AND(#REF!=1, COUNTIF(Tables!L$1:L$4,#REF!))</f>
        <v>#REF!</v>
      </c>
      <c r="C452" t="e">
        <f>AND(A452,#REF!= 0)</f>
        <v>#REF!</v>
      </c>
      <c r="D452" t="e">
        <f>AND(B452,#REF!= 0)</f>
        <v>#REF!</v>
      </c>
      <c r="E452" t="e">
        <f>isNetPoint(#REF!)</f>
        <v>#VALUE!</v>
      </c>
      <c r="F452" t="e">
        <f>OR(#REF!=1,#REF!= 1)</f>
        <v>#REF!</v>
      </c>
      <c r="G452" t="e">
        <f>IF(#REF!=1,OR(E452="1",E452="3",F452=TRUE),OR(E452="2",E452="3"))</f>
        <v>#REF!</v>
      </c>
      <c r="H452" t="e">
        <f>IF(#REF!=2,OR(E452="1",E452="3",F452=TRUE),OR(E452="2",E452="3"))</f>
        <v>#REF!</v>
      </c>
      <c r="I452" t="e">
        <f>AND(G452=TRUE,#REF!=1)</f>
        <v>#REF!</v>
      </c>
      <c r="J452" t="e">
        <f>AND(H452=TRUE,#REF!=2)</f>
        <v>#REF!</v>
      </c>
      <c r="K452" t="e">
        <f>IF(#REF!=1,K451+1,0)</f>
        <v>#REF!</v>
      </c>
      <c r="L452" t="e">
        <f>IF(#REF!=2,L451+1,0)</f>
        <v>#REF!</v>
      </c>
      <c r="M452" t="e">
        <f>#REF!</f>
        <v>#REF!</v>
      </c>
      <c r="N452" t="e">
        <f>COUNTIFS(#REF!, "=1")</f>
        <v>#REF!</v>
      </c>
      <c r="O452" t="e">
        <f>COUNTIFS(#REF!, "=2")</f>
        <v>#REF!</v>
      </c>
      <c r="P452" t="e">
        <f>#REF!</f>
        <v>#REF!</v>
      </c>
    </row>
    <row r="453" spans="1:16" x14ac:dyDescent="0.25">
      <c r="A453" t="e">
        <f>AND(#REF!=2, COUNTIF(Tables!L$1:L$4,#REF!))</f>
        <v>#REF!</v>
      </c>
      <c r="B453" t="e">
        <f>AND(#REF!=1, COUNTIF(Tables!L$1:L$4,#REF!))</f>
        <v>#REF!</v>
      </c>
      <c r="C453" t="e">
        <f>AND(A453,#REF!= 0)</f>
        <v>#REF!</v>
      </c>
      <c r="D453" t="e">
        <f>AND(B453,#REF!= 0)</f>
        <v>#REF!</v>
      </c>
      <c r="E453" t="e">
        <f>isNetPoint(#REF!)</f>
        <v>#VALUE!</v>
      </c>
      <c r="F453" t="e">
        <f>OR(#REF!=1,#REF!= 1)</f>
        <v>#REF!</v>
      </c>
      <c r="G453" t="e">
        <f>IF(#REF!=1,OR(E453="1",E453="3",F453=TRUE),OR(E453="2",E453="3"))</f>
        <v>#REF!</v>
      </c>
      <c r="H453" t="e">
        <f>IF(#REF!=2,OR(E453="1",E453="3",F453=TRUE),OR(E453="2",E453="3"))</f>
        <v>#REF!</v>
      </c>
      <c r="I453" t="e">
        <f>AND(G453=TRUE,#REF!=1)</f>
        <v>#REF!</v>
      </c>
      <c r="J453" t="e">
        <f>AND(H453=TRUE,#REF!=2)</f>
        <v>#REF!</v>
      </c>
      <c r="K453" t="e">
        <f>IF(#REF!=1,K452+1,0)</f>
        <v>#REF!</v>
      </c>
      <c r="L453" t="e">
        <f>IF(#REF!=2,L452+1,0)</f>
        <v>#REF!</v>
      </c>
      <c r="M453" t="e">
        <f>#REF!</f>
        <v>#REF!</v>
      </c>
      <c r="N453" t="e">
        <f>COUNTIFS(#REF!, "=1")</f>
        <v>#REF!</v>
      </c>
      <c r="O453" t="e">
        <f>COUNTIFS(#REF!, "=2")</f>
        <v>#REF!</v>
      </c>
      <c r="P453" t="e">
        <f>#REF!</f>
        <v>#REF!</v>
      </c>
    </row>
    <row r="454" spans="1:16" x14ac:dyDescent="0.25">
      <c r="A454" t="e">
        <f>AND(#REF!=2, COUNTIF(Tables!L$1:L$4,#REF!))</f>
        <v>#REF!</v>
      </c>
      <c r="B454" t="e">
        <f>AND(#REF!=1, COUNTIF(Tables!L$1:L$4,#REF!))</f>
        <v>#REF!</v>
      </c>
      <c r="C454" t="e">
        <f>AND(A454,#REF!= 0)</f>
        <v>#REF!</v>
      </c>
      <c r="D454" t="e">
        <f>AND(B454,#REF!= 0)</f>
        <v>#REF!</v>
      </c>
      <c r="E454" t="e">
        <f>isNetPoint(#REF!)</f>
        <v>#VALUE!</v>
      </c>
      <c r="F454" t="e">
        <f>OR(#REF!=1,#REF!= 1)</f>
        <v>#REF!</v>
      </c>
      <c r="G454" t="e">
        <f>IF(#REF!=1,OR(E454="1",E454="3",F454=TRUE),OR(E454="2",E454="3"))</f>
        <v>#REF!</v>
      </c>
      <c r="H454" t="e">
        <f>IF(#REF!=2,OR(E454="1",E454="3",F454=TRUE),OR(E454="2",E454="3"))</f>
        <v>#REF!</v>
      </c>
      <c r="I454" t="e">
        <f>AND(G454=TRUE,#REF!=1)</f>
        <v>#REF!</v>
      </c>
      <c r="J454" t="e">
        <f>AND(H454=TRUE,#REF!=2)</f>
        <v>#REF!</v>
      </c>
      <c r="K454" t="e">
        <f>IF(#REF!=1,K453+1,0)</f>
        <v>#REF!</v>
      </c>
      <c r="L454" t="e">
        <f>IF(#REF!=2,L453+1,0)</f>
        <v>#REF!</v>
      </c>
      <c r="M454" t="e">
        <f>#REF!</f>
        <v>#REF!</v>
      </c>
      <c r="N454" t="e">
        <f>COUNTIFS(#REF!, "=1")</f>
        <v>#REF!</v>
      </c>
      <c r="O454" t="e">
        <f>COUNTIFS(#REF!, "=2")</f>
        <v>#REF!</v>
      </c>
      <c r="P454" t="e">
        <f>#REF!</f>
        <v>#REF!</v>
      </c>
    </row>
    <row r="455" spans="1:16" x14ac:dyDescent="0.25">
      <c r="A455" t="e">
        <f>AND(#REF!=2, COUNTIF(Tables!L$1:L$4,#REF!))</f>
        <v>#REF!</v>
      </c>
      <c r="B455" t="e">
        <f>AND(#REF!=1, COUNTIF(Tables!L$1:L$4,#REF!))</f>
        <v>#REF!</v>
      </c>
      <c r="C455" t="e">
        <f>AND(A455,#REF!= 0)</f>
        <v>#REF!</v>
      </c>
      <c r="D455" t="e">
        <f>AND(B455,#REF!= 0)</f>
        <v>#REF!</v>
      </c>
      <c r="E455" t="e">
        <f>isNetPoint(#REF!)</f>
        <v>#VALUE!</v>
      </c>
      <c r="F455" t="e">
        <f>OR(#REF!=1,#REF!= 1)</f>
        <v>#REF!</v>
      </c>
      <c r="G455" t="e">
        <f>IF(#REF!=1,OR(E455="1",E455="3",F455=TRUE),OR(E455="2",E455="3"))</f>
        <v>#REF!</v>
      </c>
      <c r="H455" t="e">
        <f>IF(#REF!=2,OR(E455="1",E455="3",F455=TRUE),OR(E455="2",E455="3"))</f>
        <v>#REF!</v>
      </c>
      <c r="I455" t="e">
        <f>AND(G455=TRUE,#REF!=1)</f>
        <v>#REF!</v>
      </c>
      <c r="J455" t="e">
        <f>AND(H455=TRUE,#REF!=2)</f>
        <v>#REF!</v>
      </c>
      <c r="K455" t="e">
        <f>IF(#REF!=1,K454+1,0)</f>
        <v>#REF!</v>
      </c>
      <c r="L455" t="e">
        <f>IF(#REF!=2,L454+1,0)</f>
        <v>#REF!</v>
      </c>
      <c r="M455" t="e">
        <f>#REF!</f>
        <v>#REF!</v>
      </c>
      <c r="N455" t="e">
        <f>COUNTIFS(#REF!, "=1")</f>
        <v>#REF!</v>
      </c>
      <c r="O455" t="e">
        <f>COUNTIFS(#REF!, "=2")</f>
        <v>#REF!</v>
      </c>
      <c r="P455" t="e">
        <f>#REF!</f>
        <v>#REF!</v>
      </c>
    </row>
    <row r="456" spans="1:16" x14ac:dyDescent="0.25">
      <c r="A456" t="e">
        <f>AND(#REF!=2, COUNTIF(Tables!L$1:L$4,#REF!))</f>
        <v>#REF!</v>
      </c>
      <c r="B456" t="e">
        <f>AND(#REF!=1, COUNTIF(Tables!L$1:L$4,#REF!))</f>
        <v>#REF!</v>
      </c>
      <c r="C456" t="e">
        <f>AND(A456,#REF!= 0)</f>
        <v>#REF!</v>
      </c>
      <c r="D456" t="e">
        <f>AND(B456,#REF!= 0)</f>
        <v>#REF!</v>
      </c>
      <c r="E456" t="e">
        <f>isNetPoint(#REF!)</f>
        <v>#VALUE!</v>
      </c>
      <c r="F456" t="e">
        <f>OR(#REF!=1,#REF!= 1)</f>
        <v>#REF!</v>
      </c>
      <c r="G456" t="e">
        <f>IF(#REF!=1,OR(E456="1",E456="3",F456=TRUE),OR(E456="2",E456="3"))</f>
        <v>#REF!</v>
      </c>
      <c r="H456" t="e">
        <f>IF(#REF!=2,OR(E456="1",E456="3",F456=TRUE),OR(E456="2",E456="3"))</f>
        <v>#REF!</v>
      </c>
      <c r="I456" t="e">
        <f>AND(G456=TRUE,#REF!=1)</f>
        <v>#REF!</v>
      </c>
      <c r="J456" t="e">
        <f>AND(H456=TRUE,#REF!=2)</f>
        <v>#REF!</v>
      </c>
      <c r="K456" t="e">
        <f>IF(#REF!=1,K455+1,0)</f>
        <v>#REF!</v>
      </c>
      <c r="L456" t="e">
        <f>IF(#REF!=2,L455+1,0)</f>
        <v>#REF!</v>
      </c>
      <c r="M456" t="e">
        <f>#REF!</f>
        <v>#REF!</v>
      </c>
      <c r="N456" t="e">
        <f>COUNTIFS(#REF!, "=1")</f>
        <v>#REF!</v>
      </c>
      <c r="O456" t="e">
        <f>COUNTIFS(#REF!, "=2")</f>
        <v>#REF!</v>
      </c>
      <c r="P456" t="e">
        <f>#REF!</f>
        <v>#REF!</v>
      </c>
    </row>
    <row r="457" spans="1:16" x14ac:dyDescent="0.25">
      <c r="A457" t="e">
        <f>AND(#REF!=2, COUNTIF(Tables!L$1:L$4,#REF!))</f>
        <v>#REF!</v>
      </c>
      <c r="B457" t="e">
        <f>AND(#REF!=1, COUNTIF(Tables!L$1:L$4,#REF!))</f>
        <v>#REF!</v>
      </c>
      <c r="C457" t="e">
        <f>AND(A457,#REF!= 0)</f>
        <v>#REF!</v>
      </c>
      <c r="D457" t="e">
        <f>AND(B457,#REF!= 0)</f>
        <v>#REF!</v>
      </c>
      <c r="E457" t="e">
        <f>isNetPoint(#REF!)</f>
        <v>#VALUE!</v>
      </c>
      <c r="F457" t="e">
        <f>OR(#REF!=1,#REF!= 1)</f>
        <v>#REF!</v>
      </c>
      <c r="G457" t="e">
        <f>IF(#REF!=1,OR(E457="1",E457="3",F457=TRUE),OR(E457="2",E457="3"))</f>
        <v>#REF!</v>
      </c>
      <c r="H457" t="e">
        <f>IF(#REF!=2,OR(E457="1",E457="3",F457=TRUE),OR(E457="2",E457="3"))</f>
        <v>#REF!</v>
      </c>
      <c r="I457" t="e">
        <f>AND(G457=TRUE,#REF!=1)</f>
        <v>#REF!</v>
      </c>
      <c r="J457" t="e">
        <f>AND(H457=TRUE,#REF!=2)</f>
        <v>#REF!</v>
      </c>
      <c r="K457" t="e">
        <f>IF(#REF!=1,K456+1,0)</f>
        <v>#REF!</v>
      </c>
      <c r="L457" t="e">
        <f>IF(#REF!=2,L456+1,0)</f>
        <v>#REF!</v>
      </c>
      <c r="M457" t="e">
        <f>#REF!</f>
        <v>#REF!</v>
      </c>
      <c r="N457" t="e">
        <f>COUNTIFS(#REF!, "=1")</f>
        <v>#REF!</v>
      </c>
      <c r="O457" t="e">
        <f>COUNTIFS(#REF!, "=2")</f>
        <v>#REF!</v>
      </c>
      <c r="P457" t="e">
        <f>#REF!</f>
        <v>#REF!</v>
      </c>
    </row>
    <row r="458" spans="1:16" x14ac:dyDescent="0.25">
      <c r="A458" t="e">
        <f>AND(#REF!=2, COUNTIF(Tables!L$1:L$4,#REF!))</f>
        <v>#REF!</v>
      </c>
      <c r="B458" t="e">
        <f>AND(#REF!=1, COUNTIF(Tables!L$1:L$4,#REF!))</f>
        <v>#REF!</v>
      </c>
      <c r="C458" t="e">
        <f>AND(A458,#REF!= 0)</f>
        <v>#REF!</v>
      </c>
      <c r="D458" t="e">
        <f>AND(B458,#REF!= 0)</f>
        <v>#REF!</v>
      </c>
      <c r="E458" t="e">
        <f>isNetPoint(#REF!)</f>
        <v>#VALUE!</v>
      </c>
      <c r="F458" t="e">
        <f>OR(#REF!=1,#REF!= 1)</f>
        <v>#REF!</v>
      </c>
      <c r="G458" t="e">
        <f>IF(#REF!=1,OR(E458="1",E458="3",F458=TRUE),OR(E458="2",E458="3"))</f>
        <v>#REF!</v>
      </c>
      <c r="H458" t="e">
        <f>IF(#REF!=2,OR(E458="1",E458="3",F458=TRUE),OR(E458="2",E458="3"))</f>
        <v>#REF!</v>
      </c>
      <c r="I458" t="e">
        <f>AND(G458=TRUE,#REF!=1)</f>
        <v>#REF!</v>
      </c>
      <c r="J458" t="e">
        <f>AND(H458=TRUE,#REF!=2)</f>
        <v>#REF!</v>
      </c>
      <c r="K458" t="e">
        <f>IF(#REF!=1,K457+1,0)</f>
        <v>#REF!</v>
      </c>
      <c r="L458" t="e">
        <f>IF(#REF!=2,L457+1,0)</f>
        <v>#REF!</v>
      </c>
      <c r="M458" t="e">
        <f>#REF!</f>
        <v>#REF!</v>
      </c>
      <c r="N458" t="e">
        <f>COUNTIFS(#REF!, "=1")</f>
        <v>#REF!</v>
      </c>
      <c r="O458" t="e">
        <f>COUNTIFS(#REF!, "=2")</f>
        <v>#REF!</v>
      </c>
      <c r="P458" t="e">
        <f>#REF!</f>
        <v>#REF!</v>
      </c>
    </row>
    <row r="459" spans="1:16" x14ac:dyDescent="0.25">
      <c r="A459" t="e">
        <f>AND(#REF!=2, COUNTIF(Tables!L$1:L$4,#REF!))</f>
        <v>#REF!</v>
      </c>
      <c r="B459" t="e">
        <f>AND(#REF!=1, COUNTIF(Tables!L$1:L$4,#REF!))</f>
        <v>#REF!</v>
      </c>
      <c r="C459" t="e">
        <f>AND(A459,#REF!= 0)</f>
        <v>#REF!</v>
      </c>
      <c r="D459" t="e">
        <f>AND(B459,#REF!= 0)</f>
        <v>#REF!</v>
      </c>
      <c r="E459" t="e">
        <f>isNetPoint(#REF!)</f>
        <v>#VALUE!</v>
      </c>
      <c r="F459" t="e">
        <f>OR(#REF!=1,#REF!= 1)</f>
        <v>#REF!</v>
      </c>
      <c r="G459" t="e">
        <f>IF(#REF!=1,OR(E459="1",E459="3",F459=TRUE),OR(E459="2",E459="3"))</f>
        <v>#REF!</v>
      </c>
      <c r="H459" t="e">
        <f>IF(#REF!=2,OR(E459="1",E459="3",F459=TRUE),OR(E459="2",E459="3"))</f>
        <v>#REF!</v>
      </c>
      <c r="I459" t="e">
        <f>AND(G459=TRUE,#REF!=1)</f>
        <v>#REF!</v>
      </c>
      <c r="J459" t="e">
        <f>AND(H459=TRUE,#REF!=2)</f>
        <v>#REF!</v>
      </c>
      <c r="K459" t="e">
        <f>IF(#REF!=1,K458+1,0)</f>
        <v>#REF!</v>
      </c>
      <c r="L459" t="e">
        <f>IF(#REF!=2,L458+1,0)</f>
        <v>#REF!</v>
      </c>
      <c r="M459" t="e">
        <f>#REF!</f>
        <v>#REF!</v>
      </c>
      <c r="N459" t="e">
        <f>COUNTIFS(#REF!, "=1")</f>
        <v>#REF!</v>
      </c>
      <c r="O459" t="e">
        <f>COUNTIFS(#REF!, "=2")</f>
        <v>#REF!</v>
      </c>
      <c r="P459" t="e">
        <f>#REF!</f>
        <v>#REF!</v>
      </c>
    </row>
    <row r="460" spans="1:16" x14ac:dyDescent="0.25">
      <c r="A460" t="e">
        <f>AND(#REF!=2, COUNTIF(Tables!L$1:L$4,#REF!))</f>
        <v>#REF!</v>
      </c>
      <c r="B460" t="e">
        <f>AND(#REF!=1, COUNTIF(Tables!L$1:L$4,#REF!))</f>
        <v>#REF!</v>
      </c>
      <c r="C460" t="e">
        <f>AND(A460,#REF!= 0)</f>
        <v>#REF!</v>
      </c>
      <c r="D460" t="e">
        <f>AND(B460,#REF!= 0)</f>
        <v>#REF!</v>
      </c>
      <c r="E460" t="e">
        <f>isNetPoint(#REF!)</f>
        <v>#VALUE!</v>
      </c>
      <c r="F460" t="e">
        <f>OR(#REF!=1,#REF!= 1)</f>
        <v>#REF!</v>
      </c>
      <c r="G460" t="e">
        <f>IF(#REF!=1,OR(E460="1",E460="3",F460=TRUE),OR(E460="2",E460="3"))</f>
        <v>#REF!</v>
      </c>
      <c r="H460" t="e">
        <f>IF(#REF!=2,OR(E460="1",E460="3",F460=TRUE),OR(E460="2",E460="3"))</f>
        <v>#REF!</v>
      </c>
      <c r="I460" t="e">
        <f>AND(G460=TRUE,#REF!=1)</f>
        <v>#REF!</v>
      </c>
      <c r="J460" t="e">
        <f>AND(H460=TRUE,#REF!=2)</f>
        <v>#REF!</v>
      </c>
      <c r="K460" t="e">
        <f>IF(#REF!=1,K459+1,0)</f>
        <v>#REF!</v>
      </c>
      <c r="L460" t="e">
        <f>IF(#REF!=2,L459+1,0)</f>
        <v>#REF!</v>
      </c>
      <c r="M460" t="e">
        <f>#REF!</f>
        <v>#REF!</v>
      </c>
      <c r="N460" t="e">
        <f>COUNTIFS(#REF!, "=1")</f>
        <v>#REF!</v>
      </c>
      <c r="O460" t="e">
        <f>COUNTIFS(#REF!, "=2")</f>
        <v>#REF!</v>
      </c>
      <c r="P460" t="e">
        <f>#REF!</f>
        <v>#REF!</v>
      </c>
    </row>
    <row r="461" spans="1:16" x14ac:dyDescent="0.25">
      <c r="A461" t="e">
        <f>AND(#REF!=2, COUNTIF(Tables!L$1:L$4,#REF!))</f>
        <v>#REF!</v>
      </c>
      <c r="B461" t="e">
        <f>AND(#REF!=1, COUNTIF(Tables!L$1:L$4,#REF!))</f>
        <v>#REF!</v>
      </c>
      <c r="C461" t="e">
        <f>AND(A461,#REF!= 0)</f>
        <v>#REF!</v>
      </c>
      <c r="D461" t="e">
        <f>AND(B461,#REF!= 0)</f>
        <v>#REF!</v>
      </c>
      <c r="E461" t="e">
        <f>isNetPoint(#REF!)</f>
        <v>#VALUE!</v>
      </c>
      <c r="F461" t="e">
        <f>OR(#REF!=1,#REF!= 1)</f>
        <v>#REF!</v>
      </c>
      <c r="G461" t="e">
        <f>IF(#REF!=1,OR(E461="1",E461="3",F461=TRUE),OR(E461="2",E461="3"))</f>
        <v>#REF!</v>
      </c>
      <c r="H461" t="e">
        <f>IF(#REF!=2,OR(E461="1",E461="3",F461=TRUE),OR(E461="2",E461="3"))</f>
        <v>#REF!</v>
      </c>
      <c r="I461" t="e">
        <f>AND(G461=TRUE,#REF!=1)</f>
        <v>#REF!</v>
      </c>
      <c r="J461" t="e">
        <f>AND(H461=TRUE,#REF!=2)</f>
        <v>#REF!</v>
      </c>
      <c r="K461" t="e">
        <f>IF(#REF!=1,K460+1,0)</f>
        <v>#REF!</v>
      </c>
      <c r="L461" t="e">
        <f>IF(#REF!=2,L460+1,0)</f>
        <v>#REF!</v>
      </c>
      <c r="M461" t="e">
        <f>#REF!</f>
        <v>#REF!</v>
      </c>
      <c r="N461" t="e">
        <f>COUNTIFS(#REF!, "=1")</f>
        <v>#REF!</v>
      </c>
      <c r="O461" t="e">
        <f>COUNTIFS(#REF!, "=2")</f>
        <v>#REF!</v>
      </c>
      <c r="P461" t="e">
        <f>#REF!</f>
        <v>#REF!</v>
      </c>
    </row>
    <row r="462" spans="1:16" x14ac:dyDescent="0.25">
      <c r="A462" t="e">
        <f>AND(#REF!=2, COUNTIF(Tables!L$1:L$4,#REF!))</f>
        <v>#REF!</v>
      </c>
      <c r="B462" t="e">
        <f>AND(#REF!=1, COUNTIF(Tables!L$1:L$4,#REF!))</f>
        <v>#REF!</v>
      </c>
      <c r="C462" t="e">
        <f>AND(A462,#REF!= 0)</f>
        <v>#REF!</v>
      </c>
      <c r="D462" t="e">
        <f>AND(B462,#REF!= 0)</f>
        <v>#REF!</v>
      </c>
      <c r="E462" t="e">
        <f>isNetPoint(#REF!)</f>
        <v>#VALUE!</v>
      </c>
      <c r="F462" t="e">
        <f>OR(#REF!=1,#REF!= 1)</f>
        <v>#REF!</v>
      </c>
      <c r="G462" t="e">
        <f>IF(#REF!=1,OR(E462="1",E462="3",F462=TRUE),OR(E462="2",E462="3"))</f>
        <v>#REF!</v>
      </c>
      <c r="H462" t="e">
        <f>IF(#REF!=2,OR(E462="1",E462="3",F462=TRUE),OR(E462="2",E462="3"))</f>
        <v>#REF!</v>
      </c>
      <c r="I462" t="e">
        <f>AND(G462=TRUE,#REF!=1)</f>
        <v>#REF!</v>
      </c>
      <c r="J462" t="e">
        <f>AND(H462=TRUE,#REF!=2)</f>
        <v>#REF!</v>
      </c>
      <c r="K462" t="e">
        <f>IF(#REF!=1,K461+1,0)</f>
        <v>#REF!</v>
      </c>
      <c r="L462" t="e">
        <f>IF(#REF!=2,L461+1,0)</f>
        <v>#REF!</v>
      </c>
      <c r="M462" t="e">
        <f>#REF!</f>
        <v>#REF!</v>
      </c>
      <c r="N462" t="e">
        <f>COUNTIFS(#REF!, "=1")</f>
        <v>#REF!</v>
      </c>
      <c r="O462" t="e">
        <f>COUNTIFS(#REF!, "=2")</f>
        <v>#REF!</v>
      </c>
      <c r="P462" t="e">
        <f>#REF!</f>
        <v>#REF!</v>
      </c>
    </row>
    <row r="463" spans="1:16" x14ac:dyDescent="0.25">
      <c r="A463" t="e">
        <f>AND(#REF!=2, COUNTIF(Tables!L$1:L$4,#REF!))</f>
        <v>#REF!</v>
      </c>
      <c r="B463" t="e">
        <f>AND(#REF!=1, COUNTIF(Tables!L$1:L$4,#REF!))</f>
        <v>#REF!</v>
      </c>
      <c r="C463" t="e">
        <f>AND(A463,#REF!= 0)</f>
        <v>#REF!</v>
      </c>
      <c r="D463" t="e">
        <f>AND(B463,#REF!= 0)</f>
        <v>#REF!</v>
      </c>
      <c r="E463" t="e">
        <f>isNetPoint(#REF!)</f>
        <v>#VALUE!</v>
      </c>
      <c r="F463" t="e">
        <f>OR(#REF!=1,#REF!= 1)</f>
        <v>#REF!</v>
      </c>
      <c r="G463" t="e">
        <f>IF(#REF!=1,OR(E463="1",E463="3",F463=TRUE),OR(E463="2",E463="3"))</f>
        <v>#REF!</v>
      </c>
      <c r="H463" t="e">
        <f>IF(#REF!=2,OR(E463="1",E463="3",F463=TRUE),OR(E463="2",E463="3"))</f>
        <v>#REF!</v>
      </c>
      <c r="I463" t="e">
        <f>AND(G463=TRUE,#REF!=1)</f>
        <v>#REF!</v>
      </c>
      <c r="J463" t="e">
        <f>AND(H463=TRUE,#REF!=2)</f>
        <v>#REF!</v>
      </c>
      <c r="K463" t="e">
        <f>IF(#REF!=1,K462+1,0)</f>
        <v>#REF!</v>
      </c>
      <c r="L463" t="e">
        <f>IF(#REF!=2,L462+1,0)</f>
        <v>#REF!</v>
      </c>
      <c r="M463" t="e">
        <f>#REF!</f>
        <v>#REF!</v>
      </c>
      <c r="N463" t="e">
        <f>COUNTIFS(#REF!, "=1")</f>
        <v>#REF!</v>
      </c>
      <c r="O463" t="e">
        <f>COUNTIFS(#REF!, "=2")</f>
        <v>#REF!</v>
      </c>
      <c r="P463" t="e">
        <f>#REF!</f>
        <v>#REF!</v>
      </c>
    </row>
    <row r="464" spans="1:16" x14ac:dyDescent="0.25">
      <c r="A464" t="e">
        <f>AND(#REF!=2, COUNTIF(Tables!L$1:L$4,#REF!))</f>
        <v>#REF!</v>
      </c>
      <c r="B464" t="e">
        <f>AND(#REF!=1, COUNTIF(Tables!L$1:L$4,#REF!))</f>
        <v>#REF!</v>
      </c>
      <c r="C464" t="e">
        <f>AND(A464,#REF!= 0)</f>
        <v>#REF!</v>
      </c>
      <c r="D464" t="e">
        <f>AND(B464,#REF!= 0)</f>
        <v>#REF!</v>
      </c>
      <c r="E464" t="e">
        <f>isNetPoint(#REF!)</f>
        <v>#VALUE!</v>
      </c>
      <c r="F464" t="e">
        <f>OR(#REF!=1,#REF!= 1)</f>
        <v>#REF!</v>
      </c>
      <c r="G464" t="e">
        <f>IF(#REF!=1,OR(E464="1",E464="3",F464=TRUE),OR(E464="2",E464="3"))</f>
        <v>#REF!</v>
      </c>
      <c r="H464" t="e">
        <f>IF(#REF!=2,OR(E464="1",E464="3",F464=TRUE),OR(E464="2",E464="3"))</f>
        <v>#REF!</v>
      </c>
      <c r="I464" t="e">
        <f>AND(G464=TRUE,#REF!=1)</f>
        <v>#REF!</v>
      </c>
      <c r="J464" t="e">
        <f>AND(H464=TRUE,#REF!=2)</f>
        <v>#REF!</v>
      </c>
      <c r="K464" t="e">
        <f>IF(#REF!=1,K463+1,0)</f>
        <v>#REF!</v>
      </c>
      <c r="L464" t="e">
        <f>IF(#REF!=2,L463+1,0)</f>
        <v>#REF!</v>
      </c>
      <c r="M464" t="e">
        <f>#REF!</f>
        <v>#REF!</v>
      </c>
      <c r="N464" t="e">
        <f>COUNTIFS(#REF!, "=1")</f>
        <v>#REF!</v>
      </c>
      <c r="O464" t="e">
        <f>COUNTIFS(#REF!, "=2")</f>
        <v>#REF!</v>
      </c>
      <c r="P464" t="e">
        <f>#REF!</f>
        <v>#REF!</v>
      </c>
    </row>
    <row r="465" spans="1:16" x14ac:dyDescent="0.25">
      <c r="A465" t="e">
        <f>AND(#REF!=2, COUNTIF(Tables!L$1:L$4,#REF!))</f>
        <v>#REF!</v>
      </c>
      <c r="B465" t="e">
        <f>AND(#REF!=1, COUNTIF(Tables!L$1:L$4,#REF!))</f>
        <v>#REF!</v>
      </c>
      <c r="C465" t="e">
        <f>AND(A465,#REF!= 0)</f>
        <v>#REF!</v>
      </c>
      <c r="D465" t="e">
        <f>AND(B465,#REF!= 0)</f>
        <v>#REF!</v>
      </c>
      <c r="E465" t="e">
        <f>isNetPoint(#REF!)</f>
        <v>#VALUE!</v>
      </c>
      <c r="F465" t="e">
        <f>OR(#REF!=1,#REF!= 1)</f>
        <v>#REF!</v>
      </c>
      <c r="G465" t="e">
        <f>IF(#REF!=1,OR(E465="1",E465="3",F465=TRUE),OR(E465="2",E465="3"))</f>
        <v>#REF!</v>
      </c>
      <c r="H465" t="e">
        <f>IF(#REF!=2,OR(E465="1",E465="3",F465=TRUE),OR(E465="2",E465="3"))</f>
        <v>#REF!</v>
      </c>
      <c r="I465" t="e">
        <f>AND(G465=TRUE,#REF!=1)</f>
        <v>#REF!</v>
      </c>
      <c r="J465" t="e">
        <f>AND(H465=TRUE,#REF!=2)</f>
        <v>#REF!</v>
      </c>
      <c r="K465" t="e">
        <f>IF(#REF!=1,K464+1,0)</f>
        <v>#REF!</v>
      </c>
      <c r="L465" t="e">
        <f>IF(#REF!=2,L464+1,0)</f>
        <v>#REF!</v>
      </c>
      <c r="M465" t="e">
        <f>#REF!</f>
        <v>#REF!</v>
      </c>
      <c r="N465" t="e">
        <f>COUNTIFS(#REF!, "=1")</f>
        <v>#REF!</v>
      </c>
      <c r="O465" t="e">
        <f>COUNTIFS(#REF!, "=2")</f>
        <v>#REF!</v>
      </c>
      <c r="P465" t="e">
        <f>#REF!</f>
        <v>#REF!</v>
      </c>
    </row>
    <row r="466" spans="1:16" x14ac:dyDescent="0.25">
      <c r="A466" t="e">
        <f>AND(#REF!=2, COUNTIF(Tables!L$1:L$4,#REF!))</f>
        <v>#REF!</v>
      </c>
      <c r="B466" t="e">
        <f>AND(#REF!=1, COUNTIF(Tables!L$1:L$4,#REF!))</f>
        <v>#REF!</v>
      </c>
      <c r="C466" t="e">
        <f>AND(A466,#REF!= 0)</f>
        <v>#REF!</v>
      </c>
      <c r="D466" t="e">
        <f>AND(B466,#REF!= 0)</f>
        <v>#REF!</v>
      </c>
      <c r="E466" t="e">
        <f>isNetPoint(#REF!)</f>
        <v>#VALUE!</v>
      </c>
      <c r="F466" t="e">
        <f>OR(#REF!=1,#REF!= 1)</f>
        <v>#REF!</v>
      </c>
      <c r="G466" t="e">
        <f>IF(#REF!=1,OR(E466="1",E466="3",F466=TRUE),OR(E466="2",E466="3"))</f>
        <v>#REF!</v>
      </c>
      <c r="H466" t="e">
        <f>IF(#REF!=2,OR(E466="1",E466="3",F466=TRUE),OR(E466="2",E466="3"))</f>
        <v>#REF!</v>
      </c>
      <c r="I466" t="e">
        <f>AND(G466=TRUE,#REF!=1)</f>
        <v>#REF!</v>
      </c>
      <c r="J466" t="e">
        <f>AND(H466=TRUE,#REF!=2)</f>
        <v>#REF!</v>
      </c>
      <c r="K466" t="e">
        <f>IF(#REF!=1,K465+1,0)</f>
        <v>#REF!</v>
      </c>
      <c r="L466" t="e">
        <f>IF(#REF!=2,L465+1,0)</f>
        <v>#REF!</v>
      </c>
      <c r="M466" t="e">
        <f>#REF!</f>
        <v>#REF!</v>
      </c>
      <c r="N466" t="e">
        <f>COUNTIFS(#REF!, "=1")</f>
        <v>#REF!</v>
      </c>
      <c r="O466" t="e">
        <f>COUNTIFS(#REF!, "=2")</f>
        <v>#REF!</v>
      </c>
      <c r="P466" t="e">
        <f>#REF!</f>
        <v>#REF!</v>
      </c>
    </row>
    <row r="467" spans="1:16" x14ac:dyDescent="0.25">
      <c r="A467" t="e">
        <f>AND(#REF!=2, COUNTIF(Tables!L$1:L$4,#REF!))</f>
        <v>#REF!</v>
      </c>
      <c r="B467" t="e">
        <f>AND(#REF!=1, COUNTIF(Tables!L$1:L$4,#REF!))</f>
        <v>#REF!</v>
      </c>
      <c r="C467" t="e">
        <f>AND(A467,#REF!= 0)</f>
        <v>#REF!</v>
      </c>
      <c r="D467" t="e">
        <f>AND(B467,#REF!= 0)</f>
        <v>#REF!</v>
      </c>
      <c r="E467" t="e">
        <f>isNetPoint(#REF!)</f>
        <v>#VALUE!</v>
      </c>
      <c r="F467" t="e">
        <f>OR(#REF!=1,#REF!= 1)</f>
        <v>#REF!</v>
      </c>
      <c r="G467" t="e">
        <f>IF(#REF!=1,OR(E467="1",E467="3",F467=TRUE),OR(E467="2",E467="3"))</f>
        <v>#REF!</v>
      </c>
      <c r="H467" t="e">
        <f>IF(#REF!=2,OR(E467="1",E467="3",F467=TRUE),OR(E467="2",E467="3"))</f>
        <v>#REF!</v>
      </c>
      <c r="I467" t="e">
        <f>AND(G467=TRUE,#REF!=1)</f>
        <v>#REF!</v>
      </c>
      <c r="J467" t="e">
        <f>AND(H467=TRUE,#REF!=2)</f>
        <v>#REF!</v>
      </c>
      <c r="K467" t="e">
        <f>IF(#REF!=1,K466+1,0)</f>
        <v>#REF!</v>
      </c>
      <c r="L467" t="e">
        <f>IF(#REF!=2,L466+1,0)</f>
        <v>#REF!</v>
      </c>
      <c r="M467" t="e">
        <f>#REF!</f>
        <v>#REF!</v>
      </c>
      <c r="N467" t="e">
        <f>COUNTIFS(#REF!, "=1")</f>
        <v>#REF!</v>
      </c>
      <c r="O467" t="e">
        <f>COUNTIFS(#REF!, "=2")</f>
        <v>#REF!</v>
      </c>
      <c r="P467" t="e">
        <f>#REF!</f>
        <v>#REF!</v>
      </c>
    </row>
    <row r="468" spans="1:16" x14ac:dyDescent="0.25">
      <c r="A468" t="e">
        <f>AND(#REF!=2, COUNTIF(Tables!L$1:L$4,#REF!))</f>
        <v>#REF!</v>
      </c>
      <c r="B468" t="e">
        <f>AND(#REF!=1, COUNTIF(Tables!L$1:L$4,#REF!))</f>
        <v>#REF!</v>
      </c>
      <c r="C468" t="e">
        <f>AND(A468,#REF!= 0)</f>
        <v>#REF!</v>
      </c>
      <c r="D468" t="e">
        <f>AND(B468,#REF!= 0)</f>
        <v>#REF!</v>
      </c>
      <c r="E468" t="e">
        <f>isNetPoint(#REF!)</f>
        <v>#VALUE!</v>
      </c>
      <c r="F468" t="e">
        <f>OR(#REF!=1,#REF!= 1)</f>
        <v>#REF!</v>
      </c>
      <c r="G468" t="e">
        <f>IF(#REF!=1,OR(E468="1",E468="3",F468=TRUE),OR(E468="2",E468="3"))</f>
        <v>#REF!</v>
      </c>
      <c r="H468" t="e">
        <f>IF(#REF!=2,OR(E468="1",E468="3",F468=TRUE),OR(E468="2",E468="3"))</f>
        <v>#REF!</v>
      </c>
      <c r="I468" t="e">
        <f>AND(G468=TRUE,#REF!=1)</f>
        <v>#REF!</v>
      </c>
      <c r="J468" t="e">
        <f>AND(H468=TRUE,#REF!=2)</f>
        <v>#REF!</v>
      </c>
      <c r="K468" t="e">
        <f>IF(#REF!=1,K467+1,0)</f>
        <v>#REF!</v>
      </c>
      <c r="L468" t="e">
        <f>IF(#REF!=2,L467+1,0)</f>
        <v>#REF!</v>
      </c>
      <c r="M468" t="e">
        <f>#REF!</f>
        <v>#REF!</v>
      </c>
      <c r="N468" t="e">
        <f>COUNTIFS(#REF!, "=1")</f>
        <v>#REF!</v>
      </c>
      <c r="O468" t="e">
        <f>COUNTIFS(#REF!, "=2")</f>
        <v>#REF!</v>
      </c>
      <c r="P468" t="e">
        <f>#REF!</f>
        <v>#REF!</v>
      </c>
    </row>
    <row r="469" spans="1:16" x14ac:dyDescent="0.25">
      <c r="A469" t="e">
        <f>AND(#REF!=2, COUNTIF(Tables!L$1:L$4,#REF!))</f>
        <v>#REF!</v>
      </c>
      <c r="B469" t="e">
        <f>AND(#REF!=1, COUNTIF(Tables!L$1:L$4,#REF!))</f>
        <v>#REF!</v>
      </c>
      <c r="C469" t="e">
        <f>AND(A469,#REF!= 0)</f>
        <v>#REF!</v>
      </c>
      <c r="D469" t="e">
        <f>AND(B469,#REF!= 0)</f>
        <v>#REF!</v>
      </c>
      <c r="E469" t="e">
        <f>isNetPoint(#REF!)</f>
        <v>#VALUE!</v>
      </c>
      <c r="F469" t="e">
        <f>OR(#REF!=1,#REF!= 1)</f>
        <v>#REF!</v>
      </c>
      <c r="G469" t="e">
        <f>IF(#REF!=1,OR(E469="1",E469="3",F469=TRUE),OR(E469="2",E469="3"))</f>
        <v>#REF!</v>
      </c>
      <c r="H469" t="e">
        <f>IF(#REF!=2,OR(E469="1",E469="3",F469=TRUE),OR(E469="2",E469="3"))</f>
        <v>#REF!</v>
      </c>
      <c r="I469" t="e">
        <f>AND(G469=TRUE,#REF!=1)</f>
        <v>#REF!</v>
      </c>
      <c r="J469" t="e">
        <f>AND(H469=TRUE,#REF!=2)</f>
        <v>#REF!</v>
      </c>
      <c r="K469" t="e">
        <f>IF(#REF!=1,K468+1,0)</f>
        <v>#REF!</v>
      </c>
      <c r="L469" t="e">
        <f>IF(#REF!=2,L468+1,0)</f>
        <v>#REF!</v>
      </c>
      <c r="M469" t="e">
        <f>#REF!</f>
        <v>#REF!</v>
      </c>
      <c r="N469" t="e">
        <f>COUNTIFS(#REF!, "=1")</f>
        <v>#REF!</v>
      </c>
      <c r="O469" t="e">
        <f>COUNTIFS(#REF!, "=2")</f>
        <v>#REF!</v>
      </c>
      <c r="P469" t="e">
        <f>#REF!</f>
        <v>#REF!</v>
      </c>
    </row>
    <row r="470" spans="1:16" x14ac:dyDescent="0.25">
      <c r="A470" t="e">
        <f>AND(#REF!=2, COUNTIF(Tables!L$1:L$4,#REF!))</f>
        <v>#REF!</v>
      </c>
      <c r="B470" t="e">
        <f>AND(#REF!=1, COUNTIF(Tables!L$1:L$4,#REF!))</f>
        <v>#REF!</v>
      </c>
      <c r="C470" t="e">
        <f>AND(A470,#REF!= 0)</f>
        <v>#REF!</v>
      </c>
      <c r="D470" t="e">
        <f>AND(B470,#REF!= 0)</f>
        <v>#REF!</v>
      </c>
      <c r="E470" t="e">
        <f>isNetPoint(#REF!)</f>
        <v>#VALUE!</v>
      </c>
      <c r="F470" t="e">
        <f>OR(#REF!=1,#REF!= 1)</f>
        <v>#REF!</v>
      </c>
      <c r="G470" t="e">
        <f>IF(#REF!=1,OR(E470="1",E470="3",F470=TRUE),OR(E470="2",E470="3"))</f>
        <v>#REF!</v>
      </c>
      <c r="H470" t="e">
        <f>IF(#REF!=2,OR(E470="1",E470="3",F470=TRUE),OR(E470="2",E470="3"))</f>
        <v>#REF!</v>
      </c>
      <c r="I470" t="e">
        <f>AND(G470=TRUE,#REF!=1)</f>
        <v>#REF!</v>
      </c>
      <c r="J470" t="e">
        <f>AND(H470=TRUE,#REF!=2)</f>
        <v>#REF!</v>
      </c>
      <c r="K470" t="e">
        <f>IF(#REF!=1,K469+1,0)</f>
        <v>#REF!</v>
      </c>
      <c r="L470" t="e">
        <f>IF(#REF!=2,L469+1,0)</f>
        <v>#REF!</v>
      </c>
      <c r="M470" t="e">
        <f>#REF!</f>
        <v>#REF!</v>
      </c>
      <c r="N470" t="e">
        <f>COUNTIFS(#REF!, "=1")</f>
        <v>#REF!</v>
      </c>
      <c r="O470" t="e">
        <f>COUNTIFS(#REF!, "=2")</f>
        <v>#REF!</v>
      </c>
      <c r="P470" t="e">
        <f>#REF!</f>
        <v>#REF!</v>
      </c>
    </row>
    <row r="471" spans="1:16" x14ac:dyDescent="0.25">
      <c r="A471" t="e">
        <f>AND(#REF!=2, COUNTIF(Tables!L$1:L$4,#REF!))</f>
        <v>#REF!</v>
      </c>
      <c r="B471" t="e">
        <f>AND(#REF!=1, COUNTIF(Tables!L$1:L$4,#REF!))</f>
        <v>#REF!</v>
      </c>
      <c r="C471" t="e">
        <f>AND(A471,#REF!= 0)</f>
        <v>#REF!</v>
      </c>
      <c r="D471" t="e">
        <f>AND(B471,#REF!= 0)</f>
        <v>#REF!</v>
      </c>
      <c r="E471" t="e">
        <f>isNetPoint(#REF!)</f>
        <v>#VALUE!</v>
      </c>
      <c r="F471" t="e">
        <f>OR(#REF!=1,#REF!= 1)</f>
        <v>#REF!</v>
      </c>
      <c r="G471" t="e">
        <f>IF(#REF!=1,OR(E471="1",E471="3",F471=TRUE),OR(E471="2",E471="3"))</f>
        <v>#REF!</v>
      </c>
      <c r="H471" t="e">
        <f>IF(#REF!=2,OR(E471="1",E471="3",F471=TRUE),OR(E471="2",E471="3"))</f>
        <v>#REF!</v>
      </c>
      <c r="I471" t="e">
        <f>AND(G471=TRUE,#REF!=1)</f>
        <v>#REF!</v>
      </c>
      <c r="J471" t="e">
        <f>AND(H471=TRUE,#REF!=2)</f>
        <v>#REF!</v>
      </c>
      <c r="K471" t="e">
        <f>IF(#REF!=1,K470+1,0)</f>
        <v>#REF!</v>
      </c>
      <c r="L471" t="e">
        <f>IF(#REF!=2,L470+1,0)</f>
        <v>#REF!</v>
      </c>
      <c r="M471" t="e">
        <f>#REF!</f>
        <v>#REF!</v>
      </c>
      <c r="N471" t="e">
        <f>COUNTIFS(#REF!, "=1")</f>
        <v>#REF!</v>
      </c>
      <c r="O471" t="e">
        <f>COUNTIFS(#REF!, "=2")</f>
        <v>#REF!</v>
      </c>
      <c r="P471" t="e">
        <f>#REF!</f>
        <v>#REF!</v>
      </c>
    </row>
    <row r="472" spans="1:16" x14ac:dyDescent="0.25">
      <c r="A472" t="e">
        <f>AND(#REF!=2, COUNTIF(Tables!L$1:L$4,#REF!))</f>
        <v>#REF!</v>
      </c>
      <c r="B472" t="e">
        <f>AND(#REF!=1, COUNTIF(Tables!L$1:L$4,#REF!))</f>
        <v>#REF!</v>
      </c>
      <c r="C472" t="e">
        <f>AND(A472,#REF!= 0)</f>
        <v>#REF!</v>
      </c>
      <c r="D472" t="e">
        <f>AND(B472,#REF!= 0)</f>
        <v>#REF!</v>
      </c>
      <c r="E472" t="e">
        <f>isNetPoint(#REF!)</f>
        <v>#VALUE!</v>
      </c>
      <c r="F472" t="e">
        <f>OR(#REF!=1,#REF!= 1)</f>
        <v>#REF!</v>
      </c>
      <c r="G472" t="e">
        <f>IF(#REF!=1,OR(E472="1",E472="3",F472=TRUE),OR(E472="2",E472="3"))</f>
        <v>#REF!</v>
      </c>
      <c r="H472" t="e">
        <f>IF(#REF!=2,OR(E472="1",E472="3",F472=TRUE),OR(E472="2",E472="3"))</f>
        <v>#REF!</v>
      </c>
      <c r="I472" t="e">
        <f>AND(G472=TRUE,#REF!=1)</f>
        <v>#REF!</v>
      </c>
      <c r="J472" t="e">
        <f>AND(H472=TRUE,#REF!=2)</f>
        <v>#REF!</v>
      </c>
      <c r="K472" t="e">
        <f>IF(#REF!=1,K471+1,0)</f>
        <v>#REF!</v>
      </c>
      <c r="L472" t="e">
        <f>IF(#REF!=2,L471+1,0)</f>
        <v>#REF!</v>
      </c>
      <c r="M472" t="e">
        <f>#REF!</f>
        <v>#REF!</v>
      </c>
      <c r="N472" t="e">
        <f>COUNTIFS(#REF!, "=1")</f>
        <v>#REF!</v>
      </c>
      <c r="O472" t="e">
        <f>COUNTIFS(#REF!, "=2")</f>
        <v>#REF!</v>
      </c>
      <c r="P472" t="e">
        <f>#REF!</f>
        <v>#REF!</v>
      </c>
    </row>
    <row r="473" spans="1:16" x14ac:dyDescent="0.25">
      <c r="A473" t="e">
        <f>AND(#REF!=2, COUNTIF(Tables!L$1:L$4,#REF!))</f>
        <v>#REF!</v>
      </c>
      <c r="B473" t="e">
        <f>AND(#REF!=1, COUNTIF(Tables!L$1:L$4,#REF!))</f>
        <v>#REF!</v>
      </c>
      <c r="C473" t="e">
        <f>AND(A473,#REF!= 0)</f>
        <v>#REF!</v>
      </c>
      <c r="D473" t="e">
        <f>AND(B473,#REF!= 0)</f>
        <v>#REF!</v>
      </c>
      <c r="E473" t="e">
        <f>isNetPoint(#REF!)</f>
        <v>#VALUE!</v>
      </c>
      <c r="F473" t="e">
        <f>OR(#REF!=1,#REF!= 1)</f>
        <v>#REF!</v>
      </c>
      <c r="G473" t="e">
        <f>IF(#REF!=1,OR(E473="1",E473="3",F473=TRUE),OR(E473="2",E473="3"))</f>
        <v>#REF!</v>
      </c>
      <c r="H473" t="e">
        <f>IF(#REF!=2,OR(E473="1",E473="3",F473=TRUE),OR(E473="2",E473="3"))</f>
        <v>#REF!</v>
      </c>
      <c r="I473" t="e">
        <f>AND(G473=TRUE,#REF!=1)</f>
        <v>#REF!</v>
      </c>
      <c r="J473" t="e">
        <f>AND(H473=TRUE,#REF!=2)</f>
        <v>#REF!</v>
      </c>
      <c r="K473" t="e">
        <f>IF(#REF!=1,K472+1,0)</f>
        <v>#REF!</v>
      </c>
      <c r="L473" t="e">
        <f>IF(#REF!=2,L472+1,0)</f>
        <v>#REF!</v>
      </c>
      <c r="M473" t="e">
        <f>#REF!</f>
        <v>#REF!</v>
      </c>
      <c r="N473" t="e">
        <f>COUNTIFS(#REF!, "=1")</f>
        <v>#REF!</v>
      </c>
      <c r="O473" t="e">
        <f>COUNTIFS(#REF!, "=2")</f>
        <v>#REF!</v>
      </c>
      <c r="P473" t="e">
        <f>#REF!</f>
        <v>#REF!</v>
      </c>
    </row>
    <row r="474" spans="1:16" x14ac:dyDescent="0.25">
      <c r="A474" t="e">
        <f>AND(#REF!=2, COUNTIF(Tables!L$1:L$4,#REF!))</f>
        <v>#REF!</v>
      </c>
      <c r="B474" t="e">
        <f>AND(#REF!=1, COUNTIF(Tables!L$1:L$4,#REF!))</f>
        <v>#REF!</v>
      </c>
      <c r="C474" t="e">
        <f>AND(A474,#REF!= 0)</f>
        <v>#REF!</v>
      </c>
      <c r="D474" t="e">
        <f>AND(B474,#REF!= 0)</f>
        <v>#REF!</v>
      </c>
      <c r="E474" t="e">
        <f>isNetPoint(#REF!)</f>
        <v>#VALUE!</v>
      </c>
      <c r="F474" t="e">
        <f>OR(#REF!=1,#REF!= 1)</f>
        <v>#REF!</v>
      </c>
      <c r="G474" t="e">
        <f>IF(#REF!=1,OR(E474="1",E474="3",F474=TRUE),OR(E474="2",E474="3"))</f>
        <v>#REF!</v>
      </c>
      <c r="H474" t="e">
        <f>IF(#REF!=2,OR(E474="1",E474="3",F474=TRUE),OR(E474="2",E474="3"))</f>
        <v>#REF!</v>
      </c>
      <c r="I474" t="e">
        <f>AND(G474=TRUE,#REF!=1)</f>
        <v>#REF!</v>
      </c>
      <c r="J474" t="e">
        <f>AND(H474=TRUE,#REF!=2)</f>
        <v>#REF!</v>
      </c>
      <c r="K474" t="e">
        <f>IF(#REF!=1,K473+1,0)</f>
        <v>#REF!</v>
      </c>
      <c r="L474" t="e">
        <f>IF(#REF!=2,L473+1,0)</f>
        <v>#REF!</v>
      </c>
      <c r="M474" t="e">
        <f>#REF!</f>
        <v>#REF!</v>
      </c>
      <c r="N474" t="e">
        <f>COUNTIFS(#REF!, "=1")</f>
        <v>#REF!</v>
      </c>
      <c r="O474" t="e">
        <f>COUNTIFS(#REF!, "=2")</f>
        <v>#REF!</v>
      </c>
      <c r="P474" t="e">
        <f>#REF!</f>
        <v>#REF!</v>
      </c>
    </row>
    <row r="475" spans="1:16" x14ac:dyDescent="0.25">
      <c r="A475" t="e">
        <f>AND(#REF!=2, COUNTIF(Tables!L$1:L$4,#REF!))</f>
        <v>#REF!</v>
      </c>
      <c r="B475" t="e">
        <f>AND(#REF!=1, COUNTIF(Tables!L$1:L$4,#REF!))</f>
        <v>#REF!</v>
      </c>
      <c r="C475" t="e">
        <f>AND(A475,#REF!= 0)</f>
        <v>#REF!</v>
      </c>
      <c r="D475" t="e">
        <f>AND(B475,#REF!= 0)</f>
        <v>#REF!</v>
      </c>
      <c r="E475" t="e">
        <f>isNetPoint(#REF!)</f>
        <v>#VALUE!</v>
      </c>
      <c r="F475" t="e">
        <f>OR(#REF!=1,#REF!= 1)</f>
        <v>#REF!</v>
      </c>
      <c r="G475" t="e">
        <f>IF(#REF!=1,OR(E475="1",E475="3",F475=TRUE),OR(E475="2",E475="3"))</f>
        <v>#REF!</v>
      </c>
      <c r="H475" t="e">
        <f>IF(#REF!=2,OR(E475="1",E475="3",F475=TRUE),OR(E475="2",E475="3"))</f>
        <v>#REF!</v>
      </c>
      <c r="I475" t="e">
        <f>AND(G475=TRUE,#REF!=1)</f>
        <v>#REF!</v>
      </c>
      <c r="J475" t="e">
        <f>AND(H475=TRUE,#REF!=2)</f>
        <v>#REF!</v>
      </c>
      <c r="K475" t="e">
        <f>IF(#REF!=1,K474+1,0)</f>
        <v>#REF!</v>
      </c>
      <c r="L475" t="e">
        <f>IF(#REF!=2,L474+1,0)</f>
        <v>#REF!</v>
      </c>
      <c r="M475" t="e">
        <f>#REF!</f>
        <v>#REF!</v>
      </c>
      <c r="N475" t="e">
        <f>COUNTIFS(#REF!, "=1")</f>
        <v>#REF!</v>
      </c>
      <c r="O475" t="e">
        <f>COUNTIFS(#REF!, "=2")</f>
        <v>#REF!</v>
      </c>
      <c r="P475" t="e">
        <f>#REF!</f>
        <v>#REF!</v>
      </c>
    </row>
    <row r="476" spans="1:16" x14ac:dyDescent="0.25">
      <c r="A476" t="e">
        <f>AND(#REF!=2, COUNTIF(Tables!L$1:L$4,#REF!))</f>
        <v>#REF!</v>
      </c>
      <c r="B476" t="e">
        <f>AND(#REF!=1, COUNTIF(Tables!L$1:L$4,#REF!))</f>
        <v>#REF!</v>
      </c>
      <c r="C476" t="e">
        <f>AND(A476,#REF!= 0)</f>
        <v>#REF!</v>
      </c>
      <c r="D476" t="e">
        <f>AND(B476,#REF!= 0)</f>
        <v>#REF!</v>
      </c>
      <c r="E476" t="e">
        <f>isNetPoint(#REF!)</f>
        <v>#VALUE!</v>
      </c>
      <c r="F476" t="e">
        <f>OR(#REF!=1,#REF!= 1)</f>
        <v>#REF!</v>
      </c>
      <c r="G476" t="e">
        <f>IF(#REF!=1,OR(E476="1",E476="3",F476=TRUE),OR(E476="2",E476="3"))</f>
        <v>#REF!</v>
      </c>
      <c r="H476" t="e">
        <f>IF(#REF!=2,OR(E476="1",E476="3",F476=TRUE),OR(E476="2",E476="3"))</f>
        <v>#REF!</v>
      </c>
      <c r="I476" t="e">
        <f>AND(G476=TRUE,#REF!=1)</f>
        <v>#REF!</v>
      </c>
      <c r="J476" t="e">
        <f>AND(H476=TRUE,#REF!=2)</f>
        <v>#REF!</v>
      </c>
      <c r="K476" t="e">
        <f>IF(#REF!=1,K475+1,0)</f>
        <v>#REF!</v>
      </c>
      <c r="L476" t="e">
        <f>IF(#REF!=2,L475+1,0)</f>
        <v>#REF!</v>
      </c>
      <c r="M476" t="e">
        <f>#REF!</f>
        <v>#REF!</v>
      </c>
      <c r="N476" t="e">
        <f>COUNTIFS(#REF!, "=1")</f>
        <v>#REF!</v>
      </c>
      <c r="O476" t="e">
        <f>COUNTIFS(#REF!, "=2")</f>
        <v>#REF!</v>
      </c>
      <c r="P476" t="e">
        <f>#REF!</f>
        <v>#REF!</v>
      </c>
    </row>
    <row r="477" spans="1:16" x14ac:dyDescent="0.25">
      <c r="A477" t="e">
        <f>AND(#REF!=2, COUNTIF(Tables!L$1:L$4,#REF!))</f>
        <v>#REF!</v>
      </c>
      <c r="B477" t="e">
        <f>AND(#REF!=1, COUNTIF(Tables!L$1:L$4,#REF!))</f>
        <v>#REF!</v>
      </c>
      <c r="C477" t="e">
        <f>AND(A477,#REF!= 0)</f>
        <v>#REF!</v>
      </c>
      <c r="D477" t="e">
        <f>AND(B477,#REF!= 0)</f>
        <v>#REF!</v>
      </c>
      <c r="E477" t="e">
        <f>isNetPoint(#REF!)</f>
        <v>#VALUE!</v>
      </c>
      <c r="F477" t="e">
        <f>OR(#REF!=1,#REF!= 1)</f>
        <v>#REF!</v>
      </c>
      <c r="G477" t="e">
        <f>IF(#REF!=1,OR(E477="1",E477="3",F477=TRUE),OR(E477="2",E477="3"))</f>
        <v>#REF!</v>
      </c>
      <c r="H477" t="e">
        <f>IF(#REF!=2,OR(E477="1",E477="3",F477=TRUE),OR(E477="2",E477="3"))</f>
        <v>#REF!</v>
      </c>
      <c r="I477" t="e">
        <f>AND(G477=TRUE,#REF!=1)</f>
        <v>#REF!</v>
      </c>
      <c r="J477" t="e">
        <f>AND(H477=TRUE,#REF!=2)</f>
        <v>#REF!</v>
      </c>
      <c r="K477" t="e">
        <f>IF(#REF!=1,K476+1,0)</f>
        <v>#REF!</v>
      </c>
      <c r="L477" t="e">
        <f>IF(#REF!=2,L476+1,0)</f>
        <v>#REF!</v>
      </c>
      <c r="M477" t="e">
        <f>#REF!</f>
        <v>#REF!</v>
      </c>
      <c r="N477" t="e">
        <f>COUNTIFS(#REF!, "=1")</f>
        <v>#REF!</v>
      </c>
      <c r="O477" t="e">
        <f>COUNTIFS(#REF!, "=2")</f>
        <v>#REF!</v>
      </c>
      <c r="P477" t="e">
        <f>#REF!</f>
        <v>#REF!</v>
      </c>
    </row>
    <row r="478" spans="1:16" x14ac:dyDescent="0.25">
      <c r="A478" t="e">
        <f>AND(#REF!=2, COUNTIF(Tables!L$1:L$4,#REF!))</f>
        <v>#REF!</v>
      </c>
      <c r="B478" t="e">
        <f>AND(#REF!=1, COUNTIF(Tables!L$1:L$4,#REF!))</f>
        <v>#REF!</v>
      </c>
      <c r="C478" t="e">
        <f>AND(A478,#REF!= 0)</f>
        <v>#REF!</v>
      </c>
      <c r="D478" t="e">
        <f>AND(B478,#REF!= 0)</f>
        <v>#REF!</v>
      </c>
      <c r="E478" t="e">
        <f>isNetPoint(#REF!)</f>
        <v>#VALUE!</v>
      </c>
      <c r="F478" t="e">
        <f>OR(#REF!=1,#REF!= 1)</f>
        <v>#REF!</v>
      </c>
      <c r="G478" t="e">
        <f>IF(#REF!=1,OR(E478="1",E478="3",F478=TRUE),OR(E478="2",E478="3"))</f>
        <v>#REF!</v>
      </c>
      <c r="H478" t="e">
        <f>IF(#REF!=2,OR(E478="1",E478="3",F478=TRUE),OR(E478="2",E478="3"))</f>
        <v>#REF!</v>
      </c>
      <c r="I478" t="e">
        <f>AND(G478=TRUE,#REF!=1)</f>
        <v>#REF!</v>
      </c>
      <c r="J478" t="e">
        <f>AND(H478=TRUE,#REF!=2)</f>
        <v>#REF!</v>
      </c>
      <c r="K478" t="e">
        <f>IF(#REF!=1,K477+1,0)</f>
        <v>#REF!</v>
      </c>
      <c r="L478" t="e">
        <f>IF(#REF!=2,L477+1,0)</f>
        <v>#REF!</v>
      </c>
      <c r="M478" t="e">
        <f>#REF!</f>
        <v>#REF!</v>
      </c>
      <c r="N478" t="e">
        <f>COUNTIFS(#REF!, "=1")</f>
        <v>#REF!</v>
      </c>
      <c r="O478" t="e">
        <f>COUNTIFS(#REF!, "=2")</f>
        <v>#REF!</v>
      </c>
      <c r="P478" t="e">
        <f>#REF!</f>
        <v>#REF!</v>
      </c>
    </row>
    <row r="479" spans="1:16" x14ac:dyDescent="0.25">
      <c r="A479" t="e">
        <f>AND(#REF!=2, COUNTIF(Tables!L$1:L$4,#REF!))</f>
        <v>#REF!</v>
      </c>
      <c r="B479" t="e">
        <f>AND(#REF!=1, COUNTIF(Tables!L$1:L$4,#REF!))</f>
        <v>#REF!</v>
      </c>
      <c r="C479" t="e">
        <f>AND(A479,#REF!= 0)</f>
        <v>#REF!</v>
      </c>
      <c r="D479" t="e">
        <f>AND(B479,#REF!= 0)</f>
        <v>#REF!</v>
      </c>
      <c r="E479" t="e">
        <f>isNetPoint(#REF!)</f>
        <v>#VALUE!</v>
      </c>
      <c r="F479" t="e">
        <f>OR(#REF!=1,#REF!= 1)</f>
        <v>#REF!</v>
      </c>
      <c r="G479" t="e">
        <f>IF(#REF!=1,OR(E479="1",E479="3",F479=TRUE),OR(E479="2",E479="3"))</f>
        <v>#REF!</v>
      </c>
      <c r="H479" t="e">
        <f>IF(#REF!=2,OR(E479="1",E479="3",F479=TRUE),OR(E479="2",E479="3"))</f>
        <v>#REF!</v>
      </c>
      <c r="I479" t="e">
        <f>AND(G479=TRUE,#REF!=1)</f>
        <v>#REF!</v>
      </c>
      <c r="J479" t="e">
        <f>AND(H479=TRUE,#REF!=2)</f>
        <v>#REF!</v>
      </c>
      <c r="K479" t="e">
        <f>IF(#REF!=1,K478+1,0)</f>
        <v>#REF!</v>
      </c>
      <c r="L479" t="e">
        <f>IF(#REF!=2,L478+1,0)</f>
        <v>#REF!</v>
      </c>
      <c r="M479" t="e">
        <f>#REF!</f>
        <v>#REF!</v>
      </c>
      <c r="N479" t="e">
        <f>COUNTIFS(#REF!, "=1")</f>
        <v>#REF!</v>
      </c>
      <c r="O479" t="e">
        <f>COUNTIFS(#REF!, "=2")</f>
        <v>#REF!</v>
      </c>
      <c r="P479" t="e">
        <f>#REF!</f>
        <v>#REF!</v>
      </c>
    </row>
    <row r="480" spans="1:16" x14ac:dyDescent="0.25">
      <c r="A480" t="e">
        <f>AND(#REF!=2, COUNTIF(Tables!L$1:L$4,#REF!))</f>
        <v>#REF!</v>
      </c>
      <c r="B480" t="e">
        <f>AND(#REF!=1, COUNTIF(Tables!L$1:L$4,#REF!))</f>
        <v>#REF!</v>
      </c>
      <c r="C480" t="e">
        <f>AND(A480,#REF!= 0)</f>
        <v>#REF!</v>
      </c>
      <c r="D480" t="e">
        <f>AND(B480,#REF!= 0)</f>
        <v>#REF!</v>
      </c>
      <c r="E480" t="e">
        <f>isNetPoint(#REF!)</f>
        <v>#VALUE!</v>
      </c>
      <c r="F480" t="e">
        <f>OR(#REF!=1,#REF!= 1)</f>
        <v>#REF!</v>
      </c>
      <c r="G480" t="e">
        <f>IF(#REF!=1,OR(E480="1",E480="3",F480=TRUE),OR(E480="2",E480="3"))</f>
        <v>#REF!</v>
      </c>
      <c r="H480" t="e">
        <f>IF(#REF!=2,OR(E480="1",E480="3",F480=TRUE),OR(E480="2",E480="3"))</f>
        <v>#REF!</v>
      </c>
      <c r="I480" t="e">
        <f>AND(G480=TRUE,#REF!=1)</f>
        <v>#REF!</v>
      </c>
      <c r="J480" t="e">
        <f>AND(H480=TRUE,#REF!=2)</f>
        <v>#REF!</v>
      </c>
      <c r="K480" t="e">
        <f>IF(#REF!=1,K479+1,0)</f>
        <v>#REF!</v>
      </c>
      <c r="L480" t="e">
        <f>IF(#REF!=2,L479+1,0)</f>
        <v>#REF!</v>
      </c>
      <c r="M480" t="e">
        <f>#REF!</f>
        <v>#REF!</v>
      </c>
      <c r="N480" t="e">
        <f>COUNTIFS(#REF!, "=1")</f>
        <v>#REF!</v>
      </c>
      <c r="O480" t="e">
        <f>COUNTIFS(#REF!, "=2")</f>
        <v>#REF!</v>
      </c>
      <c r="P480" t="e">
        <f>#REF!</f>
        <v>#REF!</v>
      </c>
    </row>
    <row r="481" spans="1:16" x14ac:dyDescent="0.25">
      <c r="A481" t="e">
        <f>AND(#REF!=2, COUNTIF(Tables!L$1:L$4,#REF!))</f>
        <v>#REF!</v>
      </c>
      <c r="B481" t="e">
        <f>AND(#REF!=1, COUNTIF(Tables!L$1:L$4,#REF!))</f>
        <v>#REF!</v>
      </c>
      <c r="C481" t="e">
        <f>AND(A481,#REF!= 0)</f>
        <v>#REF!</v>
      </c>
      <c r="D481" t="e">
        <f>AND(B481,#REF!= 0)</f>
        <v>#REF!</v>
      </c>
      <c r="E481" t="e">
        <f>isNetPoint(#REF!)</f>
        <v>#VALUE!</v>
      </c>
      <c r="F481" t="e">
        <f>OR(#REF!=1,#REF!= 1)</f>
        <v>#REF!</v>
      </c>
      <c r="G481" t="e">
        <f>IF(#REF!=1,OR(E481="1",E481="3",F481=TRUE),OR(E481="2",E481="3"))</f>
        <v>#REF!</v>
      </c>
      <c r="H481" t="e">
        <f>IF(#REF!=2,OR(E481="1",E481="3",F481=TRUE),OR(E481="2",E481="3"))</f>
        <v>#REF!</v>
      </c>
      <c r="I481" t="e">
        <f>AND(G481=TRUE,#REF!=1)</f>
        <v>#REF!</v>
      </c>
      <c r="J481" t="e">
        <f>AND(H481=TRUE,#REF!=2)</f>
        <v>#REF!</v>
      </c>
      <c r="K481" t="e">
        <f>IF(#REF!=1,K480+1,0)</f>
        <v>#REF!</v>
      </c>
      <c r="L481" t="e">
        <f>IF(#REF!=2,L480+1,0)</f>
        <v>#REF!</v>
      </c>
      <c r="M481" t="e">
        <f>#REF!</f>
        <v>#REF!</v>
      </c>
      <c r="N481" t="e">
        <f>COUNTIFS(#REF!, "=1")</f>
        <v>#REF!</v>
      </c>
      <c r="O481" t="e">
        <f>COUNTIFS(#REF!, "=2")</f>
        <v>#REF!</v>
      </c>
      <c r="P481" t="e">
        <f>#REF!</f>
        <v>#REF!</v>
      </c>
    </row>
    <row r="482" spans="1:16" x14ac:dyDescent="0.25">
      <c r="A482" t="e">
        <f>AND(#REF!=2, COUNTIF(Tables!L$1:L$4,#REF!))</f>
        <v>#REF!</v>
      </c>
      <c r="B482" t="e">
        <f>AND(#REF!=1, COUNTIF(Tables!L$1:L$4,#REF!))</f>
        <v>#REF!</v>
      </c>
      <c r="C482" t="e">
        <f>AND(A482,#REF!= 0)</f>
        <v>#REF!</v>
      </c>
      <c r="D482" t="e">
        <f>AND(B482,#REF!= 0)</f>
        <v>#REF!</v>
      </c>
      <c r="E482" t="e">
        <f>isNetPoint(#REF!)</f>
        <v>#VALUE!</v>
      </c>
      <c r="F482" t="e">
        <f>OR(#REF!=1,#REF!= 1)</f>
        <v>#REF!</v>
      </c>
      <c r="G482" t="e">
        <f>IF(#REF!=1,OR(E482="1",E482="3",F482=TRUE),OR(E482="2",E482="3"))</f>
        <v>#REF!</v>
      </c>
      <c r="H482" t="e">
        <f>IF(#REF!=2,OR(E482="1",E482="3",F482=TRUE),OR(E482="2",E482="3"))</f>
        <v>#REF!</v>
      </c>
      <c r="I482" t="e">
        <f>AND(G482=TRUE,#REF!=1)</f>
        <v>#REF!</v>
      </c>
      <c r="J482" t="e">
        <f>AND(H482=TRUE,#REF!=2)</f>
        <v>#REF!</v>
      </c>
      <c r="K482" t="e">
        <f>IF(#REF!=1,K481+1,0)</f>
        <v>#REF!</v>
      </c>
      <c r="L482" t="e">
        <f>IF(#REF!=2,L481+1,0)</f>
        <v>#REF!</v>
      </c>
      <c r="M482" t="e">
        <f>#REF!</f>
        <v>#REF!</v>
      </c>
      <c r="N482" t="e">
        <f>COUNTIFS(#REF!, "=1")</f>
        <v>#REF!</v>
      </c>
      <c r="O482" t="e">
        <f>COUNTIFS(#REF!, "=2")</f>
        <v>#REF!</v>
      </c>
      <c r="P482" t="e">
        <f>#REF!</f>
        <v>#REF!</v>
      </c>
    </row>
    <row r="483" spans="1:16" x14ac:dyDescent="0.25">
      <c r="A483" t="e">
        <f>AND(#REF!=2, COUNTIF(Tables!L$1:L$4,#REF!))</f>
        <v>#REF!</v>
      </c>
      <c r="B483" t="e">
        <f>AND(#REF!=1, COUNTIF(Tables!L$1:L$4,#REF!))</f>
        <v>#REF!</v>
      </c>
      <c r="C483" t="e">
        <f>AND(A483,#REF!= 0)</f>
        <v>#REF!</v>
      </c>
      <c r="D483" t="e">
        <f>AND(B483,#REF!= 0)</f>
        <v>#REF!</v>
      </c>
      <c r="E483" t="e">
        <f>isNetPoint(#REF!)</f>
        <v>#VALUE!</v>
      </c>
      <c r="F483" t="e">
        <f>OR(#REF!=1,#REF!= 1)</f>
        <v>#REF!</v>
      </c>
      <c r="G483" t="e">
        <f>IF(#REF!=1,OR(E483="1",E483="3",F483=TRUE),OR(E483="2",E483="3"))</f>
        <v>#REF!</v>
      </c>
      <c r="H483" t="e">
        <f>IF(#REF!=2,OR(E483="1",E483="3",F483=TRUE),OR(E483="2",E483="3"))</f>
        <v>#REF!</v>
      </c>
      <c r="I483" t="e">
        <f>AND(G483=TRUE,#REF!=1)</f>
        <v>#REF!</v>
      </c>
      <c r="J483" t="e">
        <f>AND(H483=TRUE,#REF!=2)</f>
        <v>#REF!</v>
      </c>
      <c r="K483" t="e">
        <f>IF(#REF!=1,K482+1,0)</f>
        <v>#REF!</v>
      </c>
      <c r="L483" t="e">
        <f>IF(#REF!=2,L482+1,0)</f>
        <v>#REF!</v>
      </c>
      <c r="M483" t="e">
        <f>#REF!</f>
        <v>#REF!</v>
      </c>
      <c r="N483" t="e">
        <f>COUNTIFS(#REF!, "=1")</f>
        <v>#REF!</v>
      </c>
      <c r="O483" t="e">
        <f>COUNTIFS(#REF!, "=2")</f>
        <v>#REF!</v>
      </c>
      <c r="P483" t="e">
        <f>#REF!</f>
        <v>#REF!</v>
      </c>
    </row>
    <row r="484" spans="1:16" x14ac:dyDescent="0.25">
      <c r="A484" t="e">
        <f>AND(#REF!=2, COUNTIF(Tables!L$1:L$4,#REF!))</f>
        <v>#REF!</v>
      </c>
      <c r="B484" t="e">
        <f>AND(#REF!=1, COUNTIF(Tables!L$1:L$4,#REF!))</f>
        <v>#REF!</v>
      </c>
      <c r="C484" t="e">
        <f>AND(A484,#REF!= 0)</f>
        <v>#REF!</v>
      </c>
      <c r="D484" t="e">
        <f>AND(B484,#REF!= 0)</f>
        <v>#REF!</v>
      </c>
      <c r="E484" t="e">
        <f>isNetPoint(#REF!)</f>
        <v>#VALUE!</v>
      </c>
      <c r="F484" t="e">
        <f>OR(#REF!=1,#REF!= 1)</f>
        <v>#REF!</v>
      </c>
      <c r="G484" t="e">
        <f>IF(#REF!=1,OR(E484="1",E484="3",F484=TRUE),OR(E484="2",E484="3"))</f>
        <v>#REF!</v>
      </c>
      <c r="H484" t="e">
        <f>IF(#REF!=2,OR(E484="1",E484="3",F484=TRUE),OR(E484="2",E484="3"))</f>
        <v>#REF!</v>
      </c>
      <c r="I484" t="e">
        <f>AND(G484=TRUE,#REF!=1)</f>
        <v>#REF!</v>
      </c>
      <c r="J484" t="e">
        <f>AND(H484=TRUE,#REF!=2)</f>
        <v>#REF!</v>
      </c>
      <c r="K484" t="e">
        <f>IF(#REF!=1,K483+1,0)</f>
        <v>#REF!</v>
      </c>
      <c r="L484" t="e">
        <f>IF(#REF!=2,L483+1,0)</f>
        <v>#REF!</v>
      </c>
      <c r="M484" t="e">
        <f>#REF!</f>
        <v>#REF!</v>
      </c>
      <c r="N484" t="e">
        <f>COUNTIFS(#REF!, "=1")</f>
        <v>#REF!</v>
      </c>
      <c r="O484" t="e">
        <f>COUNTIFS(#REF!, "=2")</f>
        <v>#REF!</v>
      </c>
      <c r="P484" t="e">
        <f>#REF!</f>
        <v>#REF!</v>
      </c>
    </row>
    <row r="485" spans="1:16" x14ac:dyDescent="0.25">
      <c r="A485" t="e">
        <f>AND(#REF!=2, COUNTIF(Tables!L$1:L$4,#REF!))</f>
        <v>#REF!</v>
      </c>
      <c r="B485" t="e">
        <f>AND(#REF!=1, COUNTIF(Tables!L$1:L$4,#REF!))</f>
        <v>#REF!</v>
      </c>
      <c r="C485" t="e">
        <f>AND(A485,#REF!= 0)</f>
        <v>#REF!</v>
      </c>
      <c r="D485" t="e">
        <f>AND(B485,#REF!= 0)</f>
        <v>#REF!</v>
      </c>
      <c r="E485" t="e">
        <f>isNetPoint(#REF!)</f>
        <v>#VALUE!</v>
      </c>
      <c r="F485" t="e">
        <f>OR(#REF!=1,#REF!= 1)</f>
        <v>#REF!</v>
      </c>
      <c r="G485" t="e">
        <f>IF(#REF!=1,OR(E485="1",E485="3",F485=TRUE),OR(E485="2",E485="3"))</f>
        <v>#REF!</v>
      </c>
      <c r="H485" t="e">
        <f>IF(#REF!=2,OR(E485="1",E485="3",F485=TRUE),OR(E485="2",E485="3"))</f>
        <v>#REF!</v>
      </c>
      <c r="I485" t="e">
        <f>AND(G485=TRUE,#REF!=1)</f>
        <v>#REF!</v>
      </c>
      <c r="J485" t="e">
        <f>AND(H485=TRUE,#REF!=2)</f>
        <v>#REF!</v>
      </c>
      <c r="K485" t="e">
        <f>IF(#REF!=1,K484+1,0)</f>
        <v>#REF!</v>
      </c>
      <c r="L485" t="e">
        <f>IF(#REF!=2,L484+1,0)</f>
        <v>#REF!</v>
      </c>
      <c r="M485" t="e">
        <f>#REF!</f>
        <v>#REF!</v>
      </c>
      <c r="N485" t="e">
        <f>COUNTIFS(#REF!, "=1")</f>
        <v>#REF!</v>
      </c>
      <c r="O485" t="e">
        <f>COUNTIFS(#REF!, "=2")</f>
        <v>#REF!</v>
      </c>
      <c r="P485" t="e">
        <f>#REF!</f>
        <v>#REF!</v>
      </c>
    </row>
    <row r="486" spans="1:16" x14ac:dyDescent="0.25">
      <c r="A486" t="e">
        <f>AND(#REF!=2, COUNTIF(Tables!L$1:L$4,#REF!))</f>
        <v>#REF!</v>
      </c>
      <c r="B486" t="e">
        <f>AND(#REF!=1, COUNTIF(Tables!L$1:L$4,#REF!))</f>
        <v>#REF!</v>
      </c>
      <c r="C486" t="e">
        <f>AND(A486,#REF!= 0)</f>
        <v>#REF!</v>
      </c>
      <c r="D486" t="e">
        <f>AND(B486,#REF!= 0)</f>
        <v>#REF!</v>
      </c>
      <c r="E486" t="e">
        <f>isNetPoint(#REF!)</f>
        <v>#VALUE!</v>
      </c>
      <c r="F486" t="e">
        <f>OR(#REF!=1,#REF!= 1)</f>
        <v>#REF!</v>
      </c>
      <c r="G486" t="e">
        <f>IF(#REF!=1,OR(E486="1",E486="3",F486=TRUE),OR(E486="2",E486="3"))</f>
        <v>#REF!</v>
      </c>
      <c r="H486" t="e">
        <f>IF(#REF!=2,OR(E486="1",E486="3",F486=TRUE),OR(E486="2",E486="3"))</f>
        <v>#REF!</v>
      </c>
      <c r="I486" t="e">
        <f>AND(G486=TRUE,#REF!=1)</f>
        <v>#REF!</v>
      </c>
      <c r="J486" t="e">
        <f>AND(H486=TRUE,#REF!=2)</f>
        <v>#REF!</v>
      </c>
      <c r="K486" t="e">
        <f>IF(#REF!=1,K485+1,0)</f>
        <v>#REF!</v>
      </c>
      <c r="L486" t="e">
        <f>IF(#REF!=2,L485+1,0)</f>
        <v>#REF!</v>
      </c>
      <c r="M486" t="e">
        <f>#REF!</f>
        <v>#REF!</v>
      </c>
      <c r="N486" t="e">
        <f>COUNTIFS(#REF!, "=1")</f>
        <v>#REF!</v>
      </c>
      <c r="O486" t="e">
        <f>COUNTIFS(#REF!, "=2")</f>
        <v>#REF!</v>
      </c>
      <c r="P486" t="e">
        <f>#REF!</f>
        <v>#REF!</v>
      </c>
    </row>
    <row r="487" spans="1:16" x14ac:dyDescent="0.25">
      <c r="A487" t="e">
        <f>AND(#REF!=2, COUNTIF(Tables!L$1:L$4,#REF!))</f>
        <v>#REF!</v>
      </c>
      <c r="B487" t="e">
        <f>AND(#REF!=1, COUNTIF(Tables!L$1:L$4,#REF!))</f>
        <v>#REF!</v>
      </c>
      <c r="C487" t="e">
        <f>AND(A487,#REF!= 0)</f>
        <v>#REF!</v>
      </c>
      <c r="D487" t="e">
        <f>AND(B487,#REF!= 0)</f>
        <v>#REF!</v>
      </c>
      <c r="E487" t="e">
        <f>isNetPoint(#REF!)</f>
        <v>#VALUE!</v>
      </c>
      <c r="F487" t="e">
        <f>OR(#REF!=1,#REF!= 1)</f>
        <v>#REF!</v>
      </c>
      <c r="G487" t="e">
        <f>IF(#REF!=1,OR(E487="1",E487="3",F487=TRUE),OR(E487="2",E487="3"))</f>
        <v>#REF!</v>
      </c>
      <c r="H487" t="e">
        <f>IF(#REF!=2,OR(E487="1",E487="3",F487=TRUE),OR(E487="2",E487="3"))</f>
        <v>#REF!</v>
      </c>
      <c r="I487" t="e">
        <f>AND(G487=TRUE,#REF!=1)</f>
        <v>#REF!</v>
      </c>
      <c r="J487" t="e">
        <f>AND(H487=TRUE,#REF!=2)</f>
        <v>#REF!</v>
      </c>
      <c r="K487" t="e">
        <f>IF(#REF!=1,K486+1,0)</f>
        <v>#REF!</v>
      </c>
      <c r="L487" t="e">
        <f>IF(#REF!=2,L486+1,0)</f>
        <v>#REF!</v>
      </c>
      <c r="M487" t="e">
        <f>#REF!</f>
        <v>#REF!</v>
      </c>
      <c r="N487" t="e">
        <f>COUNTIFS(#REF!, "=1")</f>
        <v>#REF!</v>
      </c>
      <c r="O487" t="e">
        <f>COUNTIFS(#REF!, "=2")</f>
        <v>#REF!</v>
      </c>
      <c r="P487" t="e">
        <f>#REF!</f>
        <v>#REF!</v>
      </c>
    </row>
    <row r="488" spans="1:16" x14ac:dyDescent="0.25">
      <c r="A488" t="e">
        <f>AND(#REF!=2, COUNTIF(Tables!L$1:L$4,#REF!))</f>
        <v>#REF!</v>
      </c>
      <c r="B488" t="e">
        <f>AND(#REF!=1, COUNTIF(Tables!L$1:L$4,#REF!))</f>
        <v>#REF!</v>
      </c>
      <c r="C488" t="e">
        <f>AND(A488,#REF!= 0)</f>
        <v>#REF!</v>
      </c>
      <c r="D488" t="e">
        <f>AND(B488,#REF!= 0)</f>
        <v>#REF!</v>
      </c>
      <c r="E488" t="e">
        <f>isNetPoint(#REF!)</f>
        <v>#VALUE!</v>
      </c>
      <c r="F488" t="e">
        <f>OR(#REF!=1,#REF!= 1)</f>
        <v>#REF!</v>
      </c>
      <c r="G488" t="e">
        <f>IF(#REF!=1,OR(E488="1",E488="3",F488=TRUE),OR(E488="2",E488="3"))</f>
        <v>#REF!</v>
      </c>
      <c r="H488" t="e">
        <f>IF(#REF!=2,OR(E488="1",E488="3",F488=TRUE),OR(E488="2",E488="3"))</f>
        <v>#REF!</v>
      </c>
      <c r="I488" t="e">
        <f>AND(G488=TRUE,#REF!=1)</f>
        <v>#REF!</v>
      </c>
      <c r="J488" t="e">
        <f>AND(H488=TRUE,#REF!=2)</f>
        <v>#REF!</v>
      </c>
      <c r="K488" t="e">
        <f>IF(#REF!=1,K487+1,0)</f>
        <v>#REF!</v>
      </c>
      <c r="L488" t="e">
        <f>IF(#REF!=2,L487+1,0)</f>
        <v>#REF!</v>
      </c>
      <c r="M488" t="e">
        <f>#REF!</f>
        <v>#REF!</v>
      </c>
      <c r="N488" t="e">
        <f>COUNTIFS(#REF!, "=1")</f>
        <v>#REF!</v>
      </c>
      <c r="O488" t="e">
        <f>COUNTIFS(#REF!, "=2")</f>
        <v>#REF!</v>
      </c>
      <c r="P488" t="e">
        <f>#REF!</f>
        <v>#REF!</v>
      </c>
    </row>
    <row r="489" spans="1:16" x14ac:dyDescent="0.25">
      <c r="A489" t="e">
        <f>AND(#REF!=2, COUNTIF(Tables!L$1:L$4,#REF!))</f>
        <v>#REF!</v>
      </c>
      <c r="B489" t="e">
        <f>AND(#REF!=1, COUNTIF(Tables!L$1:L$4,#REF!))</f>
        <v>#REF!</v>
      </c>
      <c r="C489" t="e">
        <f>AND(A489,#REF!= 0)</f>
        <v>#REF!</v>
      </c>
      <c r="D489" t="e">
        <f>AND(B489,#REF!= 0)</f>
        <v>#REF!</v>
      </c>
      <c r="E489" t="e">
        <f>isNetPoint(#REF!)</f>
        <v>#VALUE!</v>
      </c>
      <c r="F489" t="e">
        <f>OR(#REF!=1,#REF!= 1)</f>
        <v>#REF!</v>
      </c>
      <c r="G489" t="e">
        <f>IF(#REF!=1,OR(E489="1",E489="3",F489=TRUE),OR(E489="2",E489="3"))</f>
        <v>#REF!</v>
      </c>
      <c r="H489" t="e">
        <f>IF(#REF!=2,OR(E489="1",E489="3",F489=TRUE),OR(E489="2",E489="3"))</f>
        <v>#REF!</v>
      </c>
      <c r="I489" t="e">
        <f>AND(G489=TRUE,#REF!=1)</f>
        <v>#REF!</v>
      </c>
      <c r="J489" t="e">
        <f>AND(H489=TRUE,#REF!=2)</f>
        <v>#REF!</v>
      </c>
      <c r="K489" t="e">
        <f>IF(#REF!=1,K488+1,0)</f>
        <v>#REF!</v>
      </c>
      <c r="L489" t="e">
        <f>IF(#REF!=2,L488+1,0)</f>
        <v>#REF!</v>
      </c>
      <c r="M489" t="e">
        <f>#REF!</f>
        <v>#REF!</v>
      </c>
      <c r="N489" t="e">
        <f>COUNTIFS(#REF!, "=1")</f>
        <v>#REF!</v>
      </c>
      <c r="O489" t="e">
        <f>COUNTIFS(#REF!, "=2")</f>
        <v>#REF!</v>
      </c>
      <c r="P489" t="e">
        <f>#REF!</f>
        <v>#REF!</v>
      </c>
    </row>
    <row r="490" spans="1:16" x14ac:dyDescent="0.25">
      <c r="A490" t="e">
        <f>AND(#REF!=2, COUNTIF(Tables!L$1:L$4,#REF!))</f>
        <v>#REF!</v>
      </c>
      <c r="B490" t="e">
        <f>AND(#REF!=1, COUNTIF(Tables!L$1:L$4,#REF!))</f>
        <v>#REF!</v>
      </c>
      <c r="C490" t="e">
        <f>AND(A490,#REF!= 0)</f>
        <v>#REF!</v>
      </c>
      <c r="D490" t="e">
        <f>AND(B490,#REF!= 0)</f>
        <v>#REF!</v>
      </c>
      <c r="E490" t="e">
        <f>isNetPoint(#REF!)</f>
        <v>#VALUE!</v>
      </c>
      <c r="F490" t="e">
        <f>OR(#REF!=1,#REF!= 1)</f>
        <v>#REF!</v>
      </c>
      <c r="G490" t="e">
        <f>IF(#REF!=1,OR(E490="1",E490="3",F490=TRUE),OR(E490="2",E490="3"))</f>
        <v>#REF!</v>
      </c>
      <c r="H490" t="e">
        <f>IF(#REF!=2,OR(E490="1",E490="3",F490=TRUE),OR(E490="2",E490="3"))</f>
        <v>#REF!</v>
      </c>
      <c r="I490" t="e">
        <f>AND(G490=TRUE,#REF!=1)</f>
        <v>#REF!</v>
      </c>
      <c r="J490" t="e">
        <f>AND(H490=TRUE,#REF!=2)</f>
        <v>#REF!</v>
      </c>
      <c r="K490" t="e">
        <f>IF(#REF!=1,K489+1,0)</f>
        <v>#REF!</v>
      </c>
      <c r="L490" t="e">
        <f>IF(#REF!=2,L489+1,0)</f>
        <v>#REF!</v>
      </c>
      <c r="M490" t="e">
        <f>#REF!</f>
        <v>#REF!</v>
      </c>
      <c r="N490" t="e">
        <f>COUNTIFS(#REF!, "=1")</f>
        <v>#REF!</v>
      </c>
      <c r="O490" t="e">
        <f>COUNTIFS(#REF!, "=2")</f>
        <v>#REF!</v>
      </c>
      <c r="P490" t="e">
        <f>#REF!</f>
        <v>#REF!</v>
      </c>
    </row>
    <row r="491" spans="1:16" x14ac:dyDescent="0.25">
      <c r="A491" t="e">
        <f>AND(#REF!=2, COUNTIF(Tables!L$1:L$4,#REF!))</f>
        <v>#REF!</v>
      </c>
      <c r="B491" t="e">
        <f>AND(#REF!=1, COUNTIF(Tables!L$1:L$4,#REF!))</f>
        <v>#REF!</v>
      </c>
      <c r="C491" t="e">
        <f>AND(A491,#REF!= 0)</f>
        <v>#REF!</v>
      </c>
      <c r="D491" t="e">
        <f>AND(B491,#REF!= 0)</f>
        <v>#REF!</v>
      </c>
      <c r="E491" t="e">
        <f>isNetPoint(#REF!)</f>
        <v>#VALUE!</v>
      </c>
      <c r="F491" t="e">
        <f>OR(#REF!=1,#REF!= 1)</f>
        <v>#REF!</v>
      </c>
      <c r="G491" t="e">
        <f>IF(#REF!=1,OR(E491="1",E491="3",F491=TRUE),OR(E491="2",E491="3"))</f>
        <v>#REF!</v>
      </c>
      <c r="H491" t="e">
        <f>IF(#REF!=2,OR(E491="1",E491="3",F491=TRUE),OR(E491="2",E491="3"))</f>
        <v>#REF!</v>
      </c>
      <c r="I491" t="e">
        <f>AND(G491=TRUE,#REF!=1)</f>
        <v>#REF!</v>
      </c>
      <c r="J491" t="e">
        <f>AND(H491=TRUE,#REF!=2)</f>
        <v>#REF!</v>
      </c>
      <c r="K491" t="e">
        <f>IF(#REF!=1,K490+1,0)</f>
        <v>#REF!</v>
      </c>
      <c r="L491" t="e">
        <f>IF(#REF!=2,L490+1,0)</f>
        <v>#REF!</v>
      </c>
      <c r="M491" t="e">
        <f>#REF!</f>
        <v>#REF!</v>
      </c>
      <c r="N491" t="e">
        <f>COUNTIFS(#REF!, "=1")</f>
        <v>#REF!</v>
      </c>
      <c r="O491" t="e">
        <f>COUNTIFS(#REF!, "=2")</f>
        <v>#REF!</v>
      </c>
      <c r="P491" t="e">
        <f>#REF!</f>
        <v>#REF!</v>
      </c>
    </row>
    <row r="492" spans="1:16" x14ac:dyDescent="0.25">
      <c r="A492" t="e">
        <f>AND(#REF!=2, COUNTIF(Tables!L$1:L$4,#REF!))</f>
        <v>#REF!</v>
      </c>
      <c r="B492" t="e">
        <f>AND(#REF!=1, COUNTIF(Tables!L$1:L$4,#REF!))</f>
        <v>#REF!</v>
      </c>
      <c r="C492" t="e">
        <f>AND(A492,#REF!= 0)</f>
        <v>#REF!</v>
      </c>
      <c r="D492" t="e">
        <f>AND(B492,#REF!= 0)</f>
        <v>#REF!</v>
      </c>
      <c r="E492" t="e">
        <f>isNetPoint(#REF!)</f>
        <v>#VALUE!</v>
      </c>
      <c r="F492" t="e">
        <f>OR(#REF!=1,#REF!= 1)</f>
        <v>#REF!</v>
      </c>
      <c r="G492" t="e">
        <f>IF(#REF!=1,OR(E492="1",E492="3",F492=TRUE),OR(E492="2",E492="3"))</f>
        <v>#REF!</v>
      </c>
      <c r="H492" t="e">
        <f>IF(#REF!=2,OR(E492="1",E492="3",F492=TRUE),OR(E492="2",E492="3"))</f>
        <v>#REF!</v>
      </c>
      <c r="I492" t="e">
        <f>AND(G492=TRUE,#REF!=1)</f>
        <v>#REF!</v>
      </c>
      <c r="J492" t="e">
        <f>AND(H492=TRUE,#REF!=2)</f>
        <v>#REF!</v>
      </c>
      <c r="K492" t="e">
        <f>IF(#REF!=1,K491+1,0)</f>
        <v>#REF!</v>
      </c>
      <c r="L492" t="e">
        <f>IF(#REF!=2,L491+1,0)</f>
        <v>#REF!</v>
      </c>
      <c r="M492" t="e">
        <f>#REF!</f>
        <v>#REF!</v>
      </c>
      <c r="N492" t="e">
        <f>COUNTIFS(#REF!, "=1")</f>
        <v>#REF!</v>
      </c>
      <c r="O492" t="e">
        <f>COUNTIFS(#REF!, "=2")</f>
        <v>#REF!</v>
      </c>
      <c r="P492" t="e">
        <f>#REF!</f>
        <v>#REF!</v>
      </c>
    </row>
    <row r="493" spans="1:16" x14ac:dyDescent="0.25">
      <c r="A493" t="e">
        <f>AND(#REF!=2, COUNTIF(Tables!L$1:L$4,#REF!))</f>
        <v>#REF!</v>
      </c>
      <c r="B493" t="e">
        <f>AND(#REF!=1, COUNTIF(Tables!L$1:L$4,#REF!))</f>
        <v>#REF!</v>
      </c>
      <c r="C493" t="e">
        <f>AND(A493,#REF!= 0)</f>
        <v>#REF!</v>
      </c>
      <c r="D493" t="e">
        <f>AND(B493,#REF!= 0)</f>
        <v>#REF!</v>
      </c>
      <c r="E493" t="e">
        <f>isNetPoint(#REF!)</f>
        <v>#VALUE!</v>
      </c>
      <c r="F493" t="e">
        <f>OR(#REF!=1,#REF!= 1)</f>
        <v>#REF!</v>
      </c>
      <c r="G493" t="e">
        <f>IF(#REF!=1,OR(E493="1",E493="3",F493=TRUE),OR(E493="2",E493="3"))</f>
        <v>#REF!</v>
      </c>
      <c r="H493" t="e">
        <f>IF(#REF!=2,OR(E493="1",E493="3",F493=TRUE),OR(E493="2",E493="3"))</f>
        <v>#REF!</v>
      </c>
      <c r="I493" t="e">
        <f>AND(G493=TRUE,#REF!=1)</f>
        <v>#REF!</v>
      </c>
      <c r="J493" t="e">
        <f>AND(H493=TRUE,#REF!=2)</f>
        <v>#REF!</v>
      </c>
      <c r="K493" t="e">
        <f>IF(#REF!=1,K492+1,0)</f>
        <v>#REF!</v>
      </c>
      <c r="L493" t="e">
        <f>IF(#REF!=2,L492+1,0)</f>
        <v>#REF!</v>
      </c>
      <c r="M493" t="e">
        <f>#REF!</f>
        <v>#REF!</v>
      </c>
      <c r="N493" t="e">
        <f>COUNTIFS(#REF!, "=1")</f>
        <v>#REF!</v>
      </c>
      <c r="O493" t="e">
        <f>COUNTIFS(#REF!, "=2")</f>
        <v>#REF!</v>
      </c>
      <c r="P493" t="e">
        <f>#REF!</f>
        <v>#REF!</v>
      </c>
    </row>
    <row r="494" spans="1:16" x14ac:dyDescent="0.25">
      <c r="A494" t="e">
        <f>AND(#REF!=2, COUNTIF(Tables!L$1:L$4,#REF!))</f>
        <v>#REF!</v>
      </c>
      <c r="B494" t="e">
        <f>AND(#REF!=1, COUNTIF(Tables!L$1:L$4,#REF!))</f>
        <v>#REF!</v>
      </c>
      <c r="C494" t="e">
        <f>AND(A494,#REF!= 0)</f>
        <v>#REF!</v>
      </c>
      <c r="D494" t="e">
        <f>AND(B494,#REF!= 0)</f>
        <v>#REF!</v>
      </c>
      <c r="E494" t="e">
        <f>isNetPoint(#REF!)</f>
        <v>#VALUE!</v>
      </c>
      <c r="F494" t="e">
        <f>OR(#REF!=1,#REF!= 1)</f>
        <v>#REF!</v>
      </c>
      <c r="G494" t="e">
        <f>IF(#REF!=1,OR(E494="1",E494="3",F494=TRUE),OR(E494="2",E494="3"))</f>
        <v>#REF!</v>
      </c>
      <c r="H494" t="e">
        <f>IF(#REF!=2,OR(E494="1",E494="3",F494=TRUE),OR(E494="2",E494="3"))</f>
        <v>#REF!</v>
      </c>
      <c r="I494" t="e">
        <f>AND(G494=TRUE,#REF!=1)</f>
        <v>#REF!</v>
      </c>
      <c r="J494" t="e">
        <f>AND(H494=TRUE,#REF!=2)</f>
        <v>#REF!</v>
      </c>
      <c r="K494" t="e">
        <f>IF(#REF!=1,K493+1,0)</f>
        <v>#REF!</v>
      </c>
      <c r="L494" t="e">
        <f>IF(#REF!=2,L493+1,0)</f>
        <v>#REF!</v>
      </c>
      <c r="M494" t="e">
        <f>#REF!</f>
        <v>#REF!</v>
      </c>
      <c r="N494" t="e">
        <f>COUNTIFS(#REF!, "=1")</f>
        <v>#REF!</v>
      </c>
      <c r="O494" t="e">
        <f>COUNTIFS(#REF!, "=2")</f>
        <v>#REF!</v>
      </c>
      <c r="P494" t="e">
        <f>#REF!</f>
        <v>#REF!</v>
      </c>
    </row>
    <row r="495" spans="1:16" x14ac:dyDescent="0.25">
      <c r="A495" t="e">
        <f>AND(#REF!=2, COUNTIF(Tables!L$1:L$4,#REF!))</f>
        <v>#REF!</v>
      </c>
      <c r="B495" t="e">
        <f>AND(#REF!=1, COUNTIF(Tables!L$1:L$4,#REF!))</f>
        <v>#REF!</v>
      </c>
      <c r="C495" t="e">
        <f>AND(A495,#REF!= 0)</f>
        <v>#REF!</v>
      </c>
      <c r="D495" t="e">
        <f>AND(B495,#REF!= 0)</f>
        <v>#REF!</v>
      </c>
      <c r="E495" t="e">
        <f>isNetPoint(#REF!)</f>
        <v>#VALUE!</v>
      </c>
      <c r="F495" t="e">
        <f>OR(#REF!=1,#REF!= 1)</f>
        <v>#REF!</v>
      </c>
      <c r="G495" t="e">
        <f>IF(#REF!=1,OR(E495="1",E495="3",F495=TRUE),OR(E495="2",E495="3"))</f>
        <v>#REF!</v>
      </c>
      <c r="H495" t="e">
        <f>IF(#REF!=2,OR(E495="1",E495="3",F495=TRUE),OR(E495="2",E495="3"))</f>
        <v>#REF!</v>
      </c>
      <c r="I495" t="e">
        <f>AND(G495=TRUE,#REF!=1)</f>
        <v>#REF!</v>
      </c>
      <c r="J495" t="e">
        <f>AND(H495=TRUE,#REF!=2)</f>
        <v>#REF!</v>
      </c>
      <c r="K495" t="e">
        <f>IF(#REF!=1,K494+1,0)</f>
        <v>#REF!</v>
      </c>
      <c r="L495" t="e">
        <f>IF(#REF!=2,L494+1,0)</f>
        <v>#REF!</v>
      </c>
      <c r="M495" t="e">
        <f>#REF!</f>
        <v>#REF!</v>
      </c>
      <c r="N495" t="e">
        <f>COUNTIFS(#REF!, "=1")</f>
        <v>#REF!</v>
      </c>
      <c r="O495" t="e">
        <f>COUNTIFS(#REF!, "=2")</f>
        <v>#REF!</v>
      </c>
      <c r="P495" t="e">
        <f>#REF!</f>
        <v>#REF!</v>
      </c>
    </row>
    <row r="496" spans="1:16" x14ac:dyDescent="0.25">
      <c r="A496" t="e">
        <f>AND(#REF!=2, COUNTIF(Tables!L$1:L$4,#REF!))</f>
        <v>#REF!</v>
      </c>
      <c r="B496" t="e">
        <f>AND(#REF!=1, COUNTIF(Tables!L$1:L$4,#REF!))</f>
        <v>#REF!</v>
      </c>
      <c r="C496" t="e">
        <f>AND(A496,#REF!= 0)</f>
        <v>#REF!</v>
      </c>
      <c r="D496" t="e">
        <f>AND(B496,#REF!= 0)</f>
        <v>#REF!</v>
      </c>
      <c r="E496" t="e">
        <f>isNetPoint(#REF!)</f>
        <v>#VALUE!</v>
      </c>
      <c r="F496" t="e">
        <f>OR(#REF!=1,#REF!= 1)</f>
        <v>#REF!</v>
      </c>
      <c r="G496" t="e">
        <f>IF(#REF!=1,OR(E496="1",E496="3",F496=TRUE),OR(E496="2",E496="3"))</f>
        <v>#REF!</v>
      </c>
      <c r="H496" t="e">
        <f>IF(#REF!=2,OR(E496="1",E496="3",F496=TRUE),OR(E496="2",E496="3"))</f>
        <v>#REF!</v>
      </c>
      <c r="I496" t="e">
        <f>AND(G496=TRUE,#REF!=1)</f>
        <v>#REF!</v>
      </c>
      <c r="J496" t="e">
        <f>AND(H496=TRUE,#REF!=2)</f>
        <v>#REF!</v>
      </c>
      <c r="K496" t="e">
        <f>IF(#REF!=1,K495+1,0)</f>
        <v>#REF!</v>
      </c>
      <c r="L496" t="e">
        <f>IF(#REF!=2,L495+1,0)</f>
        <v>#REF!</v>
      </c>
      <c r="M496" t="e">
        <f>#REF!</f>
        <v>#REF!</v>
      </c>
      <c r="N496" t="e">
        <f>COUNTIFS(#REF!, "=1")</f>
        <v>#REF!</v>
      </c>
      <c r="O496" t="e">
        <f>COUNTIFS(#REF!, "=2")</f>
        <v>#REF!</v>
      </c>
      <c r="P496" t="e">
        <f>#REF!</f>
        <v>#REF!</v>
      </c>
    </row>
    <row r="497" spans="1:16" x14ac:dyDescent="0.25">
      <c r="A497" t="e">
        <f>AND(#REF!=2, COUNTIF(Tables!L$1:L$4,#REF!))</f>
        <v>#REF!</v>
      </c>
      <c r="B497" t="e">
        <f>AND(#REF!=1, COUNTIF(Tables!L$1:L$4,#REF!))</f>
        <v>#REF!</v>
      </c>
      <c r="C497" t="e">
        <f>AND(A497,#REF!= 0)</f>
        <v>#REF!</v>
      </c>
      <c r="D497" t="e">
        <f>AND(B497,#REF!= 0)</f>
        <v>#REF!</v>
      </c>
      <c r="E497" t="e">
        <f>isNetPoint(#REF!)</f>
        <v>#VALUE!</v>
      </c>
      <c r="F497" t="e">
        <f>OR(#REF!=1,#REF!= 1)</f>
        <v>#REF!</v>
      </c>
      <c r="G497" t="e">
        <f>IF(#REF!=1,OR(E497="1",E497="3",F497=TRUE),OR(E497="2",E497="3"))</f>
        <v>#REF!</v>
      </c>
      <c r="H497" t="e">
        <f>IF(#REF!=2,OR(E497="1",E497="3",F497=TRUE),OR(E497="2",E497="3"))</f>
        <v>#REF!</v>
      </c>
      <c r="I497" t="e">
        <f>AND(G497=TRUE,#REF!=1)</f>
        <v>#REF!</v>
      </c>
      <c r="J497" t="e">
        <f>AND(H497=TRUE,#REF!=2)</f>
        <v>#REF!</v>
      </c>
      <c r="K497" t="e">
        <f>IF(#REF!=1,K496+1,0)</f>
        <v>#REF!</v>
      </c>
      <c r="L497" t="e">
        <f>IF(#REF!=2,L496+1,0)</f>
        <v>#REF!</v>
      </c>
      <c r="M497" t="e">
        <f>#REF!</f>
        <v>#REF!</v>
      </c>
      <c r="N497" t="e">
        <f>COUNTIFS(#REF!, "=1")</f>
        <v>#REF!</v>
      </c>
      <c r="O497" t="e">
        <f>COUNTIFS(#REF!, "=2")</f>
        <v>#REF!</v>
      </c>
      <c r="P497" t="e">
        <f>#REF!</f>
        <v>#REF!</v>
      </c>
    </row>
    <row r="498" spans="1:16" x14ac:dyDescent="0.25">
      <c r="A498" t="e">
        <f>AND(#REF!=2, COUNTIF(Tables!L$1:L$4,#REF!))</f>
        <v>#REF!</v>
      </c>
      <c r="B498" t="e">
        <f>AND(#REF!=1, COUNTIF(Tables!L$1:L$4,#REF!))</f>
        <v>#REF!</v>
      </c>
      <c r="C498" t="e">
        <f>AND(A498,#REF!= 0)</f>
        <v>#REF!</v>
      </c>
      <c r="D498" t="e">
        <f>AND(B498,#REF!= 0)</f>
        <v>#REF!</v>
      </c>
      <c r="E498" t="e">
        <f>isNetPoint(#REF!)</f>
        <v>#VALUE!</v>
      </c>
      <c r="F498" t="e">
        <f>OR(#REF!=1,#REF!= 1)</f>
        <v>#REF!</v>
      </c>
      <c r="G498" t="e">
        <f>IF(#REF!=1,OR(E498="1",E498="3",F498=TRUE),OR(E498="2",E498="3"))</f>
        <v>#REF!</v>
      </c>
      <c r="H498" t="e">
        <f>IF(#REF!=2,OR(E498="1",E498="3",F498=TRUE),OR(E498="2",E498="3"))</f>
        <v>#REF!</v>
      </c>
      <c r="I498" t="e">
        <f>AND(G498=TRUE,#REF!=1)</f>
        <v>#REF!</v>
      </c>
      <c r="J498" t="e">
        <f>AND(H498=TRUE,#REF!=2)</f>
        <v>#REF!</v>
      </c>
      <c r="K498" t="e">
        <f>IF(#REF!=1,K497+1,0)</f>
        <v>#REF!</v>
      </c>
      <c r="L498" t="e">
        <f>IF(#REF!=2,L497+1,0)</f>
        <v>#REF!</v>
      </c>
      <c r="M498" t="e">
        <f>#REF!</f>
        <v>#REF!</v>
      </c>
      <c r="N498" t="e">
        <f>COUNTIFS(#REF!, "=1")</f>
        <v>#REF!</v>
      </c>
      <c r="O498" t="e">
        <f>COUNTIFS(#REF!, "=2")</f>
        <v>#REF!</v>
      </c>
      <c r="P498" t="e">
        <f>#REF!</f>
        <v>#REF!</v>
      </c>
    </row>
    <row r="499" spans="1:16" x14ac:dyDescent="0.25">
      <c r="A499" t="e">
        <f>AND(#REF!=2, COUNTIF(Tables!L$1:L$4,#REF!))</f>
        <v>#REF!</v>
      </c>
      <c r="B499" t="e">
        <f>AND(#REF!=1, COUNTIF(Tables!L$1:L$4,#REF!))</f>
        <v>#REF!</v>
      </c>
      <c r="C499" t="e">
        <f>AND(A499,#REF!= 0)</f>
        <v>#REF!</v>
      </c>
      <c r="D499" t="e">
        <f>AND(B499,#REF!= 0)</f>
        <v>#REF!</v>
      </c>
      <c r="E499" t="e">
        <f>isNetPoint(#REF!)</f>
        <v>#VALUE!</v>
      </c>
      <c r="F499" t="e">
        <f>OR(#REF!=1,#REF!= 1)</f>
        <v>#REF!</v>
      </c>
      <c r="G499" t="e">
        <f>IF(#REF!=1,OR(E499="1",E499="3",F499=TRUE),OR(E499="2",E499="3"))</f>
        <v>#REF!</v>
      </c>
      <c r="H499" t="e">
        <f>IF(#REF!=2,OR(E499="1",E499="3",F499=TRUE),OR(E499="2",E499="3"))</f>
        <v>#REF!</v>
      </c>
      <c r="I499" t="e">
        <f>AND(G499=TRUE,#REF!=1)</f>
        <v>#REF!</v>
      </c>
      <c r="J499" t="e">
        <f>AND(H499=TRUE,#REF!=2)</f>
        <v>#REF!</v>
      </c>
      <c r="K499" t="e">
        <f>IF(#REF!=1,K498+1,0)</f>
        <v>#REF!</v>
      </c>
      <c r="L499" t="e">
        <f>IF(#REF!=2,L498+1,0)</f>
        <v>#REF!</v>
      </c>
      <c r="M499" t="e">
        <f>#REF!</f>
        <v>#REF!</v>
      </c>
      <c r="N499" t="e">
        <f>COUNTIFS(#REF!, "=1")</f>
        <v>#REF!</v>
      </c>
      <c r="O499" t="e">
        <f>COUNTIFS(#REF!, "=2")</f>
        <v>#REF!</v>
      </c>
      <c r="P499" t="e">
        <f>#REF!</f>
        <v>#REF!</v>
      </c>
    </row>
    <row r="500" spans="1:16" x14ac:dyDescent="0.25">
      <c r="A500" t="e">
        <f>AND(#REF!=2, COUNTIF(Tables!L$1:L$4,#REF!))</f>
        <v>#REF!</v>
      </c>
      <c r="B500" t="e">
        <f>AND(#REF!=1, COUNTIF(Tables!L$1:L$4,#REF!))</f>
        <v>#REF!</v>
      </c>
      <c r="C500" t="e">
        <f>AND(A500,#REF!= 0)</f>
        <v>#REF!</v>
      </c>
      <c r="D500" t="e">
        <f>AND(B500,#REF!= 0)</f>
        <v>#REF!</v>
      </c>
      <c r="E500" t="e">
        <f>isNetPoint(#REF!)</f>
        <v>#VALUE!</v>
      </c>
      <c r="F500" t="e">
        <f>OR(#REF!=1,#REF!= 1)</f>
        <v>#REF!</v>
      </c>
      <c r="G500" t="e">
        <f>IF(#REF!=1,OR(E500="1",E500="3",F500=TRUE),OR(E500="2",E500="3"))</f>
        <v>#REF!</v>
      </c>
      <c r="H500" t="e">
        <f>IF(#REF!=2,OR(E500="1",E500="3",F500=TRUE),OR(E500="2",E500="3"))</f>
        <v>#REF!</v>
      </c>
      <c r="I500" t="e">
        <f>AND(G500=TRUE,#REF!=1)</f>
        <v>#REF!</v>
      </c>
      <c r="J500" t="e">
        <f>AND(H500=TRUE,#REF!=2)</f>
        <v>#REF!</v>
      </c>
      <c r="K500" t="e">
        <f>IF(#REF!=1,K499+1,0)</f>
        <v>#REF!</v>
      </c>
      <c r="L500" t="e">
        <f>IF(#REF!=2,L499+1,0)</f>
        <v>#REF!</v>
      </c>
      <c r="M500" t="e">
        <f>#REF!</f>
        <v>#REF!</v>
      </c>
      <c r="N500" t="e">
        <f>COUNTIFS(#REF!, "=1")</f>
        <v>#REF!</v>
      </c>
      <c r="O500" t="e">
        <f>COUNTIFS(#REF!, "=2")</f>
        <v>#REF!</v>
      </c>
      <c r="P500" t="e">
        <f>#REF!</f>
        <v>#REF!</v>
      </c>
    </row>
  </sheetData>
  <sortState ref="A18:L500">
    <sortCondition sortBy="icon" ref="L21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31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D122" sqref="AD122"/>
    </sheetView>
  </sheetViews>
  <sheetFormatPr defaultRowHeight="12.75" x14ac:dyDescent="0.2"/>
  <cols>
    <col min="1" max="1" width="22.85546875" style="26" bestFit="1" customWidth="1"/>
    <col min="2" max="2" width="7.42578125" style="46" customWidth="1"/>
    <col min="3" max="4" width="6.140625" style="47" bestFit="1" customWidth="1"/>
    <col min="5" max="5" width="7.28515625" style="54" bestFit="1" customWidth="1"/>
    <col min="6" max="6" width="7.5703125" style="46" bestFit="1" customWidth="1"/>
    <col min="7" max="8" width="6.140625" style="47" bestFit="1" customWidth="1"/>
    <col min="9" max="9" width="7.28515625" style="54" bestFit="1" customWidth="1"/>
    <col min="10" max="10" width="7.5703125" style="27" bestFit="1" customWidth="1"/>
    <col min="11" max="12" width="6.140625" style="27" bestFit="1" customWidth="1"/>
    <col min="13" max="13" width="7.28515625" style="27" bestFit="1" customWidth="1"/>
    <col min="14" max="14" width="7.42578125" style="46" customWidth="1"/>
    <col min="15" max="16" width="6.140625" style="47" bestFit="1" customWidth="1"/>
    <col min="17" max="17" width="7.28515625" style="47" bestFit="1" customWidth="1"/>
    <col min="18" max="18" width="7.42578125" style="46" customWidth="1"/>
    <col min="19" max="20" width="6.140625" style="47" bestFit="1" customWidth="1"/>
    <col min="21" max="21" width="7.28515625" style="47" bestFit="1" customWidth="1"/>
    <col min="22" max="22" width="7.42578125" style="46" customWidth="1"/>
    <col min="23" max="24" width="6.140625" style="47" bestFit="1" customWidth="1"/>
    <col min="25" max="25" width="7.28515625" style="54" bestFit="1" customWidth="1"/>
    <col min="26" max="26" width="7.42578125" style="47" customWidth="1"/>
    <col min="27" max="28" width="6.140625" style="47" bestFit="1" customWidth="1"/>
    <col min="29" max="29" width="7.42578125" style="54" customWidth="1"/>
    <col min="30" max="16384" width="9.140625" style="18"/>
  </cols>
  <sheetData>
    <row r="1" spans="1:29" s="35" customFormat="1" ht="31.5" customHeight="1" x14ac:dyDescent="0.2">
      <c r="A1" s="55"/>
      <c r="B1" s="94" t="s">
        <v>205</v>
      </c>
      <c r="C1" s="92"/>
      <c r="D1" s="92"/>
      <c r="E1" s="93"/>
      <c r="F1" s="95" t="s">
        <v>206</v>
      </c>
      <c r="G1" s="96"/>
      <c r="H1" s="96"/>
      <c r="I1" s="97"/>
      <c r="J1" s="98" t="s">
        <v>207</v>
      </c>
      <c r="K1" s="96"/>
      <c r="L1" s="96"/>
      <c r="M1" s="99"/>
      <c r="N1" s="94" t="s">
        <v>208</v>
      </c>
      <c r="O1" s="92"/>
      <c r="P1" s="92"/>
      <c r="Q1" s="100"/>
      <c r="R1" s="94" t="s">
        <v>209</v>
      </c>
      <c r="S1" s="92"/>
      <c r="T1" s="92"/>
      <c r="U1" s="100"/>
      <c r="V1" s="94" t="s">
        <v>210</v>
      </c>
      <c r="W1" s="92"/>
      <c r="X1" s="92"/>
      <c r="Y1" s="93"/>
      <c r="Z1" s="91" t="s">
        <v>211</v>
      </c>
      <c r="AA1" s="92"/>
      <c r="AB1" s="92"/>
      <c r="AC1" s="93"/>
    </row>
    <row r="2" spans="1:29" s="35" customFormat="1" x14ac:dyDescent="0.2">
      <c r="A2" s="55"/>
      <c r="B2" s="39" t="s">
        <v>180</v>
      </c>
      <c r="C2" s="36" t="s">
        <v>195</v>
      </c>
      <c r="D2" s="36" t="s">
        <v>182</v>
      </c>
      <c r="E2" s="50" t="b">
        <v>1</v>
      </c>
      <c r="F2" s="39" t="s">
        <v>180</v>
      </c>
      <c r="G2" s="36" t="s">
        <v>195</v>
      </c>
      <c r="H2" s="36" t="s">
        <v>182</v>
      </c>
      <c r="I2" s="50" t="b">
        <v>1</v>
      </c>
      <c r="J2" s="48" t="s">
        <v>180</v>
      </c>
      <c r="K2" s="36" t="s">
        <v>195</v>
      </c>
      <c r="L2" s="36" t="s">
        <v>182</v>
      </c>
      <c r="M2" s="37" t="b">
        <v>1</v>
      </c>
      <c r="N2" s="39" t="s">
        <v>180</v>
      </c>
      <c r="O2" s="36" t="s">
        <v>195</v>
      </c>
      <c r="P2" s="36" t="s">
        <v>182</v>
      </c>
      <c r="Q2" s="37" t="b">
        <v>1</v>
      </c>
      <c r="R2" s="39" t="s">
        <v>180</v>
      </c>
      <c r="S2" s="36" t="s">
        <v>195</v>
      </c>
      <c r="T2" s="36" t="s">
        <v>182</v>
      </c>
      <c r="U2" s="37" t="b">
        <v>1</v>
      </c>
      <c r="V2" s="39" t="s">
        <v>180</v>
      </c>
      <c r="W2" s="36" t="s">
        <v>195</v>
      </c>
      <c r="X2" s="36" t="s">
        <v>182</v>
      </c>
      <c r="Y2" s="50" t="b">
        <v>1</v>
      </c>
      <c r="Z2" s="48" t="s">
        <v>180</v>
      </c>
      <c r="AA2" s="36" t="s">
        <v>195</v>
      </c>
      <c r="AB2" s="36" t="s">
        <v>182</v>
      </c>
      <c r="AC2" s="50" t="b">
        <v>1</v>
      </c>
    </row>
    <row r="3" spans="1:29" x14ac:dyDescent="0.2">
      <c r="A3" s="56" t="s">
        <v>203</v>
      </c>
      <c r="B3" s="59">
        <v>60</v>
      </c>
      <c r="C3" s="22">
        <v>65</v>
      </c>
      <c r="D3" s="22">
        <f>B3-C3</f>
        <v>-5</v>
      </c>
      <c r="E3" s="60">
        <f t="shared" ref="E3:E21" si="0">IF(B3&gt;=C3,1,0)</f>
        <v>0</v>
      </c>
      <c r="F3" s="40">
        <v>8</v>
      </c>
      <c r="G3" s="23">
        <v>10</v>
      </c>
      <c r="H3" s="23">
        <f>F3-G3</f>
        <v>-2</v>
      </c>
      <c r="I3" s="51">
        <f>IF(F3&gt;=G3,1,0)</f>
        <v>0</v>
      </c>
      <c r="J3" s="49">
        <v>1</v>
      </c>
      <c r="K3" s="22">
        <v>3</v>
      </c>
      <c r="L3" s="22">
        <f>J3-K3</f>
        <v>-2</v>
      </c>
      <c r="M3" s="38">
        <f>IF(J3&lt;=K3,1,0)</f>
        <v>1</v>
      </c>
      <c r="N3" s="40">
        <v>59</v>
      </c>
      <c r="O3" s="23">
        <v>65</v>
      </c>
      <c r="P3" s="23">
        <f>N3-O3</f>
        <v>-6</v>
      </c>
      <c r="Q3" s="61">
        <f>IF(N3&gt;=O3,1,0)</f>
        <v>0</v>
      </c>
      <c r="R3" s="59">
        <v>62</v>
      </c>
      <c r="S3" s="22">
        <v>34</v>
      </c>
      <c r="T3" s="22">
        <f>R3-S3</f>
        <v>28</v>
      </c>
      <c r="U3" s="38">
        <f>IF(R3&gt;=S3,1,0)</f>
        <v>1</v>
      </c>
      <c r="V3" s="40">
        <v>56</v>
      </c>
      <c r="W3" s="23">
        <v>42</v>
      </c>
      <c r="X3" s="23">
        <f>V3-W3</f>
        <v>14</v>
      </c>
      <c r="Y3" s="51">
        <f>IF(V3&gt;=W3,1,0)</f>
        <v>1</v>
      </c>
      <c r="Z3" s="49">
        <v>46</v>
      </c>
      <c r="AA3" s="22">
        <v>40</v>
      </c>
      <c r="AB3" s="22">
        <f>Z3-AA3</f>
        <v>6</v>
      </c>
      <c r="AC3" s="60">
        <f>IF(Z3&gt;=AA3,1,0)</f>
        <v>1</v>
      </c>
    </row>
    <row r="4" spans="1:29" x14ac:dyDescent="0.2">
      <c r="A4" s="57" t="s">
        <v>178</v>
      </c>
      <c r="B4" s="59">
        <v>64</v>
      </c>
      <c r="C4" s="22">
        <v>59</v>
      </c>
      <c r="D4" s="22">
        <f t="shared" ref="D4:D67" si="1">B4-C4</f>
        <v>5</v>
      </c>
      <c r="E4" s="60">
        <f t="shared" si="0"/>
        <v>1</v>
      </c>
      <c r="F4" s="40">
        <v>5</v>
      </c>
      <c r="G4" s="23">
        <v>10</v>
      </c>
      <c r="H4" s="23">
        <f t="shared" ref="H4:H67" si="2">F4-G4</f>
        <v>-5</v>
      </c>
      <c r="I4" s="51">
        <f t="shared" ref="I4:I67" si="3">IF(F4&gt;=G4,1,0)</f>
        <v>0</v>
      </c>
      <c r="J4" s="49">
        <v>3</v>
      </c>
      <c r="K4" s="22">
        <v>4</v>
      </c>
      <c r="L4" s="22">
        <f t="shared" ref="L4:L67" si="4">J4-K4</f>
        <v>-1</v>
      </c>
      <c r="M4" s="38">
        <f t="shared" ref="M4:M67" si="5">IF(J4&lt;=K4,1,0)</f>
        <v>1</v>
      </c>
      <c r="N4" s="40">
        <v>70</v>
      </c>
      <c r="O4" s="23">
        <v>64</v>
      </c>
      <c r="P4" s="23">
        <f t="shared" ref="P4:P67" si="6">N4-O4</f>
        <v>6</v>
      </c>
      <c r="Q4" s="61">
        <f t="shared" ref="Q4:Q67" si="7">IF(N4&gt;=O4,1,0)</f>
        <v>1</v>
      </c>
      <c r="R4" s="59">
        <v>58</v>
      </c>
      <c r="S4" s="22">
        <v>52</v>
      </c>
      <c r="T4" s="22">
        <f t="shared" ref="T4:T67" si="8">R4-S4</f>
        <v>6</v>
      </c>
      <c r="U4" s="38">
        <f t="shared" ref="U4:U67" si="9">IF(R4&gt;=S4,1,0)</f>
        <v>1</v>
      </c>
      <c r="V4" s="40">
        <v>41</v>
      </c>
      <c r="W4" s="23">
        <v>63</v>
      </c>
      <c r="X4" s="23">
        <f t="shared" ref="X4:X67" si="10">V4-W4</f>
        <v>-22</v>
      </c>
      <c r="Y4" s="51">
        <f t="shared" ref="Y4:Y67" si="11">IF(V4&gt;=W4,1,0)</f>
        <v>0</v>
      </c>
      <c r="Z4" s="49">
        <v>41</v>
      </c>
      <c r="AA4" s="22">
        <v>34</v>
      </c>
      <c r="AB4" s="22">
        <f t="shared" ref="AB4:AB67" si="12">Z4-AA4</f>
        <v>7</v>
      </c>
      <c r="AC4" s="60">
        <f t="shared" ref="AC4:AC67" si="13">IF(Z4&gt;=AA4,1,0)</f>
        <v>1</v>
      </c>
    </row>
    <row r="5" spans="1:29" x14ac:dyDescent="0.2">
      <c r="A5" s="57" t="s">
        <v>178</v>
      </c>
      <c r="B5" s="59">
        <v>65</v>
      </c>
      <c r="C5" s="22">
        <v>59</v>
      </c>
      <c r="D5" s="22">
        <f t="shared" si="1"/>
        <v>6</v>
      </c>
      <c r="E5" s="60">
        <f t="shared" si="0"/>
        <v>1</v>
      </c>
      <c r="F5" s="40">
        <v>15</v>
      </c>
      <c r="G5" s="23">
        <v>5</v>
      </c>
      <c r="H5" s="23">
        <f t="shared" si="2"/>
        <v>10</v>
      </c>
      <c r="I5" s="51">
        <f t="shared" si="3"/>
        <v>1</v>
      </c>
      <c r="J5" s="49">
        <v>2</v>
      </c>
      <c r="K5" s="22">
        <v>6</v>
      </c>
      <c r="L5" s="22">
        <f t="shared" si="4"/>
        <v>-4</v>
      </c>
      <c r="M5" s="38">
        <f t="shared" si="5"/>
        <v>1</v>
      </c>
      <c r="N5" s="40">
        <v>75</v>
      </c>
      <c r="O5" s="23">
        <v>67</v>
      </c>
      <c r="P5" s="23">
        <f t="shared" si="6"/>
        <v>8</v>
      </c>
      <c r="Q5" s="61">
        <f t="shared" si="7"/>
        <v>1</v>
      </c>
      <c r="R5" s="59">
        <v>53</v>
      </c>
      <c r="S5" s="22">
        <v>50</v>
      </c>
      <c r="T5" s="22">
        <f t="shared" si="8"/>
        <v>3</v>
      </c>
      <c r="U5" s="38">
        <f t="shared" si="9"/>
        <v>1</v>
      </c>
      <c r="V5" s="40">
        <v>60</v>
      </c>
      <c r="W5" s="23">
        <v>33</v>
      </c>
      <c r="X5" s="23">
        <f t="shared" si="10"/>
        <v>27</v>
      </c>
      <c r="Y5" s="51">
        <f t="shared" si="11"/>
        <v>1</v>
      </c>
      <c r="Z5" s="49">
        <v>40</v>
      </c>
      <c r="AA5" s="22">
        <v>32</v>
      </c>
      <c r="AB5" s="22">
        <f t="shared" si="12"/>
        <v>8</v>
      </c>
      <c r="AC5" s="60">
        <f t="shared" si="13"/>
        <v>1</v>
      </c>
    </row>
    <row r="6" spans="1:29" x14ac:dyDescent="0.2">
      <c r="A6" s="57" t="s">
        <v>179</v>
      </c>
      <c r="B6" s="59">
        <v>71</v>
      </c>
      <c r="C6" s="22">
        <v>68</v>
      </c>
      <c r="D6" s="22">
        <f t="shared" si="1"/>
        <v>3</v>
      </c>
      <c r="E6" s="60">
        <f t="shared" si="0"/>
        <v>1</v>
      </c>
      <c r="F6" s="40">
        <v>8</v>
      </c>
      <c r="G6" s="23">
        <v>15</v>
      </c>
      <c r="H6" s="23">
        <f t="shared" si="2"/>
        <v>-7</v>
      </c>
      <c r="I6" s="51">
        <f t="shared" si="3"/>
        <v>0</v>
      </c>
      <c r="J6" s="49">
        <v>2</v>
      </c>
      <c r="K6" s="22">
        <v>2</v>
      </c>
      <c r="L6" s="22">
        <f t="shared" si="4"/>
        <v>0</v>
      </c>
      <c r="M6" s="38">
        <f t="shared" si="5"/>
        <v>1</v>
      </c>
      <c r="N6" s="40">
        <v>89</v>
      </c>
      <c r="O6" s="23">
        <v>72</v>
      </c>
      <c r="P6" s="23">
        <f t="shared" si="6"/>
        <v>17</v>
      </c>
      <c r="Q6" s="61">
        <f t="shared" si="7"/>
        <v>1</v>
      </c>
      <c r="R6" s="59">
        <v>74</v>
      </c>
      <c r="S6" s="22">
        <v>53</v>
      </c>
      <c r="T6" s="22">
        <f t="shared" si="8"/>
        <v>21</v>
      </c>
      <c r="U6" s="38">
        <f t="shared" si="9"/>
        <v>1</v>
      </c>
      <c r="V6" s="40">
        <v>27</v>
      </c>
      <c r="W6" s="23">
        <v>0</v>
      </c>
      <c r="X6" s="23">
        <f t="shared" si="10"/>
        <v>27</v>
      </c>
      <c r="Y6" s="51">
        <f t="shared" si="11"/>
        <v>1</v>
      </c>
      <c r="Z6" s="49">
        <v>34</v>
      </c>
      <c r="AA6" s="22">
        <v>15</v>
      </c>
      <c r="AB6" s="22">
        <f t="shared" si="12"/>
        <v>19</v>
      </c>
      <c r="AC6" s="60">
        <f t="shared" si="13"/>
        <v>1</v>
      </c>
    </row>
    <row r="7" spans="1:29" x14ac:dyDescent="0.2">
      <c r="A7" s="57" t="s">
        <v>179</v>
      </c>
      <c r="B7" s="59">
        <v>63</v>
      </c>
      <c r="C7" s="22">
        <v>62</v>
      </c>
      <c r="D7" s="22">
        <f t="shared" si="1"/>
        <v>1</v>
      </c>
      <c r="E7" s="60">
        <f t="shared" si="0"/>
        <v>1</v>
      </c>
      <c r="F7" s="40">
        <v>20</v>
      </c>
      <c r="G7" s="23">
        <v>6</v>
      </c>
      <c r="H7" s="23">
        <f t="shared" si="2"/>
        <v>14</v>
      </c>
      <c r="I7" s="51">
        <f t="shared" si="3"/>
        <v>1</v>
      </c>
      <c r="J7" s="49">
        <v>4</v>
      </c>
      <c r="K7" s="22">
        <v>2</v>
      </c>
      <c r="L7" s="22">
        <f t="shared" si="4"/>
        <v>2</v>
      </c>
      <c r="M7" s="38">
        <f t="shared" si="5"/>
        <v>0</v>
      </c>
      <c r="N7" s="40">
        <v>86</v>
      </c>
      <c r="O7" s="23">
        <v>74</v>
      </c>
      <c r="P7" s="23">
        <f t="shared" si="6"/>
        <v>12</v>
      </c>
      <c r="Q7" s="61">
        <f t="shared" si="7"/>
        <v>1</v>
      </c>
      <c r="R7" s="59">
        <v>53</v>
      </c>
      <c r="S7" s="22">
        <v>50</v>
      </c>
      <c r="T7" s="22">
        <f t="shared" si="8"/>
        <v>3</v>
      </c>
      <c r="U7" s="38">
        <f t="shared" si="9"/>
        <v>1</v>
      </c>
      <c r="V7" s="40">
        <v>27</v>
      </c>
      <c r="W7" s="23">
        <v>25</v>
      </c>
      <c r="X7" s="23">
        <f t="shared" si="10"/>
        <v>2</v>
      </c>
      <c r="Y7" s="51">
        <f t="shared" si="11"/>
        <v>1</v>
      </c>
      <c r="Z7" s="49">
        <v>35</v>
      </c>
      <c r="AA7" s="22">
        <v>26</v>
      </c>
      <c r="AB7" s="22">
        <f t="shared" si="12"/>
        <v>9</v>
      </c>
      <c r="AC7" s="60">
        <f t="shared" si="13"/>
        <v>1</v>
      </c>
    </row>
    <row r="8" spans="1:29" x14ac:dyDescent="0.2">
      <c r="A8" s="57" t="s">
        <v>179</v>
      </c>
      <c r="B8" s="59">
        <v>66</v>
      </c>
      <c r="C8" s="22">
        <v>74</v>
      </c>
      <c r="D8" s="22">
        <f t="shared" si="1"/>
        <v>-8</v>
      </c>
      <c r="E8" s="60">
        <f t="shared" si="0"/>
        <v>0</v>
      </c>
      <c r="F8" s="40">
        <v>10</v>
      </c>
      <c r="G8" s="23">
        <v>3</v>
      </c>
      <c r="H8" s="23">
        <f t="shared" si="2"/>
        <v>7</v>
      </c>
      <c r="I8" s="51">
        <f t="shared" si="3"/>
        <v>1</v>
      </c>
      <c r="J8" s="49">
        <v>0</v>
      </c>
      <c r="K8" s="22">
        <v>6</v>
      </c>
      <c r="L8" s="22">
        <f t="shared" si="4"/>
        <v>-6</v>
      </c>
      <c r="M8" s="38">
        <f t="shared" si="5"/>
        <v>1</v>
      </c>
      <c r="N8" s="40">
        <v>82</v>
      </c>
      <c r="O8" s="23">
        <v>64</v>
      </c>
      <c r="P8" s="23">
        <f t="shared" si="6"/>
        <v>18</v>
      </c>
      <c r="Q8" s="61">
        <f t="shared" si="7"/>
        <v>1</v>
      </c>
      <c r="R8" s="59">
        <v>47</v>
      </c>
      <c r="S8" s="22">
        <v>29</v>
      </c>
      <c r="T8" s="22">
        <f t="shared" si="8"/>
        <v>18</v>
      </c>
      <c r="U8" s="38">
        <f t="shared" si="9"/>
        <v>1</v>
      </c>
      <c r="V8" s="40">
        <v>50</v>
      </c>
      <c r="W8" s="23">
        <v>0</v>
      </c>
      <c r="X8" s="23">
        <f t="shared" si="10"/>
        <v>50</v>
      </c>
      <c r="Y8" s="51">
        <f t="shared" si="11"/>
        <v>1</v>
      </c>
      <c r="Z8" s="49">
        <v>45</v>
      </c>
      <c r="AA8" s="22">
        <v>30</v>
      </c>
      <c r="AB8" s="22">
        <f t="shared" si="12"/>
        <v>15</v>
      </c>
      <c r="AC8" s="60">
        <f t="shared" si="13"/>
        <v>1</v>
      </c>
    </row>
    <row r="9" spans="1:29" x14ac:dyDescent="0.2">
      <c r="A9" s="57" t="s">
        <v>179</v>
      </c>
      <c r="B9" s="59">
        <v>69</v>
      </c>
      <c r="C9" s="22">
        <v>63</v>
      </c>
      <c r="D9" s="22">
        <f t="shared" si="1"/>
        <v>6</v>
      </c>
      <c r="E9" s="60">
        <f t="shared" si="0"/>
        <v>1</v>
      </c>
      <c r="F9" s="40">
        <v>13</v>
      </c>
      <c r="G9" s="23">
        <v>9</v>
      </c>
      <c r="H9" s="23">
        <f t="shared" si="2"/>
        <v>4</v>
      </c>
      <c r="I9" s="51">
        <f t="shared" si="3"/>
        <v>1</v>
      </c>
      <c r="J9" s="49">
        <v>1</v>
      </c>
      <c r="K9" s="22">
        <v>3</v>
      </c>
      <c r="L9" s="22">
        <f t="shared" si="4"/>
        <v>-2</v>
      </c>
      <c r="M9" s="38">
        <f t="shared" si="5"/>
        <v>1</v>
      </c>
      <c r="N9" s="40">
        <v>80</v>
      </c>
      <c r="O9" s="23">
        <v>65</v>
      </c>
      <c r="P9" s="23">
        <f t="shared" si="6"/>
        <v>15</v>
      </c>
      <c r="Q9" s="61">
        <f t="shared" si="7"/>
        <v>1</v>
      </c>
      <c r="R9" s="59">
        <v>67</v>
      </c>
      <c r="S9" s="22">
        <v>51</v>
      </c>
      <c r="T9" s="22">
        <f t="shared" si="8"/>
        <v>16</v>
      </c>
      <c r="U9" s="38">
        <f t="shared" si="9"/>
        <v>1</v>
      </c>
      <c r="V9" s="40">
        <v>33</v>
      </c>
      <c r="W9" s="23">
        <v>50</v>
      </c>
      <c r="X9" s="23">
        <f t="shared" si="10"/>
        <v>-17</v>
      </c>
      <c r="Y9" s="51">
        <f t="shared" si="11"/>
        <v>0</v>
      </c>
      <c r="Z9" s="49">
        <v>40</v>
      </c>
      <c r="AA9" s="22">
        <v>24</v>
      </c>
      <c r="AB9" s="22">
        <f t="shared" si="12"/>
        <v>16</v>
      </c>
      <c r="AC9" s="60">
        <f t="shared" si="13"/>
        <v>1</v>
      </c>
    </row>
    <row r="10" spans="1:29" x14ac:dyDescent="0.2">
      <c r="A10" s="56">
        <v>2014</v>
      </c>
      <c r="B10" s="59">
        <v>55</v>
      </c>
      <c r="C10" s="22">
        <v>78</v>
      </c>
      <c r="D10" s="22">
        <f t="shared" si="1"/>
        <v>-23</v>
      </c>
      <c r="E10" s="60">
        <f t="shared" si="0"/>
        <v>0</v>
      </c>
      <c r="F10" s="40">
        <v>19</v>
      </c>
      <c r="G10" s="23">
        <v>1</v>
      </c>
      <c r="H10" s="23">
        <f t="shared" si="2"/>
        <v>18</v>
      </c>
      <c r="I10" s="51">
        <f t="shared" si="3"/>
        <v>1</v>
      </c>
      <c r="J10" s="49">
        <v>2</v>
      </c>
      <c r="K10" s="22">
        <v>3</v>
      </c>
      <c r="L10" s="22">
        <f t="shared" si="4"/>
        <v>-1</v>
      </c>
      <c r="M10" s="38">
        <f t="shared" si="5"/>
        <v>1</v>
      </c>
      <c r="N10" s="40">
        <v>87</v>
      </c>
      <c r="O10" s="23">
        <v>60</v>
      </c>
      <c r="P10" s="23">
        <f t="shared" si="6"/>
        <v>27</v>
      </c>
      <c r="Q10" s="61">
        <f t="shared" si="7"/>
        <v>1</v>
      </c>
      <c r="R10" s="59">
        <v>51</v>
      </c>
      <c r="S10" s="22">
        <v>42</v>
      </c>
      <c r="T10" s="22">
        <f t="shared" si="8"/>
        <v>9</v>
      </c>
      <c r="U10" s="38">
        <f t="shared" si="9"/>
        <v>1</v>
      </c>
      <c r="V10" s="40">
        <v>33</v>
      </c>
      <c r="W10" s="23">
        <v>33</v>
      </c>
      <c r="X10" s="23">
        <f t="shared" si="10"/>
        <v>0</v>
      </c>
      <c r="Y10" s="51">
        <f t="shared" si="11"/>
        <v>1</v>
      </c>
      <c r="Z10" s="49">
        <v>44</v>
      </c>
      <c r="AA10" s="22">
        <v>29</v>
      </c>
      <c r="AB10" s="22">
        <f t="shared" si="12"/>
        <v>15</v>
      </c>
      <c r="AC10" s="60">
        <f t="shared" si="13"/>
        <v>1</v>
      </c>
    </row>
    <row r="11" spans="1:29" x14ac:dyDescent="0.2">
      <c r="A11" s="58" t="s">
        <v>178</v>
      </c>
      <c r="B11" s="59">
        <v>65</v>
      </c>
      <c r="C11" s="22">
        <v>66</v>
      </c>
      <c r="D11" s="22">
        <f t="shared" si="1"/>
        <v>-1</v>
      </c>
      <c r="E11" s="60">
        <f t="shared" si="0"/>
        <v>0</v>
      </c>
      <c r="F11" s="40">
        <v>3</v>
      </c>
      <c r="G11" s="23">
        <v>8</v>
      </c>
      <c r="H11" s="23">
        <f t="shared" si="2"/>
        <v>-5</v>
      </c>
      <c r="I11" s="51">
        <f t="shared" si="3"/>
        <v>0</v>
      </c>
      <c r="J11" s="49">
        <v>1</v>
      </c>
      <c r="K11" s="22">
        <v>1</v>
      </c>
      <c r="L11" s="22">
        <f t="shared" si="4"/>
        <v>0</v>
      </c>
      <c r="M11" s="38">
        <f t="shared" si="5"/>
        <v>1</v>
      </c>
      <c r="N11" s="40">
        <v>73</v>
      </c>
      <c r="O11" s="23">
        <v>65</v>
      </c>
      <c r="P11" s="23">
        <f t="shared" si="6"/>
        <v>8</v>
      </c>
      <c r="Q11" s="61">
        <f t="shared" si="7"/>
        <v>1</v>
      </c>
      <c r="R11" s="59">
        <v>73</v>
      </c>
      <c r="S11" s="22">
        <v>50</v>
      </c>
      <c r="T11" s="22">
        <f t="shared" si="8"/>
        <v>23</v>
      </c>
      <c r="U11" s="38">
        <f t="shared" si="9"/>
        <v>1</v>
      </c>
      <c r="V11" s="40">
        <v>29</v>
      </c>
      <c r="W11" s="23">
        <v>50</v>
      </c>
      <c r="X11" s="23">
        <f t="shared" si="10"/>
        <v>-21</v>
      </c>
      <c r="Y11" s="51">
        <f t="shared" si="11"/>
        <v>0</v>
      </c>
      <c r="Z11" s="49">
        <v>40</v>
      </c>
      <c r="AA11" s="22">
        <v>27</v>
      </c>
      <c r="AB11" s="22">
        <f t="shared" si="12"/>
        <v>13</v>
      </c>
      <c r="AC11" s="60">
        <f t="shared" si="13"/>
        <v>1</v>
      </c>
    </row>
    <row r="12" spans="1:29" x14ac:dyDescent="0.2">
      <c r="A12" s="58" t="s">
        <v>178</v>
      </c>
      <c r="B12" s="59">
        <v>61</v>
      </c>
      <c r="C12" s="22">
        <v>62</v>
      </c>
      <c r="D12" s="22">
        <f t="shared" si="1"/>
        <v>-1</v>
      </c>
      <c r="E12" s="60">
        <f t="shared" si="0"/>
        <v>0</v>
      </c>
      <c r="F12" s="40">
        <v>18</v>
      </c>
      <c r="G12" s="23">
        <v>21</v>
      </c>
      <c r="H12" s="23">
        <f t="shared" si="2"/>
        <v>-3</v>
      </c>
      <c r="I12" s="51">
        <f t="shared" si="3"/>
        <v>0</v>
      </c>
      <c r="J12" s="49">
        <v>4</v>
      </c>
      <c r="K12" s="22">
        <v>7</v>
      </c>
      <c r="L12" s="22">
        <f t="shared" si="4"/>
        <v>-3</v>
      </c>
      <c r="M12" s="38">
        <f t="shared" si="5"/>
        <v>1</v>
      </c>
      <c r="N12" s="40">
        <v>82</v>
      </c>
      <c r="O12" s="23">
        <v>82</v>
      </c>
      <c r="P12" s="23">
        <f t="shared" si="6"/>
        <v>0</v>
      </c>
      <c r="Q12" s="61">
        <f t="shared" si="7"/>
        <v>1</v>
      </c>
      <c r="R12" s="59">
        <v>56</v>
      </c>
      <c r="S12" s="22">
        <v>57</v>
      </c>
      <c r="T12" s="22">
        <f t="shared" si="8"/>
        <v>-1</v>
      </c>
      <c r="U12" s="38">
        <f t="shared" si="9"/>
        <v>0</v>
      </c>
      <c r="V12" s="40">
        <v>25</v>
      </c>
      <c r="W12" s="23">
        <v>0</v>
      </c>
      <c r="X12" s="23">
        <f t="shared" si="10"/>
        <v>25</v>
      </c>
      <c r="Y12" s="51">
        <f t="shared" si="11"/>
        <v>1</v>
      </c>
      <c r="Z12" s="49">
        <v>28</v>
      </c>
      <c r="AA12" s="22">
        <v>28</v>
      </c>
      <c r="AB12" s="22">
        <f t="shared" si="12"/>
        <v>0</v>
      </c>
      <c r="AC12" s="60">
        <f t="shared" si="13"/>
        <v>1</v>
      </c>
    </row>
    <row r="13" spans="1:29" x14ac:dyDescent="0.2">
      <c r="A13" s="58" t="s">
        <v>179</v>
      </c>
      <c r="B13" s="59">
        <v>73</v>
      </c>
      <c r="C13" s="22">
        <v>58</v>
      </c>
      <c r="D13" s="22">
        <f t="shared" si="1"/>
        <v>15</v>
      </c>
      <c r="E13" s="60">
        <f t="shared" si="0"/>
        <v>1</v>
      </c>
      <c r="F13" s="40">
        <v>3</v>
      </c>
      <c r="G13" s="23">
        <v>16</v>
      </c>
      <c r="H13" s="23">
        <f t="shared" si="2"/>
        <v>-13</v>
      </c>
      <c r="I13" s="51">
        <f t="shared" si="3"/>
        <v>0</v>
      </c>
      <c r="J13" s="49">
        <v>7</v>
      </c>
      <c r="K13" s="22">
        <v>5</v>
      </c>
      <c r="L13" s="22">
        <f t="shared" si="4"/>
        <v>2</v>
      </c>
      <c r="M13" s="38">
        <f t="shared" si="5"/>
        <v>0</v>
      </c>
      <c r="N13" s="40">
        <v>73</v>
      </c>
      <c r="O13" s="23">
        <v>71</v>
      </c>
      <c r="P13" s="23">
        <f t="shared" si="6"/>
        <v>2</v>
      </c>
      <c r="Q13" s="61">
        <f t="shared" si="7"/>
        <v>1</v>
      </c>
      <c r="R13" s="59">
        <v>67</v>
      </c>
      <c r="S13" s="22">
        <v>49</v>
      </c>
      <c r="T13" s="22">
        <f t="shared" si="8"/>
        <v>18</v>
      </c>
      <c r="U13" s="38">
        <f t="shared" si="9"/>
        <v>1</v>
      </c>
      <c r="V13" s="40">
        <v>36</v>
      </c>
      <c r="W13" s="23">
        <v>50</v>
      </c>
      <c r="X13" s="23">
        <f t="shared" si="10"/>
        <v>-14</v>
      </c>
      <c r="Y13" s="51">
        <f t="shared" si="11"/>
        <v>0</v>
      </c>
      <c r="Z13" s="49">
        <v>38</v>
      </c>
      <c r="AA13" s="22">
        <v>29</v>
      </c>
      <c r="AB13" s="22">
        <f t="shared" si="12"/>
        <v>9</v>
      </c>
      <c r="AC13" s="60">
        <f t="shared" si="13"/>
        <v>1</v>
      </c>
    </row>
    <row r="14" spans="1:29" x14ac:dyDescent="0.2">
      <c r="A14" s="58" t="s">
        <v>179</v>
      </c>
      <c r="B14" s="59">
        <v>64</v>
      </c>
      <c r="C14" s="22">
        <v>61</v>
      </c>
      <c r="D14" s="22">
        <f t="shared" si="1"/>
        <v>3</v>
      </c>
      <c r="E14" s="60">
        <f t="shared" si="0"/>
        <v>1</v>
      </c>
      <c r="F14" s="40">
        <v>10</v>
      </c>
      <c r="G14" s="23">
        <v>9</v>
      </c>
      <c r="H14" s="23">
        <f t="shared" si="2"/>
        <v>1</v>
      </c>
      <c r="I14" s="51">
        <f t="shared" si="3"/>
        <v>1</v>
      </c>
      <c r="J14" s="49">
        <v>0</v>
      </c>
      <c r="K14" s="22">
        <v>1</v>
      </c>
      <c r="L14" s="22">
        <f t="shared" si="4"/>
        <v>-1</v>
      </c>
      <c r="M14" s="38">
        <f t="shared" si="5"/>
        <v>1</v>
      </c>
      <c r="N14" s="40">
        <v>78</v>
      </c>
      <c r="O14" s="23">
        <v>67</v>
      </c>
      <c r="P14" s="23">
        <f t="shared" si="6"/>
        <v>11</v>
      </c>
      <c r="Q14" s="61">
        <f t="shared" si="7"/>
        <v>1</v>
      </c>
      <c r="R14" s="59">
        <v>64</v>
      </c>
      <c r="S14" s="22">
        <v>49</v>
      </c>
      <c r="T14" s="22">
        <f t="shared" si="8"/>
        <v>15</v>
      </c>
      <c r="U14" s="38">
        <f t="shared" si="9"/>
        <v>1</v>
      </c>
      <c r="V14" s="40">
        <v>24</v>
      </c>
      <c r="W14" s="23">
        <v>50</v>
      </c>
      <c r="X14" s="23">
        <f t="shared" si="10"/>
        <v>-26</v>
      </c>
      <c r="Y14" s="51">
        <f t="shared" si="11"/>
        <v>0</v>
      </c>
      <c r="Z14" s="49">
        <v>40</v>
      </c>
      <c r="AA14" s="22">
        <v>27</v>
      </c>
      <c r="AB14" s="22">
        <f t="shared" si="12"/>
        <v>13</v>
      </c>
      <c r="AC14" s="60">
        <f t="shared" si="13"/>
        <v>1</v>
      </c>
    </row>
    <row r="15" spans="1:29" x14ac:dyDescent="0.2">
      <c r="A15" s="58" t="s">
        <v>179</v>
      </c>
      <c r="B15" s="59">
        <v>52</v>
      </c>
      <c r="C15" s="22">
        <v>61</v>
      </c>
      <c r="D15" s="22">
        <f t="shared" si="1"/>
        <v>-9</v>
      </c>
      <c r="E15" s="60">
        <f t="shared" si="0"/>
        <v>0</v>
      </c>
      <c r="F15" s="40">
        <v>10</v>
      </c>
      <c r="G15" s="23">
        <v>2</v>
      </c>
      <c r="H15" s="23">
        <f t="shared" si="2"/>
        <v>8</v>
      </c>
      <c r="I15" s="51">
        <f t="shared" si="3"/>
        <v>1</v>
      </c>
      <c r="J15" s="49">
        <v>4</v>
      </c>
      <c r="K15" s="22">
        <v>1</v>
      </c>
      <c r="L15" s="22">
        <f t="shared" si="4"/>
        <v>3</v>
      </c>
      <c r="M15" s="38">
        <f t="shared" si="5"/>
        <v>0</v>
      </c>
      <c r="N15" s="40">
        <v>78</v>
      </c>
      <c r="O15" s="23">
        <v>64</v>
      </c>
      <c r="P15" s="23">
        <f t="shared" si="6"/>
        <v>14</v>
      </c>
      <c r="Q15" s="61">
        <f t="shared" si="7"/>
        <v>1</v>
      </c>
      <c r="R15" s="59">
        <v>44</v>
      </c>
      <c r="S15" s="22">
        <v>50</v>
      </c>
      <c r="T15" s="22">
        <f t="shared" si="8"/>
        <v>-6</v>
      </c>
      <c r="U15" s="38">
        <f t="shared" si="9"/>
        <v>0</v>
      </c>
      <c r="V15" s="40">
        <v>38</v>
      </c>
      <c r="W15" s="23">
        <v>25</v>
      </c>
      <c r="X15" s="23">
        <f t="shared" si="10"/>
        <v>13</v>
      </c>
      <c r="Y15" s="51">
        <f t="shared" si="11"/>
        <v>1</v>
      </c>
      <c r="Z15" s="49">
        <v>42</v>
      </c>
      <c r="AA15" s="22">
        <v>39</v>
      </c>
      <c r="AB15" s="22">
        <f t="shared" si="12"/>
        <v>3</v>
      </c>
      <c r="AC15" s="60">
        <f t="shared" si="13"/>
        <v>1</v>
      </c>
    </row>
    <row r="16" spans="1:29" x14ac:dyDescent="0.2">
      <c r="A16" s="58" t="s">
        <v>179</v>
      </c>
      <c r="B16" s="59">
        <v>58</v>
      </c>
      <c r="C16" s="22">
        <v>73</v>
      </c>
      <c r="D16" s="22">
        <f t="shared" si="1"/>
        <v>-15</v>
      </c>
      <c r="E16" s="60">
        <f t="shared" si="0"/>
        <v>0</v>
      </c>
      <c r="F16" s="40">
        <v>17</v>
      </c>
      <c r="G16" s="23">
        <v>7</v>
      </c>
      <c r="H16" s="23">
        <f t="shared" si="2"/>
        <v>10</v>
      </c>
      <c r="I16" s="51">
        <f t="shared" si="3"/>
        <v>1</v>
      </c>
      <c r="J16" s="49">
        <v>5</v>
      </c>
      <c r="K16" s="22">
        <v>1</v>
      </c>
      <c r="L16" s="22">
        <f t="shared" si="4"/>
        <v>4</v>
      </c>
      <c r="M16" s="38">
        <f t="shared" si="5"/>
        <v>0</v>
      </c>
      <c r="N16" s="40">
        <v>72</v>
      </c>
      <c r="O16" s="23">
        <v>71</v>
      </c>
      <c r="P16" s="23">
        <f t="shared" si="6"/>
        <v>1</v>
      </c>
      <c r="Q16" s="61">
        <f t="shared" si="7"/>
        <v>1</v>
      </c>
      <c r="R16" s="59">
        <v>50</v>
      </c>
      <c r="S16" s="22">
        <v>59</v>
      </c>
      <c r="T16" s="22">
        <f t="shared" si="8"/>
        <v>-9</v>
      </c>
      <c r="U16" s="38">
        <f t="shared" si="9"/>
        <v>0</v>
      </c>
      <c r="V16" s="40">
        <v>50</v>
      </c>
      <c r="W16" s="23">
        <v>57</v>
      </c>
      <c r="X16" s="23">
        <f t="shared" si="10"/>
        <v>-7</v>
      </c>
      <c r="Y16" s="51">
        <f t="shared" si="11"/>
        <v>0</v>
      </c>
      <c r="Z16" s="49">
        <v>32</v>
      </c>
      <c r="AA16" s="22">
        <v>37</v>
      </c>
      <c r="AB16" s="22">
        <f t="shared" si="12"/>
        <v>-5</v>
      </c>
      <c r="AC16" s="60">
        <f t="shared" si="13"/>
        <v>0</v>
      </c>
    </row>
    <row r="17" spans="1:29" x14ac:dyDescent="0.2">
      <c r="A17" s="56">
        <v>2013</v>
      </c>
      <c r="B17" s="59">
        <v>63</v>
      </c>
      <c r="C17" s="22">
        <v>60</v>
      </c>
      <c r="D17" s="22">
        <f t="shared" si="1"/>
        <v>3</v>
      </c>
      <c r="E17" s="60">
        <f t="shared" si="0"/>
        <v>1</v>
      </c>
      <c r="F17" s="40">
        <v>8</v>
      </c>
      <c r="G17" s="23">
        <v>7</v>
      </c>
      <c r="H17" s="23">
        <f t="shared" si="2"/>
        <v>1</v>
      </c>
      <c r="I17" s="51">
        <f t="shared" si="3"/>
        <v>1</v>
      </c>
      <c r="J17" s="49">
        <v>3</v>
      </c>
      <c r="K17" s="22">
        <v>5</v>
      </c>
      <c r="L17" s="22">
        <f t="shared" si="4"/>
        <v>-2</v>
      </c>
      <c r="M17" s="38">
        <f t="shared" si="5"/>
        <v>1</v>
      </c>
      <c r="N17" s="40">
        <v>75</v>
      </c>
      <c r="O17" s="23">
        <v>81</v>
      </c>
      <c r="P17" s="23">
        <f t="shared" si="6"/>
        <v>-6</v>
      </c>
      <c r="Q17" s="61">
        <f t="shared" si="7"/>
        <v>0</v>
      </c>
      <c r="R17" s="59">
        <v>66</v>
      </c>
      <c r="S17" s="22">
        <v>46</v>
      </c>
      <c r="T17" s="22">
        <f t="shared" si="8"/>
        <v>20</v>
      </c>
      <c r="U17" s="38">
        <f t="shared" si="9"/>
        <v>1</v>
      </c>
      <c r="V17" s="40">
        <v>27</v>
      </c>
      <c r="W17" s="23">
        <v>0</v>
      </c>
      <c r="X17" s="23">
        <f t="shared" si="10"/>
        <v>27</v>
      </c>
      <c r="Y17" s="51">
        <f t="shared" si="11"/>
        <v>1</v>
      </c>
      <c r="Z17" s="49">
        <v>33</v>
      </c>
      <c r="AA17" s="22">
        <v>28</v>
      </c>
      <c r="AB17" s="22">
        <f t="shared" si="12"/>
        <v>5</v>
      </c>
      <c r="AC17" s="60">
        <f t="shared" si="13"/>
        <v>1</v>
      </c>
    </row>
    <row r="18" spans="1:29" x14ac:dyDescent="0.2">
      <c r="A18" s="58" t="s">
        <v>178</v>
      </c>
      <c r="B18" s="59">
        <v>63</v>
      </c>
      <c r="C18" s="22">
        <v>60</v>
      </c>
      <c r="D18" s="22">
        <f t="shared" si="1"/>
        <v>3</v>
      </c>
      <c r="E18" s="60">
        <f t="shared" si="0"/>
        <v>1</v>
      </c>
      <c r="F18" s="40">
        <v>6</v>
      </c>
      <c r="G18" s="23">
        <v>1</v>
      </c>
      <c r="H18" s="23">
        <f t="shared" si="2"/>
        <v>5</v>
      </c>
      <c r="I18" s="51">
        <f t="shared" si="3"/>
        <v>1</v>
      </c>
      <c r="J18" s="49">
        <v>0</v>
      </c>
      <c r="K18" s="22">
        <v>3</v>
      </c>
      <c r="L18" s="22">
        <f t="shared" si="4"/>
        <v>-3</v>
      </c>
      <c r="M18" s="38">
        <f t="shared" si="5"/>
        <v>1</v>
      </c>
      <c r="N18" s="40">
        <v>91</v>
      </c>
      <c r="O18" s="23">
        <v>56</v>
      </c>
      <c r="P18" s="23">
        <f t="shared" si="6"/>
        <v>35</v>
      </c>
      <c r="Q18" s="61">
        <f t="shared" si="7"/>
        <v>1</v>
      </c>
      <c r="R18" s="59">
        <v>79</v>
      </c>
      <c r="S18" s="22">
        <v>30</v>
      </c>
      <c r="T18" s="22">
        <f t="shared" si="8"/>
        <v>49</v>
      </c>
      <c r="U18" s="38">
        <f t="shared" si="9"/>
        <v>1</v>
      </c>
      <c r="V18" s="40">
        <v>100</v>
      </c>
      <c r="W18" s="23">
        <v>0</v>
      </c>
      <c r="X18" s="23">
        <f t="shared" si="10"/>
        <v>100</v>
      </c>
      <c r="Y18" s="51">
        <f t="shared" si="11"/>
        <v>1</v>
      </c>
      <c r="Z18" s="49">
        <v>55</v>
      </c>
      <c r="AA18" s="22">
        <v>14</v>
      </c>
      <c r="AB18" s="22">
        <f t="shared" si="12"/>
        <v>41</v>
      </c>
      <c r="AC18" s="60">
        <f t="shared" si="13"/>
        <v>1</v>
      </c>
    </row>
    <row r="19" spans="1:29" x14ac:dyDescent="0.2">
      <c r="A19" s="58" t="s">
        <v>178</v>
      </c>
      <c r="B19" s="59">
        <v>64</v>
      </c>
      <c r="C19" s="22">
        <v>61</v>
      </c>
      <c r="D19" s="22">
        <f t="shared" si="1"/>
        <v>3</v>
      </c>
      <c r="E19" s="60">
        <f t="shared" si="0"/>
        <v>1</v>
      </c>
      <c r="F19" s="40">
        <v>21</v>
      </c>
      <c r="G19" s="23">
        <v>5</v>
      </c>
      <c r="H19" s="23">
        <f t="shared" si="2"/>
        <v>16</v>
      </c>
      <c r="I19" s="51">
        <f t="shared" si="3"/>
        <v>1</v>
      </c>
      <c r="J19" s="49">
        <v>0</v>
      </c>
      <c r="K19" s="22">
        <v>2</v>
      </c>
      <c r="L19" s="22">
        <f t="shared" si="4"/>
        <v>-2</v>
      </c>
      <c r="M19" s="38">
        <f t="shared" si="5"/>
        <v>1</v>
      </c>
      <c r="N19" s="40">
        <v>75</v>
      </c>
      <c r="O19" s="23">
        <v>73</v>
      </c>
      <c r="P19" s="23">
        <f t="shared" si="6"/>
        <v>2</v>
      </c>
      <c r="Q19" s="61">
        <f t="shared" si="7"/>
        <v>1</v>
      </c>
      <c r="R19" s="59">
        <v>63</v>
      </c>
      <c r="S19" s="22">
        <v>42</v>
      </c>
      <c r="T19" s="22">
        <f t="shared" si="8"/>
        <v>21</v>
      </c>
      <c r="U19" s="38">
        <f t="shared" si="9"/>
        <v>1</v>
      </c>
      <c r="V19" s="40">
        <v>38</v>
      </c>
      <c r="W19" s="23">
        <v>33</v>
      </c>
      <c r="X19" s="23">
        <f t="shared" si="10"/>
        <v>5</v>
      </c>
      <c r="Y19" s="51">
        <f t="shared" si="11"/>
        <v>1</v>
      </c>
      <c r="Z19" s="49">
        <v>39</v>
      </c>
      <c r="AA19" s="22">
        <v>29</v>
      </c>
      <c r="AB19" s="22">
        <f t="shared" si="12"/>
        <v>10</v>
      </c>
      <c r="AC19" s="60">
        <f t="shared" si="13"/>
        <v>1</v>
      </c>
    </row>
    <row r="20" spans="1:29" x14ac:dyDescent="0.2">
      <c r="A20" s="58" t="s">
        <v>179</v>
      </c>
      <c r="B20" s="59">
        <v>67</v>
      </c>
      <c r="C20" s="22">
        <v>60</v>
      </c>
      <c r="D20" s="22">
        <f t="shared" si="1"/>
        <v>7</v>
      </c>
      <c r="E20" s="60">
        <f t="shared" si="0"/>
        <v>1</v>
      </c>
      <c r="F20" s="40">
        <v>10</v>
      </c>
      <c r="G20" s="23">
        <v>8</v>
      </c>
      <c r="H20" s="23">
        <f t="shared" si="2"/>
        <v>2</v>
      </c>
      <c r="I20" s="51">
        <f t="shared" si="3"/>
        <v>1</v>
      </c>
      <c r="J20" s="49">
        <v>2</v>
      </c>
      <c r="K20" s="22">
        <v>5</v>
      </c>
      <c r="L20" s="22">
        <f t="shared" si="4"/>
        <v>-3</v>
      </c>
      <c r="M20" s="38">
        <f t="shared" si="5"/>
        <v>1</v>
      </c>
      <c r="N20" s="40">
        <v>78</v>
      </c>
      <c r="O20" s="23">
        <v>66</v>
      </c>
      <c r="P20" s="23">
        <f t="shared" si="6"/>
        <v>12</v>
      </c>
      <c r="Q20" s="61">
        <f t="shared" si="7"/>
        <v>1</v>
      </c>
      <c r="R20" s="59">
        <v>63</v>
      </c>
      <c r="S20" s="22">
        <v>42</v>
      </c>
      <c r="T20" s="22">
        <f t="shared" si="8"/>
        <v>21</v>
      </c>
      <c r="U20" s="38">
        <f t="shared" si="9"/>
        <v>1</v>
      </c>
      <c r="V20" s="40">
        <v>43</v>
      </c>
      <c r="W20" s="23">
        <v>25</v>
      </c>
      <c r="X20" s="23">
        <f t="shared" si="10"/>
        <v>18</v>
      </c>
      <c r="Y20" s="51">
        <f t="shared" si="11"/>
        <v>1</v>
      </c>
      <c r="Z20" s="49">
        <v>44</v>
      </c>
      <c r="AA20" s="22">
        <v>27</v>
      </c>
      <c r="AB20" s="22">
        <f t="shared" si="12"/>
        <v>17</v>
      </c>
      <c r="AC20" s="60">
        <f t="shared" si="13"/>
        <v>1</v>
      </c>
    </row>
    <row r="21" spans="1:29" x14ac:dyDescent="0.2">
      <c r="A21" s="58" t="s">
        <v>179</v>
      </c>
      <c r="B21" s="59">
        <v>69</v>
      </c>
      <c r="C21" s="22">
        <v>47</v>
      </c>
      <c r="D21" s="22">
        <f t="shared" si="1"/>
        <v>22</v>
      </c>
      <c r="E21" s="60">
        <f t="shared" si="0"/>
        <v>1</v>
      </c>
      <c r="F21" s="40">
        <v>16</v>
      </c>
      <c r="G21" s="23">
        <v>15</v>
      </c>
      <c r="H21" s="23">
        <f t="shared" si="2"/>
        <v>1</v>
      </c>
      <c r="I21" s="51">
        <f t="shared" si="3"/>
        <v>1</v>
      </c>
      <c r="J21" s="49">
        <v>0</v>
      </c>
      <c r="K21" s="22">
        <v>4</v>
      </c>
      <c r="L21" s="22">
        <f t="shared" si="4"/>
        <v>-4</v>
      </c>
      <c r="M21" s="38">
        <f t="shared" si="5"/>
        <v>1</v>
      </c>
      <c r="N21" s="40">
        <v>72</v>
      </c>
      <c r="O21" s="23">
        <v>73</v>
      </c>
      <c r="P21" s="23">
        <f t="shared" si="6"/>
        <v>-1</v>
      </c>
      <c r="Q21" s="61">
        <f t="shared" si="7"/>
        <v>0</v>
      </c>
      <c r="R21" s="59">
        <v>50</v>
      </c>
      <c r="S21" s="22">
        <v>47</v>
      </c>
      <c r="T21" s="22">
        <f t="shared" si="8"/>
        <v>3</v>
      </c>
      <c r="U21" s="38">
        <f t="shared" si="9"/>
        <v>1</v>
      </c>
      <c r="V21" s="40">
        <v>38</v>
      </c>
      <c r="W21" s="23">
        <v>58</v>
      </c>
      <c r="X21" s="23">
        <f t="shared" si="10"/>
        <v>-20</v>
      </c>
      <c r="Y21" s="51">
        <f t="shared" si="11"/>
        <v>0</v>
      </c>
      <c r="Z21" s="49">
        <v>41</v>
      </c>
      <c r="AA21" s="22">
        <v>35</v>
      </c>
      <c r="AB21" s="22">
        <f t="shared" si="12"/>
        <v>6</v>
      </c>
      <c r="AC21" s="60">
        <f t="shared" si="13"/>
        <v>1</v>
      </c>
    </row>
    <row r="22" spans="1:29" x14ac:dyDescent="0.2">
      <c r="A22" s="58" t="s">
        <v>179</v>
      </c>
      <c r="B22" s="59">
        <v>68</v>
      </c>
      <c r="C22" s="22">
        <v>68</v>
      </c>
      <c r="D22" s="22">
        <f t="shared" si="1"/>
        <v>0</v>
      </c>
      <c r="E22" s="60">
        <f>IF(B22&gt;=C22,1,0)</f>
        <v>1</v>
      </c>
      <c r="F22" s="40">
        <v>7</v>
      </c>
      <c r="G22" s="23">
        <v>6</v>
      </c>
      <c r="H22" s="23">
        <f t="shared" si="2"/>
        <v>1</v>
      </c>
      <c r="I22" s="51">
        <f t="shared" si="3"/>
        <v>1</v>
      </c>
      <c r="J22" s="49">
        <v>1</v>
      </c>
      <c r="K22" s="22">
        <v>3</v>
      </c>
      <c r="L22" s="22">
        <f t="shared" si="4"/>
        <v>-2</v>
      </c>
      <c r="M22" s="38">
        <f t="shared" si="5"/>
        <v>1</v>
      </c>
      <c r="N22" s="40">
        <v>80</v>
      </c>
      <c r="O22" s="23">
        <v>60</v>
      </c>
      <c r="P22" s="23">
        <f t="shared" si="6"/>
        <v>20</v>
      </c>
      <c r="Q22" s="61">
        <f t="shared" si="7"/>
        <v>1</v>
      </c>
      <c r="R22" s="59">
        <v>29</v>
      </c>
      <c r="S22" s="22">
        <v>20</v>
      </c>
      <c r="T22" s="22">
        <f t="shared" si="8"/>
        <v>9</v>
      </c>
      <c r="U22" s="38">
        <f t="shared" si="9"/>
        <v>1</v>
      </c>
      <c r="V22" s="40">
        <v>73</v>
      </c>
      <c r="W22" s="23">
        <v>40</v>
      </c>
      <c r="X22" s="23">
        <f t="shared" si="10"/>
        <v>33</v>
      </c>
      <c r="Y22" s="51">
        <f t="shared" si="11"/>
        <v>1</v>
      </c>
      <c r="Z22" s="49">
        <v>53</v>
      </c>
      <c r="AA22" s="22">
        <v>36</v>
      </c>
      <c r="AB22" s="22">
        <f t="shared" si="12"/>
        <v>17</v>
      </c>
      <c r="AC22" s="60">
        <f t="shared" si="13"/>
        <v>1</v>
      </c>
    </row>
    <row r="23" spans="1:29" x14ac:dyDescent="0.2">
      <c r="A23" s="58" t="s">
        <v>179</v>
      </c>
      <c r="B23" s="59">
        <v>61</v>
      </c>
      <c r="C23" s="22">
        <v>67</v>
      </c>
      <c r="D23" s="22">
        <f t="shared" si="1"/>
        <v>-6</v>
      </c>
      <c r="E23" s="60">
        <f t="shared" ref="E23:E86" si="14">IF(B23&gt;=C23,1,0)</f>
        <v>0</v>
      </c>
      <c r="F23" s="40">
        <v>6</v>
      </c>
      <c r="G23" s="23">
        <v>20</v>
      </c>
      <c r="H23" s="23">
        <f t="shared" si="2"/>
        <v>-14</v>
      </c>
      <c r="I23" s="51">
        <f t="shared" si="3"/>
        <v>0</v>
      </c>
      <c r="J23" s="49">
        <v>3</v>
      </c>
      <c r="K23" s="22">
        <v>1</v>
      </c>
      <c r="L23" s="22">
        <f t="shared" si="4"/>
        <v>2</v>
      </c>
      <c r="M23" s="38">
        <f t="shared" si="5"/>
        <v>0</v>
      </c>
      <c r="N23" s="40">
        <v>77</v>
      </c>
      <c r="O23" s="23">
        <v>75</v>
      </c>
      <c r="P23" s="23">
        <f t="shared" si="6"/>
        <v>2</v>
      </c>
      <c r="Q23" s="61">
        <f t="shared" si="7"/>
        <v>1</v>
      </c>
      <c r="R23" s="59">
        <v>56</v>
      </c>
      <c r="S23" s="22">
        <v>47</v>
      </c>
      <c r="T23" s="22">
        <f t="shared" si="8"/>
        <v>9</v>
      </c>
      <c r="U23" s="38">
        <f t="shared" si="9"/>
        <v>1</v>
      </c>
      <c r="V23" s="40">
        <v>22</v>
      </c>
      <c r="W23" s="23">
        <v>56</v>
      </c>
      <c r="X23" s="23">
        <f t="shared" si="10"/>
        <v>-34</v>
      </c>
      <c r="Y23" s="51">
        <f t="shared" si="11"/>
        <v>0</v>
      </c>
      <c r="Z23" s="49">
        <v>34</v>
      </c>
      <c r="AA23" s="22">
        <v>31</v>
      </c>
      <c r="AB23" s="22">
        <f t="shared" si="12"/>
        <v>3</v>
      </c>
      <c r="AC23" s="60">
        <f t="shared" si="13"/>
        <v>1</v>
      </c>
    </row>
    <row r="24" spans="1:29" x14ac:dyDescent="0.2">
      <c r="A24" s="56">
        <v>2012</v>
      </c>
      <c r="B24" s="59">
        <v>59</v>
      </c>
      <c r="C24" s="22">
        <v>67</v>
      </c>
      <c r="D24" s="22">
        <f t="shared" si="1"/>
        <v>-8</v>
      </c>
      <c r="E24" s="60">
        <f t="shared" si="14"/>
        <v>0</v>
      </c>
      <c r="F24" s="40">
        <v>9</v>
      </c>
      <c r="G24" s="23">
        <v>10</v>
      </c>
      <c r="H24" s="23">
        <f t="shared" si="2"/>
        <v>-1</v>
      </c>
      <c r="I24" s="51">
        <f t="shared" si="3"/>
        <v>0</v>
      </c>
      <c r="J24" s="49">
        <v>2</v>
      </c>
      <c r="K24" s="22">
        <v>4</v>
      </c>
      <c r="L24" s="22">
        <f t="shared" si="4"/>
        <v>-2</v>
      </c>
      <c r="M24" s="38">
        <f t="shared" si="5"/>
        <v>1</v>
      </c>
      <c r="N24" s="40">
        <v>68</v>
      </c>
      <c r="O24" s="23">
        <v>66</v>
      </c>
      <c r="P24" s="23">
        <f t="shared" si="6"/>
        <v>2</v>
      </c>
      <c r="Q24" s="61">
        <f t="shared" si="7"/>
        <v>1</v>
      </c>
      <c r="R24" s="59">
        <v>63</v>
      </c>
      <c r="S24" s="22">
        <v>45</v>
      </c>
      <c r="T24" s="22">
        <f t="shared" si="8"/>
        <v>18</v>
      </c>
      <c r="U24" s="38">
        <f t="shared" si="9"/>
        <v>1</v>
      </c>
      <c r="V24" s="40">
        <v>35</v>
      </c>
      <c r="W24" s="23">
        <v>67</v>
      </c>
      <c r="X24" s="23">
        <f t="shared" si="10"/>
        <v>-32</v>
      </c>
      <c r="Y24" s="51">
        <f t="shared" si="11"/>
        <v>0</v>
      </c>
      <c r="Z24" s="49">
        <v>41</v>
      </c>
      <c r="AA24" s="22">
        <v>34</v>
      </c>
      <c r="AB24" s="22">
        <f t="shared" si="12"/>
        <v>7</v>
      </c>
      <c r="AC24" s="60">
        <f t="shared" si="13"/>
        <v>1</v>
      </c>
    </row>
    <row r="25" spans="1:29" x14ac:dyDescent="0.2">
      <c r="A25" s="58" t="s">
        <v>178</v>
      </c>
      <c r="B25" s="59">
        <v>61</v>
      </c>
      <c r="C25" s="22">
        <v>63</v>
      </c>
      <c r="D25" s="22">
        <f t="shared" si="1"/>
        <v>-2</v>
      </c>
      <c r="E25" s="60">
        <f t="shared" si="14"/>
        <v>0</v>
      </c>
      <c r="F25" s="40">
        <v>11</v>
      </c>
      <c r="G25" s="23">
        <v>9</v>
      </c>
      <c r="H25" s="23">
        <f t="shared" si="2"/>
        <v>2</v>
      </c>
      <c r="I25" s="51">
        <f t="shared" si="3"/>
        <v>1</v>
      </c>
      <c r="J25" s="49">
        <v>6</v>
      </c>
      <c r="K25" s="22">
        <v>10</v>
      </c>
      <c r="L25" s="22">
        <f t="shared" si="4"/>
        <v>-4</v>
      </c>
      <c r="M25" s="38">
        <f t="shared" si="5"/>
        <v>1</v>
      </c>
      <c r="N25" s="40">
        <v>66</v>
      </c>
      <c r="O25" s="23">
        <v>64</v>
      </c>
      <c r="P25" s="23">
        <f t="shared" si="6"/>
        <v>2</v>
      </c>
      <c r="Q25" s="61">
        <f t="shared" si="7"/>
        <v>1</v>
      </c>
      <c r="R25" s="59">
        <v>45</v>
      </c>
      <c r="S25" s="22">
        <v>30</v>
      </c>
      <c r="T25" s="22">
        <f t="shared" si="8"/>
        <v>15</v>
      </c>
      <c r="U25" s="38">
        <f t="shared" si="9"/>
        <v>1</v>
      </c>
      <c r="V25" s="40">
        <v>42</v>
      </c>
      <c r="W25" s="23">
        <v>29</v>
      </c>
      <c r="X25" s="23">
        <f t="shared" si="10"/>
        <v>13</v>
      </c>
      <c r="Y25" s="51">
        <f t="shared" si="11"/>
        <v>1</v>
      </c>
      <c r="Z25" s="49">
        <v>49</v>
      </c>
      <c r="AA25" s="22">
        <v>42</v>
      </c>
      <c r="AB25" s="22">
        <f t="shared" si="12"/>
        <v>7</v>
      </c>
      <c r="AC25" s="60">
        <f t="shared" si="13"/>
        <v>1</v>
      </c>
    </row>
    <row r="26" spans="1:29" x14ac:dyDescent="0.2">
      <c r="A26" s="58" t="s">
        <v>178</v>
      </c>
      <c r="B26" s="59">
        <v>77</v>
      </c>
      <c r="C26" s="22">
        <v>64</v>
      </c>
      <c r="D26" s="22">
        <f t="shared" si="1"/>
        <v>13</v>
      </c>
      <c r="E26" s="60">
        <f t="shared" si="14"/>
        <v>1</v>
      </c>
      <c r="F26" s="40">
        <v>4</v>
      </c>
      <c r="G26" s="23">
        <v>11</v>
      </c>
      <c r="H26" s="23">
        <f t="shared" si="2"/>
        <v>-7</v>
      </c>
      <c r="I26" s="51">
        <f t="shared" si="3"/>
        <v>0</v>
      </c>
      <c r="J26" s="49">
        <v>1</v>
      </c>
      <c r="K26" s="22">
        <v>5</v>
      </c>
      <c r="L26" s="22">
        <f t="shared" si="4"/>
        <v>-4</v>
      </c>
      <c r="M26" s="38">
        <f t="shared" si="5"/>
        <v>1</v>
      </c>
      <c r="N26" s="40">
        <v>69</v>
      </c>
      <c r="O26" s="23">
        <v>66</v>
      </c>
      <c r="P26" s="23">
        <f t="shared" si="6"/>
        <v>3</v>
      </c>
      <c r="Q26" s="61">
        <f t="shared" si="7"/>
        <v>1</v>
      </c>
      <c r="R26" s="59">
        <v>63</v>
      </c>
      <c r="S26" s="22">
        <v>55</v>
      </c>
      <c r="T26" s="22">
        <f t="shared" si="8"/>
        <v>8</v>
      </c>
      <c r="U26" s="38">
        <f t="shared" si="9"/>
        <v>1</v>
      </c>
      <c r="V26" s="40">
        <v>38</v>
      </c>
      <c r="W26" s="23">
        <v>30</v>
      </c>
      <c r="X26" s="23">
        <f t="shared" si="10"/>
        <v>8</v>
      </c>
      <c r="Y26" s="51">
        <f t="shared" si="11"/>
        <v>1</v>
      </c>
      <c r="Z26" s="49">
        <v>38</v>
      </c>
      <c r="AA26" s="22">
        <v>33</v>
      </c>
      <c r="AB26" s="22">
        <f t="shared" si="12"/>
        <v>5</v>
      </c>
      <c r="AC26" s="60">
        <f t="shared" si="13"/>
        <v>1</v>
      </c>
    </row>
    <row r="27" spans="1:29" x14ac:dyDescent="0.2">
      <c r="A27" s="58" t="s">
        <v>179</v>
      </c>
      <c r="B27" s="59">
        <v>53</v>
      </c>
      <c r="C27" s="22">
        <v>65</v>
      </c>
      <c r="D27" s="22">
        <f t="shared" si="1"/>
        <v>-12</v>
      </c>
      <c r="E27" s="60">
        <f t="shared" si="14"/>
        <v>0</v>
      </c>
      <c r="F27" s="40">
        <v>3</v>
      </c>
      <c r="G27" s="23">
        <v>2</v>
      </c>
      <c r="H27" s="23">
        <f t="shared" si="2"/>
        <v>1</v>
      </c>
      <c r="I27" s="51">
        <f t="shared" si="3"/>
        <v>1</v>
      </c>
      <c r="J27" s="49">
        <v>0</v>
      </c>
      <c r="K27" s="22">
        <v>1</v>
      </c>
      <c r="L27" s="22">
        <f t="shared" si="4"/>
        <v>-1</v>
      </c>
      <c r="M27" s="38">
        <f t="shared" si="5"/>
        <v>1</v>
      </c>
      <c r="N27" s="40">
        <v>71</v>
      </c>
      <c r="O27" s="23">
        <v>61</v>
      </c>
      <c r="P27" s="23">
        <f t="shared" si="6"/>
        <v>10</v>
      </c>
      <c r="Q27" s="61">
        <f t="shared" si="7"/>
        <v>1</v>
      </c>
      <c r="R27" s="59">
        <v>67</v>
      </c>
      <c r="S27" s="22">
        <v>50</v>
      </c>
      <c r="T27" s="22">
        <f t="shared" si="8"/>
        <v>17</v>
      </c>
      <c r="U27" s="38">
        <f t="shared" si="9"/>
        <v>1</v>
      </c>
      <c r="V27" s="40">
        <v>42</v>
      </c>
      <c r="W27" s="23">
        <v>50</v>
      </c>
      <c r="X27" s="23">
        <f t="shared" si="10"/>
        <v>-8</v>
      </c>
      <c r="Y27" s="51">
        <f t="shared" si="11"/>
        <v>0</v>
      </c>
      <c r="Z27" s="49">
        <v>43</v>
      </c>
      <c r="AA27" s="22">
        <v>31</v>
      </c>
      <c r="AB27" s="22">
        <f t="shared" si="12"/>
        <v>12</v>
      </c>
      <c r="AC27" s="60">
        <f t="shared" si="13"/>
        <v>1</v>
      </c>
    </row>
    <row r="28" spans="1:29" x14ac:dyDescent="0.2">
      <c r="A28" s="58" t="s">
        <v>179</v>
      </c>
      <c r="B28" s="59">
        <v>44</v>
      </c>
      <c r="C28" s="22">
        <v>60</v>
      </c>
      <c r="D28" s="22">
        <f t="shared" si="1"/>
        <v>-16</v>
      </c>
      <c r="E28" s="60">
        <f t="shared" si="14"/>
        <v>0</v>
      </c>
      <c r="F28" s="40">
        <v>4</v>
      </c>
      <c r="G28" s="23">
        <v>1</v>
      </c>
      <c r="H28" s="23">
        <f t="shared" si="2"/>
        <v>3</v>
      </c>
      <c r="I28" s="51">
        <f t="shared" si="3"/>
        <v>1</v>
      </c>
      <c r="J28" s="49">
        <v>3</v>
      </c>
      <c r="K28" s="22">
        <v>2</v>
      </c>
      <c r="L28" s="22">
        <f t="shared" si="4"/>
        <v>1</v>
      </c>
      <c r="M28" s="38">
        <f t="shared" si="5"/>
        <v>0</v>
      </c>
      <c r="N28" s="40">
        <v>78</v>
      </c>
      <c r="O28" s="23">
        <v>54</v>
      </c>
      <c r="P28" s="23">
        <f t="shared" si="6"/>
        <v>24</v>
      </c>
      <c r="Q28" s="61">
        <f t="shared" si="7"/>
        <v>1</v>
      </c>
      <c r="R28" s="59">
        <v>58</v>
      </c>
      <c r="S28" s="22">
        <v>37</v>
      </c>
      <c r="T28" s="22">
        <f t="shared" si="8"/>
        <v>21</v>
      </c>
      <c r="U28" s="38">
        <f t="shared" si="9"/>
        <v>1</v>
      </c>
      <c r="V28" s="40">
        <v>39</v>
      </c>
      <c r="W28" s="23">
        <v>20</v>
      </c>
      <c r="X28" s="23">
        <f t="shared" si="10"/>
        <v>19</v>
      </c>
      <c r="Y28" s="51">
        <f t="shared" si="11"/>
        <v>1</v>
      </c>
      <c r="Z28" s="49">
        <v>53</v>
      </c>
      <c r="AA28" s="22">
        <v>33</v>
      </c>
      <c r="AB28" s="22">
        <f t="shared" si="12"/>
        <v>20</v>
      </c>
      <c r="AC28" s="60">
        <f t="shared" si="13"/>
        <v>1</v>
      </c>
    </row>
    <row r="29" spans="1:29" x14ac:dyDescent="0.2">
      <c r="A29" s="58" t="s">
        <v>179</v>
      </c>
      <c r="B29" s="59">
        <v>57</v>
      </c>
      <c r="C29" s="22">
        <v>67</v>
      </c>
      <c r="D29" s="22">
        <f t="shared" si="1"/>
        <v>-10</v>
      </c>
      <c r="E29" s="60">
        <f t="shared" si="14"/>
        <v>0</v>
      </c>
      <c r="F29" s="40">
        <v>5</v>
      </c>
      <c r="G29" s="23">
        <v>5</v>
      </c>
      <c r="H29" s="23">
        <f t="shared" si="2"/>
        <v>0</v>
      </c>
      <c r="I29" s="51">
        <f t="shared" si="3"/>
        <v>1</v>
      </c>
      <c r="J29" s="49">
        <v>1</v>
      </c>
      <c r="K29" s="22">
        <v>3</v>
      </c>
      <c r="L29" s="22">
        <f t="shared" si="4"/>
        <v>-2</v>
      </c>
      <c r="M29" s="38">
        <f t="shared" si="5"/>
        <v>1</v>
      </c>
      <c r="N29" s="40">
        <v>89</v>
      </c>
      <c r="O29" s="23">
        <v>57</v>
      </c>
      <c r="P29" s="23">
        <f t="shared" si="6"/>
        <v>32</v>
      </c>
      <c r="Q29" s="61">
        <f t="shared" si="7"/>
        <v>1</v>
      </c>
      <c r="R29" s="59">
        <v>58</v>
      </c>
      <c r="S29" s="22">
        <v>55</v>
      </c>
      <c r="T29" s="22">
        <f t="shared" si="8"/>
        <v>3</v>
      </c>
      <c r="U29" s="38">
        <f t="shared" si="9"/>
        <v>1</v>
      </c>
      <c r="V29" s="40">
        <v>63</v>
      </c>
      <c r="W29" s="23">
        <v>17</v>
      </c>
      <c r="X29" s="23">
        <f t="shared" si="10"/>
        <v>46</v>
      </c>
      <c r="Y29" s="51">
        <f t="shared" si="11"/>
        <v>1</v>
      </c>
      <c r="Z29" s="49">
        <v>44</v>
      </c>
      <c r="AA29" s="22">
        <v>25</v>
      </c>
      <c r="AB29" s="22">
        <f t="shared" si="12"/>
        <v>19</v>
      </c>
      <c r="AC29" s="60">
        <f t="shared" si="13"/>
        <v>1</v>
      </c>
    </row>
    <row r="30" spans="1:29" s="82" customFormat="1" x14ac:dyDescent="0.2">
      <c r="A30" s="72" t="s">
        <v>179</v>
      </c>
      <c r="B30" s="73">
        <v>71</v>
      </c>
      <c r="C30" s="74">
        <v>62</v>
      </c>
      <c r="D30" s="74">
        <f t="shared" si="1"/>
        <v>9</v>
      </c>
      <c r="E30" s="75">
        <f t="shared" si="14"/>
        <v>1</v>
      </c>
      <c r="F30" s="76">
        <v>6</v>
      </c>
      <c r="G30" s="77">
        <v>17</v>
      </c>
      <c r="H30" s="77">
        <f t="shared" si="2"/>
        <v>-11</v>
      </c>
      <c r="I30" s="78">
        <f t="shared" si="3"/>
        <v>0</v>
      </c>
      <c r="J30" s="79">
        <v>2</v>
      </c>
      <c r="K30" s="74">
        <v>5</v>
      </c>
      <c r="L30" s="74">
        <f t="shared" si="4"/>
        <v>-3</v>
      </c>
      <c r="M30" s="80">
        <f t="shared" si="5"/>
        <v>1</v>
      </c>
      <c r="N30" s="76">
        <v>76</v>
      </c>
      <c r="O30" s="77">
        <v>74</v>
      </c>
      <c r="P30" s="77">
        <f t="shared" si="6"/>
        <v>2</v>
      </c>
      <c r="Q30" s="81">
        <f t="shared" si="7"/>
        <v>1</v>
      </c>
      <c r="R30" s="73">
        <v>49</v>
      </c>
      <c r="S30" s="74">
        <v>45</v>
      </c>
      <c r="T30" s="74">
        <f t="shared" si="8"/>
        <v>4</v>
      </c>
      <c r="U30" s="80">
        <f t="shared" si="9"/>
        <v>1</v>
      </c>
      <c r="V30" s="76">
        <v>38</v>
      </c>
      <c r="W30" s="77">
        <v>15</v>
      </c>
      <c r="X30" s="77">
        <f t="shared" si="10"/>
        <v>23</v>
      </c>
      <c r="Y30" s="78">
        <f t="shared" si="11"/>
        <v>1</v>
      </c>
      <c r="Z30" s="79">
        <v>37</v>
      </c>
      <c r="AA30" s="74">
        <v>32</v>
      </c>
      <c r="AB30" s="74">
        <f t="shared" si="12"/>
        <v>5</v>
      </c>
      <c r="AC30" s="75">
        <f t="shared" si="13"/>
        <v>1</v>
      </c>
    </row>
    <row r="31" spans="1:29" x14ac:dyDescent="0.2">
      <c r="A31" s="62" t="s">
        <v>204</v>
      </c>
      <c r="B31" s="63">
        <v>67</v>
      </c>
      <c r="C31" s="64">
        <v>65</v>
      </c>
      <c r="D31" s="64">
        <f t="shared" si="1"/>
        <v>2</v>
      </c>
      <c r="E31" s="65">
        <f t="shared" si="14"/>
        <v>1</v>
      </c>
      <c r="F31" s="66">
        <v>9</v>
      </c>
      <c r="G31" s="67">
        <v>6</v>
      </c>
      <c r="H31" s="67">
        <f t="shared" si="2"/>
        <v>3</v>
      </c>
      <c r="I31" s="68">
        <f t="shared" si="3"/>
        <v>1</v>
      </c>
      <c r="J31" s="69">
        <v>3</v>
      </c>
      <c r="K31" s="64">
        <v>0</v>
      </c>
      <c r="L31" s="64">
        <f t="shared" si="4"/>
        <v>3</v>
      </c>
      <c r="M31" s="70">
        <f t="shared" si="5"/>
        <v>0</v>
      </c>
      <c r="N31" s="66">
        <v>76</v>
      </c>
      <c r="O31" s="67">
        <v>63</v>
      </c>
      <c r="P31" s="67">
        <f t="shared" si="6"/>
        <v>13</v>
      </c>
      <c r="Q31" s="71">
        <f t="shared" si="7"/>
        <v>1</v>
      </c>
      <c r="R31" s="63">
        <v>50</v>
      </c>
      <c r="S31" s="64">
        <v>53</v>
      </c>
      <c r="T31" s="64">
        <f t="shared" si="8"/>
        <v>-3</v>
      </c>
      <c r="U31" s="70">
        <f t="shared" si="9"/>
        <v>0</v>
      </c>
      <c r="V31" s="66">
        <v>27</v>
      </c>
      <c r="W31" s="67">
        <v>20</v>
      </c>
      <c r="X31" s="67">
        <f t="shared" si="10"/>
        <v>7</v>
      </c>
      <c r="Y31" s="68">
        <f t="shared" si="11"/>
        <v>1</v>
      </c>
      <c r="Z31" s="69">
        <v>41</v>
      </c>
      <c r="AA31" s="64">
        <v>33</v>
      </c>
      <c r="AB31" s="64">
        <f t="shared" si="12"/>
        <v>8</v>
      </c>
      <c r="AC31" s="65">
        <f t="shared" si="13"/>
        <v>1</v>
      </c>
    </row>
    <row r="32" spans="1:29" x14ac:dyDescent="0.2">
      <c r="A32" s="58" t="s">
        <v>178</v>
      </c>
      <c r="B32" s="59">
        <v>70</v>
      </c>
      <c r="C32" s="22">
        <v>66</v>
      </c>
      <c r="D32" s="22">
        <f t="shared" si="1"/>
        <v>4</v>
      </c>
      <c r="E32" s="60">
        <f t="shared" si="14"/>
        <v>1</v>
      </c>
      <c r="F32" s="40">
        <v>8</v>
      </c>
      <c r="G32" s="23">
        <v>12</v>
      </c>
      <c r="H32" s="23">
        <f t="shared" si="2"/>
        <v>-4</v>
      </c>
      <c r="I32" s="51">
        <f t="shared" si="3"/>
        <v>0</v>
      </c>
      <c r="J32" s="49">
        <v>2</v>
      </c>
      <c r="K32" s="22">
        <v>1</v>
      </c>
      <c r="L32" s="22">
        <f t="shared" si="4"/>
        <v>1</v>
      </c>
      <c r="M32" s="38">
        <f t="shared" si="5"/>
        <v>0</v>
      </c>
      <c r="N32" s="40">
        <v>68</v>
      </c>
      <c r="O32" s="23">
        <v>64</v>
      </c>
      <c r="P32" s="23">
        <f t="shared" si="6"/>
        <v>4</v>
      </c>
      <c r="Q32" s="61">
        <f t="shared" si="7"/>
        <v>1</v>
      </c>
      <c r="R32" s="59">
        <v>67</v>
      </c>
      <c r="S32" s="22">
        <v>55</v>
      </c>
      <c r="T32" s="22">
        <f t="shared" si="8"/>
        <v>12</v>
      </c>
      <c r="U32" s="38">
        <f t="shared" si="9"/>
        <v>1</v>
      </c>
      <c r="V32" s="40">
        <v>32</v>
      </c>
      <c r="W32" s="23">
        <v>75</v>
      </c>
      <c r="X32" s="23">
        <f t="shared" si="10"/>
        <v>-43</v>
      </c>
      <c r="Y32" s="51">
        <f t="shared" si="11"/>
        <v>0</v>
      </c>
      <c r="Z32" s="49">
        <v>39</v>
      </c>
      <c r="AA32" s="22">
        <v>32</v>
      </c>
      <c r="AB32" s="22">
        <f t="shared" si="12"/>
        <v>7</v>
      </c>
      <c r="AC32" s="60">
        <f t="shared" si="13"/>
        <v>1</v>
      </c>
    </row>
    <row r="33" spans="1:29" x14ac:dyDescent="0.2">
      <c r="A33" s="58" t="s">
        <v>178</v>
      </c>
      <c r="B33" s="59">
        <v>52</v>
      </c>
      <c r="C33" s="22">
        <v>69</v>
      </c>
      <c r="D33" s="22">
        <f t="shared" si="1"/>
        <v>-17</v>
      </c>
      <c r="E33" s="60">
        <f t="shared" si="14"/>
        <v>0</v>
      </c>
      <c r="F33" s="40">
        <v>15</v>
      </c>
      <c r="G33" s="23">
        <v>8</v>
      </c>
      <c r="H33" s="23">
        <f t="shared" si="2"/>
        <v>7</v>
      </c>
      <c r="I33" s="51">
        <f t="shared" si="3"/>
        <v>1</v>
      </c>
      <c r="J33" s="49">
        <v>6</v>
      </c>
      <c r="K33" s="22">
        <v>2</v>
      </c>
      <c r="L33" s="22">
        <f t="shared" si="4"/>
        <v>4</v>
      </c>
      <c r="M33" s="38">
        <f t="shared" si="5"/>
        <v>0</v>
      </c>
      <c r="N33" s="40">
        <v>76</v>
      </c>
      <c r="O33" s="23">
        <v>72</v>
      </c>
      <c r="P33" s="23">
        <f t="shared" si="6"/>
        <v>4</v>
      </c>
      <c r="Q33" s="61">
        <f t="shared" si="7"/>
        <v>1</v>
      </c>
      <c r="R33" s="59">
        <v>59</v>
      </c>
      <c r="S33" s="22">
        <v>56</v>
      </c>
      <c r="T33" s="22">
        <f t="shared" si="8"/>
        <v>3</v>
      </c>
      <c r="U33" s="38">
        <f t="shared" si="9"/>
        <v>1</v>
      </c>
      <c r="V33" s="40">
        <v>20</v>
      </c>
      <c r="W33" s="23">
        <v>6</v>
      </c>
      <c r="X33" s="23">
        <f t="shared" si="10"/>
        <v>14</v>
      </c>
      <c r="Y33" s="51">
        <f t="shared" si="11"/>
        <v>1</v>
      </c>
      <c r="Z33" s="49">
        <v>33</v>
      </c>
      <c r="AA33" s="22">
        <v>32</v>
      </c>
      <c r="AB33" s="22">
        <f t="shared" si="12"/>
        <v>1</v>
      </c>
      <c r="AC33" s="60">
        <f t="shared" si="13"/>
        <v>1</v>
      </c>
    </row>
    <row r="34" spans="1:29" x14ac:dyDescent="0.2">
      <c r="A34" s="58" t="s">
        <v>179</v>
      </c>
      <c r="B34" s="59">
        <v>63</v>
      </c>
      <c r="C34" s="22">
        <v>60</v>
      </c>
      <c r="D34" s="22">
        <f t="shared" si="1"/>
        <v>3</v>
      </c>
      <c r="E34" s="60">
        <f t="shared" si="14"/>
        <v>1</v>
      </c>
      <c r="F34" s="40">
        <v>3</v>
      </c>
      <c r="G34" s="23">
        <v>3</v>
      </c>
      <c r="H34" s="23">
        <f t="shared" si="2"/>
        <v>0</v>
      </c>
      <c r="I34" s="51">
        <f t="shared" si="3"/>
        <v>1</v>
      </c>
      <c r="J34" s="49">
        <v>0</v>
      </c>
      <c r="K34" s="22">
        <v>2</v>
      </c>
      <c r="L34" s="22">
        <f t="shared" si="4"/>
        <v>-2</v>
      </c>
      <c r="M34" s="38">
        <f t="shared" si="5"/>
        <v>1</v>
      </c>
      <c r="N34" s="40">
        <v>76</v>
      </c>
      <c r="O34" s="23">
        <v>59</v>
      </c>
      <c r="P34" s="23">
        <f t="shared" si="6"/>
        <v>17</v>
      </c>
      <c r="Q34" s="61">
        <f t="shared" si="7"/>
        <v>1</v>
      </c>
      <c r="R34" s="59">
        <v>60</v>
      </c>
      <c r="S34" s="22">
        <v>38</v>
      </c>
      <c r="T34" s="22">
        <f t="shared" si="8"/>
        <v>22</v>
      </c>
      <c r="U34" s="38">
        <f t="shared" si="9"/>
        <v>1</v>
      </c>
      <c r="V34" s="40">
        <v>39</v>
      </c>
      <c r="W34" s="23">
        <v>40</v>
      </c>
      <c r="X34" s="23">
        <f t="shared" si="10"/>
        <v>-1</v>
      </c>
      <c r="Y34" s="51">
        <f t="shared" si="11"/>
        <v>0</v>
      </c>
      <c r="Z34" s="49">
        <v>49</v>
      </c>
      <c r="AA34" s="22">
        <v>30</v>
      </c>
      <c r="AB34" s="22">
        <f t="shared" si="12"/>
        <v>19</v>
      </c>
      <c r="AC34" s="60">
        <f t="shared" si="13"/>
        <v>1</v>
      </c>
    </row>
    <row r="35" spans="1:29" x14ac:dyDescent="0.2">
      <c r="A35" s="58" t="s">
        <v>179</v>
      </c>
      <c r="B35" s="59">
        <v>58</v>
      </c>
      <c r="C35" s="22">
        <v>56</v>
      </c>
      <c r="D35" s="22">
        <f t="shared" si="1"/>
        <v>2</v>
      </c>
      <c r="E35" s="60">
        <f t="shared" si="14"/>
        <v>1</v>
      </c>
      <c r="F35" s="40">
        <v>9</v>
      </c>
      <c r="G35" s="23">
        <v>2</v>
      </c>
      <c r="H35" s="23">
        <f t="shared" si="2"/>
        <v>7</v>
      </c>
      <c r="I35" s="51">
        <f t="shared" si="3"/>
        <v>1</v>
      </c>
      <c r="J35" s="49">
        <v>2</v>
      </c>
      <c r="K35" s="22">
        <v>11</v>
      </c>
      <c r="L35" s="22">
        <f t="shared" si="4"/>
        <v>-9</v>
      </c>
      <c r="M35" s="38">
        <f t="shared" si="5"/>
        <v>1</v>
      </c>
      <c r="N35" s="40">
        <v>78</v>
      </c>
      <c r="O35" s="23">
        <v>68</v>
      </c>
      <c r="P35" s="23">
        <f t="shared" si="6"/>
        <v>10</v>
      </c>
      <c r="Q35" s="61">
        <f t="shared" si="7"/>
        <v>1</v>
      </c>
      <c r="R35" s="59">
        <v>42</v>
      </c>
      <c r="S35" s="22">
        <v>35</v>
      </c>
      <c r="T35" s="22">
        <f t="shared" si="8"/>
        <v>7</v>
      </c>
      <c r="U35" s="38">
        <f t="shared" si="9"/>
        <v>1</v>
      </c>
      <c r="V35" s="40">
        <v>50</v>
      </c>
      <c r="W35" s="23">
        <v>45</v>
      </c>
      <c r="X35" s="23">
        <f t="shared" si="10"/>
        <v>5</v>
      </c>
      <c r="Y35" s="51">
        <f t="shared" si="11"/>
        <v>1</v>
      </c>
      <c r="Z35" s="49">
        <v>47</v>
      </c>
      <c r="AA35" s="22">
        <v>37</v>
      </c>
      <c r="AB35" s="22">
        <f t="shared" si="12"/>
        <v>10</v>
      </c>
      <c r="AC35" s="60">
        <f t="shared" si="13"/>
        <v>1</v>
      </c>
    </row>
    <row r="36" spans="1:29" x14ac:dyDescent="0.2">
      <c r="A36" s="58" t="s">
        <v>179</v>
      </c>
      <c r="B36" s="59">
        <v>61</v>
      </c>
      <c r="C36" s="22">
        <v>66</v>
      </c>
      <c r="D36" s="22">
        <f t="shared" si="1"/>
        <v>-5</v>
      </c>
      <c r="E36" s="60">
        <f t="shared" si="14"/>
        <v>0</v>
      </c>
      <c r="F36" s="40">
        <v>10</v>
      </c>
      <c r="G36" s="23">
        <v>5</v>
      </c>
      <c r="H36" s="23">
        <f t="shared" si="2"/>
        <v>5</v>
      </c>
      <c r="I36" s="51">
        <f t="shared" si="3"/>
        <v>1</v>
      </c>
      <c r="J36" s="49">
        <v>1</v>
      </c>
      <c r="K36" s="22">
        <v>6</v>
      </c>
      <c r="L36" s="22">
        <f t="shared" si="4"/>
        <v>-5</v>
      </c>
      <c r="M36" s="38">
        <f t="shared" si="5"/>
        <v>1</v>
      </c>
      <c r="N36" s="40">
        <v>83</v>
      </c>
      <c r="O36" s="23">
        <v>67</v>
      </c>
      <c r="P36" s="23">
        <f t="shared" si="6"/>
        <v>16</v>
      </c>
      <c r="Q36" s="61">
        <f t="shared" si="7"/>
        <v>1</v>
      </c>
      <c r="R36" s="59">
        <v>50</v>
      </c>
      <c r="S36" s="22">
        <v>43</v>
      </c>
      <c r="T36" s="22">
        <f t="shared" si="8"/>
        <v>7</v>
      </c>
      <c r="U36" s="38">
        <f t="shared" si="9"/>
        <v>1</v>
      </c>
      <c r="V36" s="40">
        <v>32</v>
      </c>
      <c r="W36" s="23">
        <v>57</v>
      </c>
      <c r="X36" s="23">
        <f t="shared" si="10"/>
        <v>-25</v>
      </c>
      <c r="Y36" s="51">
        <f t="shared" si="11"/>
        <v>0</v>
      </c>
      <c r="Z36" s="49">
        <v>41</v>
      </c>
      <c r="AA36" s="22">
        <v>30</v>
      </c>
      <c r="AB36" s="22">
        <f t="shared" si="12"/>
        <v>11</v>
      </c>
      <c r="AC36" s="60">
        <f t="shared" si="13"/>
        <v>1</v>
      </c>
    </row>
    <row r="37" spans="1:29" x14ac:dyDescent="0.2">
      <c r="A37" s="58" t="s">
        <v>179</v>
      </c>
      <c r="B37" s="59">
        <v>54</v>
      </c>
      <c r="C37" s="22">
        <v>63</v>
      </c>
      <c r="D37" s="22">
        <f t="shared" si="1"/>
        <v>-9</v>
      </c>
      <c r="E37" s="60">
        <f t="shared" si="14"/>
        <v>0</v>
      </c>
      <c r="F37" s="40">
        <v>4</v>
      </c>
      <c r="G37" s="23">
        <v>7</v>
      </c>
      <c r="H37" s="23">
        <f t="shared" si="2"/>
        <v>-3</v>
      </c>
      <c r="I37" s="51">
        <f t="shared" si="3"/>
        <v>0</v>
      </c>
      <c r="J37" s="49">
        <v>0</v>
      </c>
      <c r="K37" s="22">
        <v>0</v>
      </c>
      <c r="L37" s="22">
        <f t="shared" si="4"/>
        <v>0</v>
      </c>
      <c r="M37" s="38">
        <f t="shared" si="5"/>
        <v>1</v>
      </c>
      <c r="N37" s="40">
        <v>88</v>
      </c>
      <c r="O37" s="23">
        <v>68</v>
      </c>
      <c r="P37" s="23">
        <f t="shared" si="6"/>
        <v>20</v>
      </c>
      <c r="Q37" s="61">
        <f t="shared" si="7"/>
        <v>1</v>
      </c>
      <c r="R37" s="59">
        <v>62</v>
      </c>
      <c r="S37" s="22">
        <v>56</v>
      </c>
      <c r="T37" s="22">
        <f t="shared" si="8"/>
        <v>6</v>
      </c>
      <c r="U37" s="38">
        <f t="shared" si="9"/>
        <v>1</v>
      </c>
      <c r="V37" s="40">
        <v>38</v>
      </c>
      <c r="W37" s="23">
        <v>0</v>
      </c>
      <c r="X37" s="23">
        <f t="shared" si="10"/>
        <v>38</v>
      </c>
      <c r="Y37" s="51">
        <f t="shared" si="11"/>
        <v>1</v>
      </c>
      <c r="Z37" s="49">
        <v>37</v>
      </c>
      <c r="AA37" s="22">
        <v>24</v>
      </c>
      <c r="AB37" s="22">
        <f t="shared" si="12"/>
        <v>13</v>
      </c>
      <c r="AC37" s="60">
        <f t="shared" si="13"/>
        <v>1</v>
      </c>
    </row>
    <row r="38" spans="1:29" x14ac:dyDescent="0.2">
      <c r="A38" s="56">
        <v>2014</v>
      </c>
      <c r="B38" s="59">
        <v>70</v>
      </c>
      <c r="C38" s="22">
        <v>65</v>
      </c>
      <c r="D38" s="22">
        <f t="shared" si="1"/>
        <v>5</v>
      </c>
      <c r="E38" s="60">
        <f t="shared" si="14"/>
        <v>1</v>
      </c>
      <c r="F38" s="40">
        <v>3</v>
      </c>
      <c r="G38" s="23">
        <v>11</v>
      </c>
      <c r="H38" s="23">
        <f t="shared" si="2"/>
        <v>-8</v>
      </c>
      <c r="I38" s="51">
        <f t="shared" si="3"/>
        <v>0</v>
      </c>
      <c r="J38" s="49">
        <v>4</v>
      </c>
      <c r="K38" s="22">
        <v>3</v>
      </c>
      <c r="L38" s="22">
        <f t="shared" si="4"/>
        <v>1</v>
      </c>
      <c r="M38" s="38">
        <f t="shared" si="5"/>
        <v>0</v>
      </c>
      <c r="N38" s="40">
        <v>73</v>
      </c>
      <c r="O38" s="23">
        <v>72</v>
      </c>
      <c r="P38" s="23">
        <f t="shared" si="6"/>
        <v>1</v>
      </c>
      <c r="Q38" s="61">
        <f t="shared" si="7"/>
        <v>1</v>
      </c>
      <c r="R38" s="59">
        <v>50</v>
      </c>
      <c r="S38" s="22">
        <v>36</v>
      </c>
      <c r="T38" s="22">
        <f t="shared" si="8"/>
        <v>14</v>
      </c>
      <c r="U38" s="38">
        <f t="shared" si="9"/>
        <v>1</v>
      </c>
      <c r="V38" s="40">
        <v>60</v>
      </c>
      <c r="W38" s="23">
        <v>33</v>
      </c>
      <c r="X38" s="23">
        <f t="shared" si="10"/>
        <v>27</v>
      </c>
      <c r="Y38" s="51">
        <f t="shared" si="11"/>
        <v>1</v>
      </c>
      <c r="Z38" s="49">
        <v>40</v>
      </c>
      <c r="AA38" s="22">
        <v>34</v>
      </c>
      <c r="AB38" s="22">
        <f t="shared" si="12"/>
        <v>6</v>
      </c>
      <c r="AC38" s="60">
        <f t="shared" si="13"/>
        <v>1</v>
      </c>
    </row>
    <row r="39" spans="1:29" x14ac:dyDescent="0.2">
      <c r="A39" s="58" t="s">
        <v>178</v>
      </c>
      <c r="B39" s="59">
        <v>76</v>
      </c>
      <c r="C39" s="22">
        <v>52</v>
      </c>
      <c r="D39" s="22">
        <f t="shared" si="1"/>
        <v>24</v>
      </c>
      <c r="E39" s="60">
        <f t="shared" si="14"/>
        <v>1</v>
      </c>
      <c r="F39" s="40">
        <v>2</v>
      </c>
      <c r="G39" s="23">
        <v>2</v>
      </c>
      <c r="H39" s="23">
        <f t="shared" si="2"/>
        <v>0</v>
      </c>
      <c r="I39" s="51">
        <f t="shared" si="3"/>
        <v>1</v>
      </c>
      <c r="J39" s="49">
        <v>2</v>
      </c>
      <c r="K39" s="22">
        <v>3</v>
      </c>
      <c r="L39" s="22">
        <f t="shared" si="4"/>
        <v>-1</v>
      </c>
      <c r="M39" s="38">
        <f t="shared" si="5"/>
        <v>1</v>
      </c>
      <c r="N39" s="40">
        <v>91</v>
      </c>
      <c r="O39" s="23">
        <v>63</v>
      </c>
      <c r="P39" s="23">
        <f t="shared" si="6"/>
        <v>28</v>
      </c>
      <c r="Q39" s="61">
        <f t="shared" si="7"/>
        <v>1</v>
      </c>
      <c r="R39" s="59">
        <v>57</v>
      </c>
      <c r="S39" s="22">
        <v>34</v>
      </c>
      <c r="T39" s="22">
        <f t="shared" si="8"/>
        <v>23</v>
      </c>
      <c r="U39" s="38">
        <f t="shared" si="9"/>
        <v>1</v>
      </c>
      <c r="V39" s="40">
        <v>100</v>
      </c>
      <c r="W39" s="23">
        <v>0</v>
      </c>
      <c r="X39" s="23">
        <f t="shared" si="10"/>
        <v>100</v>
      </c>
      <c r="Y39" s="51">
        <f t="shared" si="11"/>
        <v>1</v>
      </c>
      <c r="Z39" s="49">
        <v>51</v>
      </c>
      <c r="AA39" s="22">
        <v>17</v>
      </c>
      <c r="AB39" s="22">
        <f t="shared" si="12"/>
        <v>34</v>
      </c>
      <c r="AC39" s="60">
        <f t="shared" si="13"/>
        <v>1</v>
      </c>
    </row>
    <row r="40" spans="1:29" x14ac:dyDescent="0.2">
      <c r="A40" s="58" t="s">
        <v>178</v>
      </c>
      <c r="B40" s="59">
        <v>67</v>
      </c>
      <c r="C40" s="22">
        <v>57</v>
      </c>
      <c r="D40" s="22">
        <f t="shared" si="1"/>
        <v>10</v>
      </c>
      <c r="E40" s="60">
        <f t="shared" si="14"/>
        <v>1</v>
      </c>
      <c r="F40" s="40">
        <v>9</v>
      </c>
      <c r="G40" s="23">
        <v>13</v>
      </c>
      <c r="H40" s="23">
        <f t="shared" si="2"/>
        <v>-4</v>
      </c>
      <c r="I40" s="51">
        <f t="shared" si="3"/>
        <v>0</v>
      </c>
      <c r="J40" s="49">
        <v>1</v>
      </c>
      <c r="K40" s="22">
        <v>5</v>
      </c>
      <c r="L40" s="22">
        <f t="shared" si="4"/>
        <v>-4</v>
      </c>
      <c r="M40" s="38">
        <f t="shared" si="5"/>
        <v>1</v>
      </c>
      <c r="N40" s="40">
        <v>80</v>
      </c>
      <c r="O40" s="23">
        <v>70</v>
      </c>
      <c r="P40" s="23">
        <f t="shared" si="6"/>
        <v>10</v>
      </c>
      <c r="Q40" s="61">
        <f t="shared" si="7"/>
        <v>1</v>
      </c>
      <c r="R40" s="59">
        <v>43</v>
      </c>
      <c r="S40" s="22">
        <v>53</v>
      </c>
      <c r="T40" s="22">
        <f t="shared" si="8"/>
        <v>-10</v>
      </c>
      <c r="U40" s="38">
        <f t="shared" si="9"/>
        <v>0</v>
      </c>
      <c r="V40" s="40">
        <v>50</v>
      </c>
      <c r="W40" s="23">
        <v>29</v>
      </c>
      <c r="X40" s="23">
        <f t="shared" si="10"/>
        <v>21</v>
      </c>
      <c r="Y40" s="51">
        <f t="shared" si="11"/>
        <v>1</v>
      </c>
      <c r="Z40" s="49">
        <v>37</v>
      </c>
      <c r="AA40" s="22">
        <v>32</v>
      </c>
      <c r="AB40" s="22">
        <f t="shared" si="12"/>
        <v>5</v>
      </c>
      <c r="AC40" s="60">
        <f t="shared" si="13"/>
        <v>1</v>
      </c>
    </row>
    <row r="41" spans="1:29" x14ac:dyDescent="0.2">
      <c r="A41" s="58" t="s">
        <v>179</v>
      </c>
      <c r="B41" s="59">
        <v>62</v>
      </c>
      <c r="C41" s="22">
        <v>63</v>
      </c>
      <c r="D41" s="22">
        <f t="shared" si="1"/>
        <v>-1</v>
      </c>
      <c r="E41" s="60">
        <f t="shared" si="14"/>
        <v>0</v>
      </c>
      <c r="F41" s="40">
        <v>1</v>
      </c>
      <c r="G41" s="23">
        <v>2</v>
      </c>
      <c r="H41" s="23">
        <f t="shared" si="2"/>
        <v>-1</v>
      </c>
      <c r="I41" s="51">
        <f t="shared" si="3"/>
        <v>0</v>
      </c>
      <c r="J41" s="49">
        <v>1</v>
      </c>
      <c r="K41" s="22">
        <v>1</v>
      </c>
      <c r="L41" s="22">
        <f t="shared" si="4"/>
        <v>0</v>
      </c>
      <c r="M41" s="38">
        <f t="shared" si="5"/>
        <v>1</v>
      </c>
      <c r="N41" s="40">
        <v>68</v>
      </c>
      <c r="O41" s="23">
        <v>53</v>
      </c>
      <c r="P41" s="23">
        <f t="shared" si="6"/>
        <v>15</v>
      </c>
      <c r="Q41" s="61">
        <f t="shared" si="7"/>
        <v>1</v>
      </c>
      <c r="R41" s="59">
        <v>56</v>
      </c>
      <c r="S41" s="22">
        <v>43</v>
      </c>
      <c r="T41" s="22">
        <f t="shared" si="8"/>
        <v>13</v>
      </c>
      <c r="U41" s="38">
        <f t="shared" si="9"/>
        <v>1</v>
      </c>
      <c r="V41" s="40">
        <v>64</v>
      </c>
      <c r="W41" s="23">
        <v>21</v>
      </c>
      <c r="X41" s="23">
        <f t="shared" si="10"/>
        <v>43</v>
      </c>
      <c r="Y41" s="51">
        <f t="shared" si="11"/>
        <v>1</v>
      </c>
      <c r="Z41" s="49">
        <v>51</v>
      </c>
      <c r="AA41" s="22">
        <v>36</v>
      </c>
      <c r="AB41" s="22">
        <f t="shared" si="12"/>
        <v>15</v>
      </c>
      <c r="AC41" s="60">
        <f t="shared" si="13"/>
        <v>1</v>
      </c>
    </row>
    <row r="42" spans="1:29" x14ac:dyDescent="0.2">
      <c r="A42" s="58" t="s">
        <v>179</v>
      </c>
      <c r="B42" s="59">
        <v>62</v>
      </c>
      <c r="C42" s="22">
        <v>76</v>
      </c>
      <c r="D42" s="22">
        <f t="shared" si="1"/>
        <v>-14</v>
      </c>
      <c r="E42" s="60">
        <f t="shared" si="14"/>
        <v>0</v>
      </c>
      <c r="F42" s="40">
        <v>1</v>
      </c>
      <c r="G42" s="23">
        <v>4</v>
      </c>
      <c r="H42" s="23">
        <f t="shared" si="2"/>
        <v>-3</v>
      </c>
      <c r="I42" s="51">
        <f t="shared" si="3"/>
        <v>0</v>
      </c>
      <c r="J42" s="49">
        <v>2</v>
      </c>
      <c r="K42" s="22">
        <v>5</v>
      </c>
      <c r="L42" s="22">
        <f t="shared" si="4"/>
        <v>-3</v>
      </c>
      <c r="M42" s="38">
        <f t="shared" si="5"/>
        <v>1</v>
      </c>
      <c r="N42" s="40">
        <v>65</v>
      </c>
      <c r="O42" s="23">
        <v>60</v>
      </c>
      <c r="P42" s="23">
        <f t="shared" si="6"/>
        <v>5</v>
      </c>
      <c r="Q42" s="61">
        <f t="shared" si="7"/>
        <v>1</v>
      </c>
      <c r="R42" s="59">
        <v>61</v>
      </c>
      <c r="S42" s="22">
        <v>41</v>
      </c>
      <c r="T42" s="22">
        <f t="shared" si="8"/>
        <v>20</v>
      </c>
      <c r="U42" s="38">
        <f t="shared" si="9"/>
        <v>1</v>
      </c>
      <c r="V42" s="40">
        <v>39</v>
      </c>
      <c r="W42" s="23">
        <v>31</v>
      </c>
      <c r="X42" s="23">
        <f t="shared" si="10"/>
        <v>8</v>
      </c>
      <c r="Y42" s="51">
        <f t="shared" si="11"/>
        <v>1</v>
      </c>
      <c r="Z42" s="49">
        <v>45</v>
      </c>
      <c r="AA42" s="22">
        <v>36</v>
      </c>
      <c r="AB42" s="22">
        <f t="shared" si="12"/>
        <v>9</v>
      </c>
      <c r="AC42" s="60">
        <f t="shared" si="13"/>
        <v>1</v>
      </c>
    </row>
    <row r="43" spans="1:29" x14ac:dyDescent="0.2">
      <c r="A43" s="58" t="s">
        <v>179</v>
      </c>
      <c r="B43" s="59">
        <v>59</v>
      </c>
      <c r="C43" s="22">
        <v>50</v>
      </c>
      <c r="D43" s="22">
        <f t="shared" si="1"/>
        <v>9</v>
      </c>
      <c r="E43" s="60">
        <f t="shared" si="14"/>
        <v>1</v>
      </c>
      <c r="F43" s="40">
        <v>10</v>
      </c>
      <c r="G43" s="23">
        <v>3</v>
      </c>
      <c r="H43" s="23">
        <f t="shared" si="2"/>
        <v>7</v>
      </c>
      <c r="I43" s="51">
        <f t="shared" si="3"/>
        <v>1</v>
      </c>
      <c r="J43" s="49">
        <v>1</v>
      </c>
      <c r="K43" s="22">
        <v>2</v>
      </c>
      <c r="L43" s="22">
        <f t="shared" si="4"/>
        <v>-1</v>
      </c>
      <c r="M43" s="38">
        <f t="shared" si="5"/>
        <v>1</v>
      </c>
      <c r="N43" s="40">
        <v>81</v>
      </c>
      <c r="O43" s="23">
        <v>69</v>
      </c>
      <c r="P43" s="23">
        <f t="shared" si="6"/>
        <v>12</v>
      </c>
      <c r="Q43" s="61">
        <f t="shared" si="7"/>
        <v>1</v>
      </c>
      <c r="R43" s="59">
        <v>59</v>
      </c>
      <c r="S43" s="22">
        <v>44</v>
      </c>
      <c r="T43" s="22">
        <f t="shared" si="8"/>
        <v>15</v>
      </c>
      <c r="U43" s="38">
        <f t="shared" si="9"/>
        <v>1</v>
      </c>
      <c r="V43" s="40">
        <v>63</v>
      </c>
      <c r="W43" s="23">
        <v>33</v>
      </c>
      <c r="X43" s="23">
        <f t="shared" si="10"/>
        <v>30</v>
      </c>
      <c r="Y43" s="51">
        <f t="shared" si="11"/>
        <v>1</v>
      </c>
      <c r="Z43" s="49">
        <v>44</v>
      </c>
      <c r="AA43" s="22">
        <v>28</v>
      </c>
      <c r="AB43" s="22">
        <f t="shared" si="12"/>
        <v>16</v>
      </c>
      <c r="AC43" s="60">
        <f t="shared" si="13"/>
        <v>1</v>
      </c>
    </row>
    <row r="44" spans="1:29" x14ac:dyDescent="0.2">
      <c r="A44" s="58" t="s">
        <v>179</v>
      </c>
      <c r="B44" s="59">
        <v>68</v>
      </c>
      <c r="C44" s="22">
        <v>70</v>
      </c>
      <c r="D44" s="22">
        <f t="shared" si="1"/>
        <v>-2</v>
      </c>
      <c r="E44" s="60">
        <f t="shared" si="14"/>
        <v>0</v>
      </c>
      <c r="F44" s="40">
        <v>4</v>
      </c>
      <c r="G44" s="23">
        <v>21</v>
      </c>
      <c r="H44" s="23">
        <f t="shared" si="2"/>
        <v>-17</v>
      </c>
      <c r="I44" s="51">
        <f t="shared" si="3"/>
        <v>0</v>
      </c>
      <c r="J44" s="49">
        <v>1</v>
      </c>
      <c r="K44" s="22">
        <v>4</v>
      </c>
      <c r="L44" s="22">
        <f t="shared" si="4"/>
        <v>-3</v>
      </c>
      <c r="M44" s="38">
        <f t="shared" si="5"/>
        <v>1</v>
      </c>
      <c r="N44" s="40">
        <v>75</v>
      </c>
      <c r="O44" s="23">
        <v>79</v>
      </c>
      <c r="P44" s="23">
        <f t="shared" si="6"/>
        <v>-4</v>
      </c>
      <c r="Q44" s="61">
        <f t="shared" si="7"/>
        <v>0</v>
      </c>
      <c r="R44" s="59">
        <v>74</v>
      </c>
      <c r="S44" s="22">
        <v>29</v>
      </c>
      <c r="T44" s="22">
        <f t="shared" si="8"/>
        <v>45</v>
      </c>
      <c r="U44" s="38">
        <f t="shared" si="9"/>
        <v>1</v>
      </c>
      <c r="V44" s="40">
        <v>33</v>
      </c>
      <c r="W44" s="23">
        <v>50</v>
      </c>
      <c r="X44" s="23">
        <f t="shared" si="10"/>
        <v>-17</v>
      </c>
      <c r="Y44" s="51">
        <f t="shared" si="11"/>
        <v>0</v>
      </c>
      <c r="Z44" s="49">
        <v>36</v>
      </c>
      <c r="AA44" s="22">
        <v>26</v>
      </c>
      <c r="AB44" s="22">
        <f t="shared" si="12"/>
        <v>10</v>
      </c>
      <c r="AC44" s="60">
        <f t="shared" si="13"/>
        <v>1</v>
      </c>
    </row>
    <row r="45" spans="1:29" x14ac:dyDescent="0.2">
      <c r="A45" s="56">
        <v>2013</v>
      </c>
      <c r="B45" s="59">
        <v>70</v>
      </c>
      <c r="C45" s="22">
        <v>62</v>
      </c>
      <c r="D45" s="22">
        <f t="shared" si="1"/>
        <v>8</v>
      </c>
      <c r="E45" s="60">
        <f t="shared" si="14"/>
        <v>1</v>
      </c>
      <c r="F45" s="40">
        <v>5</v>
      </c>
      <c r="G45" s="23">
        <v>1</v>
      </c>
      <c r="H45" s="23">
        <f t="shared" si="2"/>
        <v>4</v>
      </c>
      <c r="I45" s="51">
        <f t="shared" si="3"/>
        <v>1</v>
      </c>
      <c r="J45" s="49">
        <v>2</v>
      </c>
      <c r="K45" s="22">
        <v>5</v>
      </c>
      <c r="L45" s="22">
        <f t="shared" si="4"/>
        <v>-3</v>
      </c>
      <c r="M45" s="38">
        <f t="shared" si="5"/>
        <v>1</v>
      </c>
      <c r="N45" s="40">
        <v>70</v>
      </c>
      <c r="O45" s="23">
        <v>58</v>
      </c>
      <c r="P45" s="23">
        <f t="shared" si="6"/>
        <v>12</v>
      </c>
      <c r="Q45" s="61">
        <f t="shared" si="7"/>
        <v>1</v>
      </c>
      <c r="R45" s="59">
        <v>42</v>
      </c>
      <c r="S45" s="22">
        <v>25</v>
      </c>
      <c r="T45" s="22">
        <f t="shared" si="8"/>
        <v>17</v>
      </c>
      <c r="U45" s="38">
        <f t="shared" si="9"/>
        <v>1</v>
      </c>
      <c r="V45" s="40">
        <v>50</v>
      </c>
      <c r="W45" s="23">
        <v>25</v>
      </c>
      <c r="X45" s="23">
        <f t="shared" si="10"/>
        <v>25</v>
      </c>
      <c r="Y45" s="51">
        <f t="shared" si="11"/>
        <v>1</v>
      </c>
      <c r="Z45" s="49">
        <v>54</v>
      </c>
      <c r="AA45" s="22">
        <v>38</v>
      </c>
      <c r="AB45" s="22">
        <f t="shared" si="12"/>
        <v>16</v>
      </c>
      <c r="AC45" s="60">
        <f t="shared" si="13"/>
        <v>1</v>
      </c>
    </row>
    <row r="46" spans="1:29" x14ac:dyDescent="0.2">
      <c r="A46" s="58" t="s">
        <v>178</v>
      </c>
      <c r="B46" s="59">
        <v>64</v>
      </c>
      <c r="C46" s="22">
        <v>67</v>
      </c>
      <c r="D46" s="22">
        <f t="shared" si="1"/>
        <v>-3</v>
      </c>
      <c r="E46" s="60">
        <f t="shared" si="14"/>
        <v>0</v>
      </c>
      <c r="F46" s="40">
        <v>6</v>
      </c>
      <c r="G46" s="23">
        <v>5</v>
      </c>
      <c r="H46" s="23">
        <f t="shared" si="2"/>
        <v>1</v>
      </c>
      <c r="I46" s="51">
        <f t="shared" si="3"/>
        <v>1</v>
      </c>
      <c r="J46" s="49">
        <v>3</v>
      </c>
      <c r="K46" s="22">
        <v>2</v>
      </c>
      <c r="L46" s="22">
        <f t="shared" si="4"/>
        <v>1</v>
      </c>
      <c r="M46" s="38">
        <f t="shared" si="5"/>
        <v>0</v>
      </c>
      <c r="N46" s="40">
        <v>72</v>
      </c>
      <c r="O46" s="23">
        <v>64</v>
      </c>
      <c r="P46" s="23">
        <f t="shared" si="6"/>
        <v>8</v>
      </c>
      <c r="Q46" s="61">
        <f t="shared" si="7"/>
        <v>1</v>
      </c>
      <c r="R46" s="59">
        <v>60</v>
      </c>
      <c r="S46" s="22">
        <v>53</v>
      </c>
      <c r="T46" s="22">
        <f t="shared" si="8"/>
        <v>7</v>
      </c>
      <c r="U46" s="38">
        <f t="shared" si="9"/>
        <v>1</v>
      </c>
      <c r="V46" s="40">
        <v>50</v>
      </c>
      <c r="W46" s="23">
        <v>56</v>
      </c>
      <c r="X46" s="23">
        <f t="shared" si="10"/>
        <v>-6</v>
      </c>
      <c r="Y46" s="51">
        <f t="shared" si="11"/>
        <v>0</v>
      </c>
      <c r="Z46" s="49">
        <v>39</v>
      </c>
      <c r="AA46" s="22">
        <v>33</v>
      </c>
      <c r="AB46" s="22">
        <f t="shared" si="12"/>
        <v>6</v>
      </c>
      <c r="AC46" s="60">
        <f t="shared" si="13"/>
        <v>1</v>
      </c>
    </row>
    <row r="47" spans="1:29" x14ac:dyDescent="0.2">
      <c r="A47" s="58" t="s">
        <v>178</v>
      </c>
      <c r="B47" s="59">
        <v>60</v>
      </c>
      <c r="C47" s="22">
        <v>58</v>
      </c>
      <c r="D47" s="22">
        <f t="shared" si="1"/>
        <v>2</v>
      </c>
      <c r="E47" s="60">
        <f t="shared" si="14"/>
        <v>1</v>
      </c>
      <c r="F47" s="40">
        <v>3</v>
      </c>
      <c r="G47" s="23">
        <v>6</v>
      </c>
      <c r="H47" s="23">
        <f t="shared" si="2"/>
        <v>-3</v>
      </c>
      <c r="I47" s="51">
        <f t="shared" si="3"/>
        <v>0</v>
      </c>
      <c r="J47" s="49">
        <v>1</v>
      </c>
      <c r="K47" s="22">
        <v>3</v>
      </c>
      <c r="L47" s="22">
        <f t="shared" si="4"/>
        <v>-2</v>
      </c>
      <c r="M47" s="38">
        <f t="shared" si="5"/>
        <v>1</v>
      </c>
      <c r="N47" s="40">
        <v>66</v>
      </c>
      <c r="O47" s="23">
        <v>62</v>
      </c>
      <c r="P47" s="23">
        <f t="shared" si="6"/>
        <v>4</v>
      </c>
      <c r="Q47" s="61">
        <f t="shared" si="7"/>
        <v>1</v>
      </c>
      <c r="R47" s="59">
        <v>66</v>
      </c>
      <c r="S47" s="22">
        <v>40</v>
      </c>
      <c r="T47" s="22">
        <f t="shared" si="8"/>
        <v>26</v>
      </c>
      <c r="U47" s="38">
        <f t="shared" si="9"/>
        <v>1</v>
      </c>
      <c r="V47" s="40">
        <v>35</v>
      </c>
      <c r="W47" s="23">
        <v>40</v>
      </c>
      <c r="X47" s="23">
        <f t="shared" si="10"/>
        <v>-5</v>
      </c>
      <c r="Y47" s="51">
        <f t="shared" si="11"/>
        <v>0</v>
      </c>
      <c r="Z47" s="49">
        <v>48</v>
      </c>
      <c r="AA47" s="22">
        <v>34</v>
      </c>
      <c r="AB47" s="22">
        <f t="shared" si="12"/>
        <v>14</v>
      </c>
      <c r="AC47" s="60">
        <f t="shared" si="13"/>
        <v>1</v>
      </c>
    </row>
    <row r="48" spans="1:29" x14ac:dyDescent="0.2">
      <c r="A48" s="58" t="s">
        <v>179</v>
      </c>
      <c r="B48" s="59">
        <v>64</v>
      </c>
      <c r="C48" s="22">
        <v>60</v>
      </c>
      <c r="D48" s="22">
        <f t="shared" si="1"/>
        <v>4</v>
      </c>
      <c r="E48" s="60">
        <f t="shared" si="14"/>
        <v>1</v>
      </c>
      <c r="F48" s="40">
        <v>11</v>
      </c>
      <c r="G48" s="23">
        <v>4</v>
      </c>
      <c r="H48" s="23">
        <f t="shared" si="2"/>
        <v>7</v>
      </c>
      <c r="I48" s="51">
        <f t="shared" si="3"/>
        <v>1</v>
      </c>
      <c r="J48" s="49">
        <v>0</v>
      </c>
      <c r="K48" s="22">
        <v>5</v>
      </c>
      <c r="L48" s="22">
        <f t="shared" si="4"/>
        <v>-5</v>
      </c>
      <c r="M48" s="38">
        <f t="shared" si="5"/>
        <v>1</v>
      </c>
      <c r="N48" s="40">
        <v>82</v>
      </c>
      <c r="O48" s="23">
        <v>66</v>
      </c>
      <c r="P48" s="23">
        <f t="shared" si="6"/>
        <v>16</v>
      </c>
      <c r="Q48" s="61">
        <f t="shared" si="7"/>
        <v>1</v>
      </c>
      <c r="R48" s="59">
        <v>79</v>
      </c>
      <c r="S48" s="22">
        <v>43</v>
      </c>
      <c r="T48" s="22">
        <f t="shared" si="8"/>
        <v>36</v>
      </c>
      <c r="U48" s="38">
        <f t="shared" si="9"/>
        <v>1</v>
      </c>
      <c r="V48" s="40">
        <v>42</v>
      </c>
      <c r="W48" s="23">
        <v>100</v>
      </c>
      <c r="X48" s="23">
        <f t="shared" si="10"/>
        <v>-58</v>
      </c>
      <c r="Y48" s="51">
        <f t="shared" si="11"/>
        <v>0</v>
      </c>
      <c r="Z48" s="49">
        <v>43</v>
      </c>
      <c r="AA48" s="22">
        <v>19</v>
      </c>
      <c r="AB48" s="22">
        <f t="shared" si="12"/>
        <v>24</v>
      </c>
      <c r="AC48" s="60">
        <f t="shared" si="13"/>
        <v>1</v>
      </c>
    </row>
    <row r="49" spans="1:29" x14ac:dyDescent="0.2">
      <c r="A49" s="58" t="s">
        <v>179</v>
      </c>
      <c r="B49" s="59">
        <v>75</v>
      </c>
      <c r="C49" s="22">
        <v>60</v>
      </c>
      <c r="D49" s="22">
        <f t="shared" si="1"/>
        <v>15</v>
      </c>
      <c r="E49" s="60">
        <f t="shared" si="14"/>
        <v>1</v>
      </c>
      <c r="F49" s="40">
        <v>5</v>
      </c>
      <c r="G49" s="23">
        <v>3</v>
      </c>
      <c r="H49" s="23">
        <f t="shared" si="2"/>
        <v>2</v>
      </c>
      <c r="I49" s="51">
        <f t="shared" si="3"/>
        <v>1</v>
      </c>
      <c r="J49" s="49">
        <v>0</v>
      </c>
      <c r="K49" s="22">
        <v>4</v>
      </c>
      <c r="L49" s="22">
        <f t="shared" si="4"/>
        <v>-4</v>
      </c>
      <c r="M49" s="38">
        <f t="shared" si="5"/>
        <v>1</v>
      </c>
      <c r="N49" s="40">
        <v>73</v>
      </c>
      <c r="O49" s="23">
        <v>58</v>
      </c>
      <c r="P49" s="23">
        <f t="shared" si="6"/>
        <v>15</v>
      </c>
      <c r="Q49" s="61">
        <f t="shared" si="7"/>
        <v>1</v>
      </c>
      <c r="R49" s="59">
        <v>61</v>
      </c>
      <c r="S49" s="22">
        <v>34</v>
      </c>
      <c r="T49" s="22">
        <f t="shared" si="8"/>
        <v>27</v>
      </c>
      <c r="U49" s="38">
        <f t="shared" si="9"/>
        <v>1</v>
      </c>
      <c r="V49" s="40">
        <v>58</v>
      </c>
      <c r="W49" s="23">
        <v>20</v>
      </c>
      <c r="X49" s="23">
        <f t="shared" si="10"/>
        <v>38</v>
      </c>
      <c r="Y49" s="51">
        <f t="shared" si="11"/>
        <v>1</v>
      </c>
      <c r="Z49" s="49">
        <v>52</v>
      </c>
      <c r="AA49" s="22">
        <v>30</v>
      </c>
      <c r="AB49" s="22">
        <f t="shared" si="12"/>
        <v>22</v>
      </c>
      <c r="AC49" s="60">
        <f t="shared" si="13"/>
        <v>1</v>
      </c>
    </row>
    <row r="50" spans="1:29" x14ac:dyDescent="0.2">
      <c r="A50" s="58" t="s">
        <v>179</v>
      </c>
      <c r="B50" s="59">
        <v>47</v>
      </c>
      <c r="C50" s="22">
        <v>59</v>
      </c>
      <c r="D50" s="22">
        <f t="shared" si="1"/>
        <v>-12</v>
      </c>
      <c r="E50" s="60">
        <f t="shared" si="14"/>
        <v>0</v>
      </c>
      <c r="F50" s="40">
        <v>1</v>
      </c>
      <c r="G50" s="23">
        <v>2</v>
      </c>
      <c r="H50" s="23">
        <f t="shared" si="2"/>
        <v>-1</v>
      </c>
      <c r="I50" s="51">
        <f t="shared" si="3"/>
        <v>0</v>
      </c>
      <c r="J50" s="49">
        <v>3</v>
      </c>
      <c r="K50" s="22">
        <v>2</v>
      </c>
      <c r="L50" s="22">
        <f t="shared" si="4"/>
        <v>1</v>
      </c>
      <c r="M50" s="38">
        <f t="shared" si="5"/>
        <v>0</v>
      </c>
      <c r="N50" s="40">
        <v>86</v>
      </c>
      <c r="O50" s="23">
        <v>55</v>
      </c>
      <c r="P50" s="23">
        <f t="shared" si="6"/>
        <v>31</v>
      </c>
      <c r="Q50" s="61">
        <f t="shared" si="7"/>
        <v>1</v>
      </c>
      <c r="R50" s="59">
        <v>67</v>
      </c>
      <c r="S50" s="22">
        <v>32</v>
      </c>
      <c r="T50" s="22">
        <f t="shared" si="8"/>
        <v>35</v>
      </c>
      <c r="U50" s="38">
        <f t="shared" si="9"/>
        <v>1</v>
      </c>
      <c r="V50" s="40">
        <v>58</v>
      </c>
      <c r="W50" s="23">
        <v>0</v>
      </c>
      <c r="X50" s="23">
        <f t="shared" si="10"/>
        <v>58</v>
      </c>
      <c r="Y50" s="51">
        <f t="shared" si="11"/>
        <v>1</v>
      </c>
      <c r="Z50" s="49">
        <v>54</v>
      </c>
      <c r="AA50" s="22">
        <v>24</v>
      </c>
      <c r="AB50" s="22">
        <f t="shared" si="12"/>
        <v>30</v>
      </c>
      <c r="AC50" s="60">
        <f t="shared" si="13"/>
        <v>1</v>
      </c>
    </row>
    <row r="51" spans="1:29" x14ac:dyDescent="0.2">
      <c r="A51" s="58" t="s">
        <v>179</v>
      </c>
      <c r="B51" s="59">
        <v>75</v>
      </c>
      <c r="C51" s="22">
        <v>67</v>
      </c>
      <c r="D51" s="22">
        <f t="shared" si="1"/>
        <v>8</v>
      </c>
      <c r="E51" s="60">
        <f t="shared" si="14"/>
        <v>1</v>
      </c>
      <c r="F51" s="40">
        <v>2</v>
      </c>
      <c r="G51" s="23">
        <v>0</v>
      </c>
      <c r="H51" s="23">
        <f t="shared" si="2"/>
        <v>2</v>
      </c>
      <c r="I51" s="51">
        <f t="shared" si="3"/>
        <v>1</v>
      </c>
      <c r="J51" s="49">
        <v>0</v>
      </c>
      <c r="K51" s="22">
        <v>3</v>
      </c>
      <c r="L51" s="22">
        <f t="shared" si="4"/>
        <v>-3</v>
      </c>
      <c r="M51" s="38">
        <f t="shared" si="5"/>
        <v>1</v>
      </c>
      <c r="N51" s="40">
        <v>81</v>
      </c>
      <c r="O51" s="23">
        <v>58</v>
      </c>
      <c r="P51" s="23">
        <f t="shared" si="6"/>
        <v>23</v>
      </c>
      <c r="Q51" s="61">
        <f t="shared" si="7"/>
        <v>1</v>
      </c>
      <c r="R51" s="59">
        <v>53</v>
      </c>
      <c r="S51" s="22">
        <v>42</v>
      </c>
      <c r="T51" s="22">
        <f t="shared" si="8"/>
        <v>11</v>
      </c>
      <c r="U51" s="38">
        <f t="shared" si="9"/>
        <v>1</v>
      </c>
      <c r="V51" s="40">
        <v>43</v>
      </c>
      <c r="W51" s="23">
        <v>67</v>
      </c>
      <c r="X51" s="23">
        <f t="shared" si="10"/>
        <v>-24</v>
      </c>
      <c r="Y51" s="51">
        <f t="shared" si="11"/>
        <v>0</v>
      </c>
      <c r="Z51" s="49">
        <v>47</v>
      </c>
      <c r="AA51" s="22">
        <v>26</v>
      </c>
      <c r="AB51" s="22">
        <f t="shared" si="12"/>
        <v>21</v>
      </c>
      <c r="AC51" s="60">
        <f t="shared" si="13"/>
        <v>1</v>
      </c>
    </row>
    <row r="52" spans="1:29" x14ac:dyDescent="0.2">
      <c r="A52" s="56">
        <v>2012</v>
      </c>
      <c r="B52" s="59">
        <v>62</v>
      </c>
      <c r="C52" s="22">
        <v>59</v>
      </c>
      <c r="D52" s="22">
        <f t="shared" si="1"/>
        <v>3</v>
      </c>
      <c r="E52" s="60">
        <f t="shared" si="14"/>
        <v>1</v>
      </c>
      <c r="F52" s="40">
        <v>4</v>
      </c>
      <c r="G52" s="23">
        <v>3</v>
      </c>
      <c r="H52" s="23">
        <f t="shared" si="2"/>
        <v>1</v>
      </c>
      <c r="I52" s="51">
        <f t="shared" si="3"/>
        <v>1</v>
      </c>
      <c r="J52" s="49">
        <v>4</v>
      </c>
      <c r="K52" s="22">
        <v>4</v>
      </c>
      <c r="L52" s="22">
        <f t="shared" si="4"/>
        <v>0</v>
      </c>
      <c r="M52" s="38">
        <f t="shared" si="5"/>
        <v>1</v>
      </c>
      <c r="N52" s="40">
        <v>62</v>
      </c>
      <c r="O52" s="23">
        <v>62</v>
      </c>
      <c r="P52" s="23">
        <f t="shared" si="6"/>
        <v>0</v>
      </c>
      <c r="Q52" s="61">
        <f t="shared" si="7"/>
        <v>1</v>
      </c>
      <c r="R52" s="59">
        <v>53</v>
      </c>
      <c r="S52" s="22">
        <v>44</v>
      </c>
      <c r="T52" s="22">
        <f t="shared" si="8"/>
        <v>9</v>
      </c>
      <c r="U52" s="38">
        <f t="shared" si="9"/>
        <v>1</v>
      </c>
      <c r="V52" s="40">
        <v>53</v>
      </c>
      <c r="W52" s="23">
        <v>70</v>
      </c>
      <c r="X52" s="23">
        <f t="shared" si="10"/>
        <v>-17</v>
      </c>
      <c r="Y52" s="51">
        <f t="shared" si="11"/>
        <v>0</v>
      </c>
      <c r="Z52" s="49">
        <v>46</v>
      </c>
      <c r="AA52" s="22">
        <v>42</v>
      </c>
      <c r="AB52" s="22">
        <f t="shared" si="12"/>
        <v>4</v>
      </c>
      <c r="AC52" s="60">
        <f t="shared" si="13"/>
        <v>1</v>
      </c>
    </row>
    <row r="53" spans="1:29" x14ac:dyDescent="0.2">
      <c r="A53" s="58" t="s">
        <v>178</v>
      </c>
      <c r="B53" s="59">
        <v>68</v>
      </c>
      <c r="C53" s="22">
        <v>56</v>
      </c>
      <c r="D53" s="22">
        <f t="shared" si="1"/>
        <v>12</v>
      </c>
      <c r="E53" s="60">
        <f t="shared" si="14"/>
        <v>1</v>
      </c>
      <c r="F53" s="40">
        <v>6</v>
      </c>
      <c r="G53" s="23">
        <v>9</v>
      </c>
      <c r="H53" s="23">
        <f t="shared" si="2"/>
        <v>-3</v>
      </c>
      <c r="I53" s="51">
        <f t="shared" si="3"/>
        <v>0</v>
      </c>
      <c r="J53" s="49">
        <v>2</v>
      </c>
      <c r="K53" s="22">
        <v>3</v>
      </c>
      <c r="L53" s="22">
        <f t="shared" si="4"/>
        <v>-1</v>
      </c>
      <c r="M53" s="38">
        <f t="shared" si="5"/>
        <v>1</v>
      </c>
      <c r="N53" s="40">
        <v>73</v>
      </c>
      <c r="O53" s="23">
        <v>56</v>
      </c>
      <c r="P53" s="23">
        <f t="shared" si="6"/>
        <v>17</v>
      </c>
      <c r="Q53" s="61">
        <f t="shared" si="7"/>
        <v>1</v>
      </c>
      <c r="R53" s="59">
        <v>48</v>
      </c>
      <c r="S53" s="22">
        <v>45</v>
      </c>
      <c r="T53" s="22">
        <f t="shared" si="8"/>
        <v>3</v>
      </c>
      <c r="U53" s="38">
        <f t="shared" si="9"/>
        <v>1</v>
      </c>
      <c r="V53" s="40">
        <v>70</v>
      </c>
      <c r="W53" s="23">
        <v>50</v>
      </c>
      <c r="X53" s="23">
        <f t="shared" si="10"/>
        <v>20</v>
      </c>
      <c r="Y53" s="51">
        <f t="shared" si="11"/>
        <v>1</v>
      </c>
      <c r="Z53" s="49">
        <v>49</v>
      </c>
      <c r="AA53" s="22">
        <v>35</v>
      </c>
      <c r="AB53" s="22">
        <f t="shared" si="12"/>
        <v>14</v>
      </c>
      <c r="AC53" s="60">
        <f t="shared" si="13"/>
        <v>1</v>
      </c>
    </row>
    <row r="54" spans="1:29" x14ac:dyDescent="0.2">
      <c r="A54" s="58" t="s">
        <v>178</v>
      </c>
      <c r="B54" s="59">
        <v>60</v>
      </c>
      <c r="C54" s="22">
        <v>56</v>
      </c>
      <c r="D54" s="22">
        <f t="shared" si="1"/>
        <v>4</v>
      </c>
      <c r="E54" s="60">
        <f t="shared" si="14"/>
        <v>1</v>
      </c>
      <c r="F54" s="40">
        <v>2</v>
      </c>
      <c r="G54" s="23">
        <v>1</v>
      </c>
      <c r="H54" s="23">
        <f t="shared" si="2"/>
        <v>1</v>
      </c>
      <c r="I54" s="51">
        <f t="shared" si="3"/>
        <v>1</v>
      </c>
      <c r="J54" s="49">
        <v>1</v>
      </c>
      <c r="K54" s="22">
        <v>3</v>
      </c>
      <c r="L54" s="22">
        <f t="shared" si="4"/>
        <v>-2</v>
      </c>
      <c r="M54" s="38">
        <f t="shared" si="5"/>
        <v>1</v>
      </c>
      <c r="N54" s="40">
        <v>85</v>
      </c>
      <c r="O54" s="23">
        <v>51</v>
      </c>
      <c r="P54" s="23">
        <f t="shared" si="6"/>
        <v>34</v>
      </c>
      <c r="Q54" s="61">
        <f t="shared" si="7"/>
        <v>1</v>
      </c>
      <c r="R54" s="59">
        <v>58</v>
      </c>
      <c r="S54" s="22">
        <v>41</v>
      </c>
      <c r="T54" s="22">
        <f t="shared" si="8"/>
        <v>17</v>
      </c>
      <c r="U54" s="38">
        <f t="shared" si="9"/>
        <v>1</v>
      </c>
      <c r="V54" s="40">
        <v>70</v>
      </c>
      <c r="W54" s="23">
        <v>0</v>
      </c>
      <c r="X54" s="23">
        <f t="shared" si="10"/>
        <v>70</v>
      </c>
      <c r="Y54" s="51">
        <f t="shared" si="11"/>
        <v>1</v>
      </c>
      <c r="Z54" s="49">
        <v>53</v>
      </c>
      <c r="AA54" s="22">
        <v>26</v>
      </c>
      <c r="AB54" s="22">
        <f t="shared" si="12"/>
        <v>27</v>
      </c>
      <c r="AC54" s="60">
        <f t="shared" si="13"/>
        <v>1</v>
      </c>
    </row>
    <row r="55" spans="1:29" x14ac:dyDescent="0.2">
      <c r="A55" s="58" t="s">
        <v>179</v>
      </c>
      <c r="B55" s="59">
        <v>67</v>
      </c>
      <c r="C55" s="22">
        <v>68</v>
      </c>
      <c r="D55" s="22">
        <f t="shared" si="1"/>
        <v>-1</v>
      </c>
      <c r="E55" s="60">
        <f t="shared" si="14"/>
        <v>0</v>
      </c>
      <c r="F55" s="40">
        <v>7</v>
      </c>
      <c r="G55" s="23">
        <v>6</v>
      </c>
      <c r="H55" s="23">
        <f t="shared" si="2"/>
        <v>1</v>
      </c>
      <c r="I55" s="51">
        <f t="shared" si="3"/>
        <v>1</v>
      </c>
      <c r="J55" s="49">
        <v>2</v>
      </c>
      <c r="K55" s="22">
        <v>3</v>
      </c>
      <c r="L55" s="22">
        <f t="shared" si="4"/>
        <v>-1</v>
      </c>
      <c r="M55" s="38">
        <f t="shared" si="5"/>
        <v>1</v>
      </c>
      <c r="N55" s="40">
        <v>71</v>
      </c>
      <c r="O55" s="23">
        <v>65</v>
      </c>
      <c r="P55" s="23">
        <f t="shared" si="6"/>
        <v>6</v>
      </c>
      <c r="Q55" s="61">
        <f t="shared" si="7"/>
        <v>1</v>
      </c>
      <c r="R55" s="59">
        <v>53</v>
      </c>
      <c r="S55" s="22">
        <v>42</v>
      </c>
      <c r="T55" s="22">
        <f t="shared" si="8"/>
        <v>11</v>
      </c>
      <c r="U55" s="38">
        <f t="shared" si="9"/>
        <v>1</v>
      </c>
      <c r="V55" s="40">
        <v>46</v>
      </c>
      <c r="W55" s="23">
        <v>36</v>
      </c>
      <c r="X55" s="23">
        <f t="shared" si="10"/>
        <v>10</v>
      </c>
      <c r="Y55" s="51">
        <f t="shared" si="11"/>
        <v>1</v>
      </c>
      <c r="Z55" s="49">
        <v>42</v>
      </c>
      <c r="AA55" s="22">
        <v>35</v>
      </c>
      <c r="AB55" s="22">
        <f t="shared" si="12"/>
        <v>7</v>
      </c>
      <c r="AC55" s="60">
        <f t="shared" si="13"/>
        <v>1</v>
      </c>
    </row>
    <row r="56" spans="1:29" x14ac:dyDescent="0.2">
      <c r="A56" s="58" t="s">
        <v>179</v>
      </c>
      <c r="B56" s="59">
        <v>58</v>
      </c>
      <c r="C56" s="22">
        <v>59</v>
      </c>
      <c r="D56" s="22">
        <f t="shared" si="1"/>
        <v>-1</v>
      </c>
      <c r="E56" s="60">
        <f t="shared" si="14"/>
        <v>0</v>
      </c>
      <c r="F56" s="40">
        <v>11</v>
      </c>
      <c r="G56" s="23">
        <v>6</v>
      </c>
      <c r="H56" s="23">
        <f t="shared" si="2"/>
        <v>5</v>
      </c>
      <c r="I56" s="51">
        <f t="shared" si="3"/>
        <v>1</v>
      </c>
      <c r="J56" s="49">
        <v>1</v>
      </c>
      <c r="K56" s="22">
        <v>4</v>
      </c>
      <c r="L56" s="22">
        <f t="shared" si="4"/>
        <v>-3</v>
      </c>
      <c r="M56" s="38">
        <f t="shared" si="5"/>
        <v>1</v>
      </c>
      <c r="N56" s="40">
        <v>69</v>
      </c>
      <c r="O56" s="23">
        <v>74</v>
      </c>
      <c r="P56" s="23">
        <f t="shared" si="6"/>
        <v>-5</v>
      </c>
      <c r="Q56" s="61">
        <f t="shared" si="7"/>
        <v>0</v>
      </c>
      <c r="R56" s="59">
        <v>60</v>
      </c>
      <c r="S56" s="22">
        <v>31</v>
      </c>
      <c r="T56" s="22">
        <f t="shared" si="8"/>
        <v>29</v>
      </c>
      <c r="U56" s="38">
        <f t="shared" si="9"/>
        <v>1</v>
      </c>
      <c r="V56" s="40">
        <v>44</v>
      </c>
      <c r="W56" s="23">
        <v>40</v>
      </c>
      <c r="X56" s="23">
        <f t="shared" si="10"/>
        <v>4</v>
      </c>
      <c r="Y56" s="51">
        <f t="shared" si="11"/>
        <v>1</v>
      </c>
      <c r="Z56" s="49">
        <v>44</v>
      </c>
      <c r="AA56" s="22">
        <v>35</v>
      </c>
      <c r="AB56" s="22">
        <f t="shared" si="12"/>
        <v>9</v>
      </c>
      <c r="AC56" s="60">
        <f t="shared" si="13"/>
        <v>1</v>
      </c>
    </row>
    <row r="57" spans="1:29" x14ac:dyDescent="0.2">
      <c r="A57" s="58" t="s">
        <v>179</v>
      </c>
      <c r="B57" s="59">
        <v>64</v>
      </c>
      <c r="C57" s="22">
        <v>53</v>
      </c>
      <c r="D57" s="22">
        <f t="shared" si="1"/>
        <v>11</v>
      </c>
      <c r="E57" s="60">
        <f t="shared" si="14"/>
        <v>1</v>
      </c>
      <c r="F57" s="40">
        <v>3</v>
      </c>
      <c r="G57" s="23">
        <v>3</v>
      </c>
      <c r="H57" s="23">
        <f t="shared" si="2"/>
        <v>0</v>
      </c>
      <c r="I57" s="51">
        <f t="shared" si="3"/>
        <v>1</v>
      </c>
      <c r="J57" s="49">
        <v>5</v>
      </c>
      <c r="K57" s="22">
        <v>1</v>
      </c>
      <c r="L57" s="22">
        <f t="shared" si="4"/>
        <v>4</v>
      </c>
      <c r="M57" s="38">
        <f t="shared" si="5"/>
        <v>0</v>
      </c>
      <c r="N57" s="40">
        <v>68</v>
      </c>
      <c r="O57" s="23">
        <v>60</v>
      </c>
      <c r="P57" s="23">
        <f t="shared" si="6"/>
        <v>8</v>
      </c>
      <c r="Q57" s="61">
        <f t="shared" si="7"/>
        <v>1</v>
      </c>
      <c r="R57" s="59">
        <v>39</v>
      </c>
      <c r="S57" s="22">
        <v>39</v>
      </c>
      <c r="T57" s="22">
        <f t="shared" si="8"/>
        <v>0</v>
      </c>
      <c r="U57" s="38">
        <f t="shared" si="9"/>
        <v>1</v>
      </c>
      <c r="V57" s="40">
        <v>53</v>
      </c>
      <c r="W57" s="23">
        <v>33</v>
      </c>
      <c r="X57" s="23">
        <f t="shared" si="10"/>
        <v>20</v>
      </c>
      <c r="Y57" s="51">
        <f t="shared" si="11"/>
        <v>1</v>
      </c>
      <c r="Z57" s="49">
        <v>50</v>
      </c>
      <c r="AA57" s="22">
        <v>43</v>
      </c>
      <c r="AB57" s="22">
        <f t="shared" si="12"/>
        <v>7</v>
      </c>
      <c r="AC57" s="60">
        <f t="shared" si="13"/>
        <v>1</v>
      </c>
    </row>
    <row r="58" spans="1:29" s="82" customFormat="1" x14ac:dyDescent="0.2">
      <c r="A58" s="72" t="s">
        <v>179</v>
      </c>
      <c r="B58" s="73">
        <v>66</v>
      </c>
      <c r="C58" s="74">
        <v>63</v>
      </c>
      <c r="D58" s="74">
        <f t="shared" si="1"/>
        <v>3</v>
      </c>
      <c r="E58" s="75">
        <f t="shared" si="14"/>
        <v>1</v>
      </c>
      <c r="F58" s="76">
        <v>10</v>
      </c>
      <c r="G58" s="77">
        <v>4</v>
      </c>
      <c r="H58" s="77">
        <f t="shared" si="2"/>
        <v>6</v>
      </c>
      <c r="I58" s="78">
        <f t="shared" si="3"/>
        <v>1</v>
      </c>
      <c r="J58" s="79">
        <v>1</v>
      </c>
      <c r="K58" s="74">
        <v>1</v>
      </c>
      <c r="L58" s="74">
        <f t="shared" si="4"/>
        <v>0</v>
      </c>
      <c r="M58" s="80">
        <f t="shared" si="5"/>
        <v>1</v>
      </c>
      <c r="N58" s="76">
        <v>84</v>
      </c>
      <c r="O58" s="77">
        <v>70</v>
      </c>
      <c r="P58" s="77">
        <f t="shared" si="6"/>
        <v>14</v>
      </c>
      <c r="Q58" s="81">
        <f t="shared" si="7"/>
        <v>1</v>
      </c>
      <c r="R58" s="73">
        <v>50</v>
      </c>
      <c r="S58" s="74">
        <v>45</v>
      </c>
      <c r="T58" s="74">
        <f t="shared" si="8"/>
        <v>5</v>
      </c>
      <c r="U58" s="80">
        <f t="shared" si="9"/>
        <v>1</v>
      </c>
      <c r="V58" s="76">
        <v>50</v>
      </c>
      <c r="W58" s="77">
        <v>0</v>
      </c>
      <c r="X58" s="77">
        <f t="shared" si="10"/>
        <v>50</v>
      </c>
      <c r="Y58" s="78">
        <f t="shared" si="11"/>
        <v>1</v>
      </c>
      <c r="Z58" s="79">
        <v>39</v>
      </c>
      <c r="AA58" s="74">
        <v>28</v>
      </c>
      <c r="AB58" s="74">
        <f t="shared" si="12"/>
        <v>11</v>
      </c>
      <c r="AC58" s="75">
        <f t="shared" si="13"/>
        <v>1</v>
      </c>
    </row>
    <row r="59" spans="1:29" x14ac:dyDescent="0.2">
      <c r="A59" s="62" t="s">
        <v>201</v>
      </c>
      <c r="B59" s="63">
        <v>66</v>
      </c>
      <c r="C59" s="64">
        <v>67</v>
      </c>
      <c r="D59" s="64">
        <f t="shared" si="1"/>
        <v>-1</v>
      </c>
      <c r="E59" s="65">
        <f t="shared" si="14"/>
        <v>0</v>
      </c>
      <c r="F59" s="66">
        <v>13</v>
      </c>
      <c r="G59" s="67">
        <v>14</v>
      </c>
      <c r="H59" s="67">
        <f t="shared" si="2"/>
        <v>-1</v>
      </c>
      <c r="I59" s="68">
        <f t="shared" si="3"/>
        <v>0</v>
      </c>
      <c r="J59" s="69">
        <v>1</v>
      </c>
      <c r="K59" s="64">
        <v>3</v>
      </c>
      <c r="L59" s="64">
        <f t="shared" si="4"/>
        <v>-2</v>
      </c>
      <c r="M59" s="70">
        <f t="shared" si="5"/>
        <v>1</v>
      </c>
      <c r="N59" s="66">
        <v>74</v>
      </c>
      <c r="O59" s="67">
        <v>74</v>
      </c>
      <c r="P59" s="67">
        <f t="shared" si="6"/>
        <v>0</v>
      </c>
      <c r="Q59" s="71">
        <f t="shared" si="7"/>
        <v>1</v>
      </c>
      <c r="R59" s="63">
        <v>60</v>
      </c>
      <c r="S59" s="64">
        <v>49</v>
      </c>
      <c r="T59" s="64">
        <f t="shared" si="8"/>
        <v>11</v>
      </c>
      <c r="U59" s="70">
        <f t="shared" si="9"/>
        <v>1</v>
      </c>
      <c r="V59" s="66">
        <v>40</v>
      </c>
      <c r="W59" s="67">
        <v>14</v>
      </c>
      <c r="X59" s="67">
        <f t="shared" si="10"/>
        <v>26</v>
      </c>
      <c r="Y59" s="68">
        <f t="shared" si="11"/>
        <v>1</v>
      </c>
      <c r="Z59" s="69">
        <v>34</v>
      </c>
      <c r="AA59" s="64">
        <v>31</v>
      </c>
      <c r="AB59" s="64">
        <f t="shared" si="12"/>
        <v>3</v>
      </c>
      <c r="AC59" s="65">
        <f t="shared" si="13"/>
        <v>1</v>
      </c>
    </row>
    <row r="60" spans="1:29" x14ac:dyDescent="0.2">
      <c r="A60" s="58" t="s">
        <v>178</v>
      </c>
      <c r="B60" s="59">
        <v>76</v>
      </c>
      <c r="C60" s="22">
        <v>51</v>
      </c>
      <c r="D60" s="22">
        <f t="shared" si="1"/>
        <v>25</v>
      </c>
      <c r="E60" s="60">
        <f t="shared" si="14"/>
        <v>1</v>
      </c>
      <c r="F60" s="40">
        <v>12</v>
      </c>
      <c r="G60" s="23">
        <v>6</v>
      </c>
      <c r="H60" s="23">
        <f t="shared" si="2"/>
        <v>6</v>
      </c>
      <c r="I60" s="51">
        <f t="shared" si="3"/>
        <v>1</v>
      </c>
      <c r="J60" s="49">
        <v>2</v>
      </c>
      <c r="K60" s="22">
        <v>6</v>
      </c>
      <c r="L60" s="22">
        <f t="shared" si="4"/>
        <v>-4</v>
      </c>
      <c r="M60" s="38">
        <f t="shared" si="5"/>
        <v>1</v>
      </c>
      <c r="N60" s="40">
        <v>78</v>
      </c>
      <c r="O60" s="23">
        <v>66</v>
      </c>
      <c r="P60" s="23">
        <f t="shared" si="6"/>
        <v>12</v>
      </c>
      <c r="Q60" s="61">
        <f t="shared" si="7"/>
        <v>1</v>
      </c>
      <c r="R60" s="59">
        <v>46</v>
      </c>
      <c r="S60" s="22">
        <v>55</v>
      </c>
      <c r="T60" s="22">
        <f t="shared" si="8"/>
        <v>-9</v>
      </c>
      <c r="U60" s="38">
        <f t="shared" si="9"/>
        <v>0</v>
      </c>
      <c r="V60" s="40">
        <v>38</v>
      </c>
      <c r="W60" s="23">
        <v>25</v>
      </c>
      <c r="X60" s="23">
        <f t="shared" si="10"/>
        <v>13</v>
      </c>
      <c r="Y60" s="51">
        <f t="shared" si="11"/>
        <v>1</v>
      </c>
      <c r="Z60" s="49">
        <v>40</v>
      </c>
      <c r="AA60" s="22">
        <v>30</v>
      </c>
      <c r="AB60" s="22">
        <f t="shared" si="12"/>
        <v>10</v>
      </c>
      <c r="AC60" s="60">
        <f t="shared" si="13"/>
        <v>1</v>
      </c>
    </row>
    <row r="61" spans="1:29" x14ac:dyDescent="0.2">
      <c r="A61" s="58" t="s">
        <v>178</v>
      </c>
      <c r="B61" s="59">
        <v>76</v>
      </c>
      <c r="C61" s="22">
        <v>74</v>
      </c>
      <c r="D61" s="22">
        <f t="shared" si="1"/>
        <v>2</v>
      </c>
      <c r="E61" s="60">
        <f t="shared" si="14"/>
        <v>1</v>
      </c>
      <c r="F61" s="40">
        <v>20</v>
      </c>
      <c r="G61" s="23">
        <v>12</v>
      </c>
      <c r="H61" s="23">
        <f t="shared" si="2"/>
        <v>8</v>
      </c>
      <c r="I61" s="51">
        <f t="shared" si="3"/>
        <v>1</v>
      </c>
      <c r="J61" s="49">
        <v>1</v>
      </c>
      <c r="K61" s="22">
        <v>1</v>
      </c>
      <c r="L61" s="22">
        <f t="shared" si="4"/>
        <v>0</v>
      </c>
      <c r="M61" s="38">
        <f t="shared" si="5"/>
        <v>1</v>
      </c>
      <c r="N61" s="40">
        <v>84</v>
      </c>
      <c r="O61" s="23">
        <v>71</v>
      </c>
      <c r="P61" s="23">
        <f t="shared" si="6"/>
        <v>13</v>
      </c>
      <c r="Q61" s="61">
        <f t="shared" si="7"/>
        <v>1</v>
      </c>
      <c r="R61" s="59">
        <v>55</v>
      </c>
      <c r="S61" s="22">
        <v>50</v>
      </c>
      <c r="T61" s="22">
        <f t="shared" si="8"/>
        <v>5</v>
      </c>
      <c r="U61" s="38">
        <f t="shared" si="9"/>
        <v>1</v>
      </c>
      <c r="V61" s="40">
        <v>30</v>
      </c>
      <c r="W61" s="23">
        <v>0</v>
      </c>
      <c r="X61" s="23">
        <f t="shared" si="10"/>
        <v>30</v>
      </c>
      <c r="Y61" s="51">
        <f t="shared" si="11"/>
        <v>1</v>
      </c>
      <c r="Z61" s="49">
        <v>35</v>
      </c>
      <c r="AA61" s="22">
        <v>23</v>
      </c>
      <c r="AB61" s="22">
        <f t="shared" si="12"/>
        <v>12</v>
      </c>
      <c r="AC61" s="60">
        <f t="shared" si="13"/>
        <v>1</v>
      </c>
    </row>
    <row r="62" spans="1:29" x14ac:dyDescent="0.2">
      <c r="A62" s="58" t="s">
        <v>179</v>
      </c>
      <c r="B62" s="59">
        <v>72</v>
      </c>
      <c r="C62" s="22">
        <v>55</v>
      </c>
      <c r="D62" s="22">
        <f t="shared" si="1"/>
        <v>17</v>
      </c>
      <c r="E62" s="60">
        <f t="shared" si="14"/>
        <v>1</v>
      </c>
      <c r="F62" s="40">
        <v>4</v>
      </c>
      <c r="G62" s="23">
        <v>8</v>
      </c>
      <c r="H62" s="23">
        <f t="shared" si="2"/>
        <v>-4</v>
      </c>
      <c r="I62" s="51">
        <f t="shared" si="3"/>
        <v>0</v>
      </c>
      <c r="J62" s="49">
        <v>1</v>
      </c>
      <c r="K62" s="22">
        <v>0</v>
      </c>
      <c r="L62" s="22">
        <f t="shared" si="4"/>
        <v>1</v>
      </c>
      <c r="M62" s="38">
        <f t="shared" si="5"/>
        <v>0</v>
      </c>
      <c r="N62" s="40">
        <v>79</v>
      </c>
      <c r="O62" s="23">
        <v>76</v>
      </c>
      <c r="P62" s="23">
        <f t="shared" si="6"/>
        <v>3</v>
      </c>
      <c r="Q62" s="61">
        <f t="shared" si="7"/>
        <v>1</v>
      </c>
      <c r="R62" s="59">
        <v>74</v>
      </c>
      <c r="S62" s="22">
        <v>49</v>
      </c>
      <c r="T62" s="22">
        <f t="shared" si="8"/>
        <v>25</v>
      </c>
      <c r="U62" s="38">
        <f t="shared" si="9"/>
        <v>1</v>
      </c>
      <c r="V62" s="40">
        <v>60</v>
      </c>
      <c r="W62" s="23">
        <v>0</v>
      </c>
      <c r="X62" s="23">
        <f t="shared" si="10"/>
        <v>60</v>
      </c>
      <c r="Y62" s="51">
        <f t="shared" si="11"/>
        <v>1</v>
      </c>
      <c r="Z62" s="49">
        <v>36</v>
      </c>
      <c r="AA62" s="22">
        <v>22</v>
      </c>
      <c r="AB62" s="22">
        <f t="shared" si="12"/>
        <v>14</v>
      </c>
      <c r="AC62" s="60">
        <f t="shared" si="13"/>
        <v>1</v>
      </c>
    </row>
    <row r="63" spans="1:29" x14ac:dyDescent="0.2">
      <c r="A63" s="58" t="s">
        <v>179</v>
      </c>
      <c r="B63" s="59">
        <v>67</v>
      </c>
      <c r="C63" s="22">
        <v>61</v>
      </c>
      <c r="D63" s="22">
        <f t="shared" si="1"/>
        <v>6</v>
      </c>
      <c r="E63" s="60">
        <f t="shared" si="14"/>
        <v>1</v>
      </c>
      <c r="F63" s="40">
        <v>6</v>
      </c>
      <c r="G63" s="23">
        <v>22</v>
      </c>
      <c r="H63" s="23">
        <f t="shared" si="2"/>
        <v>-16</v>
      </c>
      <c r="I63" s="51">
        <f t="shared" si="3"/>
        <v>0</v>
      </c>
      <c r="J63" s="49">
        <v>4</v>
      </c>
      <c r="K63" s="22">
        <v>1</v>
      </c>
      <c r="L63" s="22">
        <f t="shared" si="4"/>
        <v>3</v>
      </c>
      <c r="M63" s="38">
        <f t="shared" si="5"/>
        <v>0</v>
      </c>
      <c r="N63" s="40">
        <v>74</v>
      </c>
      <c r="O63" s="23">
        <v>78</v>
      </c>
      <c r="P63" s="23">
        <f t="shared" si="6"/>
        <v>-4</v>
      </c>
      <c r="Q63" s="61">
        <f t="shared" si="7"/>
        <v>0</v>
      </c>
      <c r="R63" s="59">
        <v>66</v>
      </c>
      <c r="S63" s="22">
        <v>55</v>
      </c>
      <c r="T63" s="22">
        <f t="shared" si="8"/>
        <v>11</v>
      </c>
      <c r="U63" s="38">
        <f t="shared" si="9"/>
        <v>1</v>
      </c>
      <c r="V63" s="40">
        <v>56</v>
      </c>
      <c r="W63" s="23">
        <v>44</v>
      </c>
      <c r="X63" s="23">
        <f t="shared" si="10"/>
        <v>12</v>
      </c>
      <c r="Y63" s="51">
        <f t="shared" si="11"/>
        <v>1</v>
      </c>
      <c r="Z63" s="49">
        <v>31</v>
      </c>
      <c r="AA63" s="22">
        <v>29</v>
      </c>
      <c r="AB63" s="22">
        <f t="shared" si="12"/>
        <v>2</v>
      </c>
      <c r="AC63" s="60">
        <f t="shared" si="13"/>
        <v>1</v>
      </c>
    </row>
    <row r="64" spans="1:29" x14ac:dyDescent="0.2">
      <c r="A64" s="58" t="s">
        <v>179</v>
      </c>
      <c r="B64" s="59">
        <v>64</v>
      </c>
      <c r="C64" s="22">
        <v>59</v>
      </c>
      <c r="D64" s="22">
        <f t="shared" si="1"/>
        <v>5</v>
      </c>
      <c r="E64" s="60">
        <f t="shared" si="14"/>
        <v>1</v>
      </c>
      <c r="F64" s="40">
        <v>4</v>
      </c>
      <c r="G64" s="23">
        <v>9</v>
      </c>
      <c r="H64" s="23">
        <f t="shared" si="2"/>
        <v>-5</v>
      </c>
      <c r="I64" s="51">
        <f t="shared" si="3"/>
        <v>0</v>
      </c>
      <c r="J64" s="49">
        <v>3</v>
      </c>
      <c r="K64" s="22">
        <v>3</v>
      </c>
      <c r="L64" s="22">
        <f t="shared" si="4"/>
        <v>0</v>
      </c>
      <c r="M64" s="38">
        <f t="shared" si="5"/>
        <v>1</v>
      </c>
      <c r="N64" s="40">
        <v>84</v>
      </c>
      <c r="O64" s="23">
        <v>80</v>
      </c>
      <c r="P64" s="23">
        <f t="shared" si="6"/>
        <v>4</v>
      </c>
      <c r="Q64" s="61">
        <f t="shared" si="7"/>
        <v>1</v>
      </c>
      <c r="R64" s="59">
        <v>56</v>
      </c>
      <c r="S64" s="22">
        <v>47</v>
      </c>
      <c r="T64" s="22">
        <f t="shared" si="8"/>
        <v>9</v>
      </c>
      <c r="U64" s="38">
        <f t="shared" si="9"/>
        <v>1</v>
      </c>
      <c r="V64" s="40">
        <v>38</v>
      </c>
      <c r="W64" s="23">
        <v>0</v>
      </c>
      <c r="X64" s="23">
        <f t="shared" si="10"/>
        <v>38</v>
      </c>
      <c r="Y64" s="51">
        <f t="shared" si="11"/>
        <v>1</v>
      </c>
      <c r="Z64" s="49">
        <v>34</v>
      </c>
      <c r="AA64" s="22">
        <v>26</v>
      </c>
      <c r="AB64" s="22">
        <f t="shared" si="12"/>
        <v>8</v>
      </c>
      <c r="AC64" s="60">
        <f t="shared" si="13"/>
        <v>1</v>
      </c>
    </row>
    <row r="65" spans="1:29" x14ac:dyDescent="0.2">
      <c r="A65" s="58" t="s">
        <v>179</v>
      </c>
      <c r="B65" s="59">
        <v>73</v>
      </c>
      <c r="C65" s="22">
        <v>58</v>
      </c>
      <c r="D65" s="22">
        <f t="shared" si="1"/>
        <v>15</v>
      </c>
      <c r="E65" s="60">
        <f t="shared" si="14"/>
        <v>1</v>
      </c>
      <c r="F65" s="40">
        <v>11</v>
      </c>
      <c r="G65" s="23">
        <v>1</v>
      </c>
      <c r="H65" s="23">
        <f t="shared" si="2"/>
        <v>10</v>
      </c>
      <c r="I65" s="51">
        <f t="shared" si="3"/>
        <v>1</v>
      </c>
      <c r="J65" s="49">
        <v>1</v>
      </c>
      <c r="K65" s="22">
        <v>2</v>
      </c>
      <c r="L65" s="22">
        <f t="shared" si="4"/>
        <v>-1</v>
      </c>
      <c r="M65" s="38">
        <f t="shared" si="5"/>
        <v>1</v>
      </c>
      <c r="N65" s="40">
        <v>80</v>
      </c>
      <c r="O65" s="23">
        <v>60</v>
      </c>
      <c r="P65" s="23">
        <f t="shared" si="6"/>
        <v>20</v>
      </c>
      <c r="Q65" s="61">
        <f t="shared" si="7"/>
        <v>1</v>
      </c>
      <c r="R65" s="59">
        <v>60</v>
      </c>
      <c r="S65" s="22">
        <v>54</v>
      </c>
      <c r="T65" s="22">
        <f t="shared" si="8"/>
        <v>6</v>
      </c>
      <c r="U65" s="38">
        <f t="shared" si="9"/>
        <v>1</v>
      </c>
      <c r="V65" s="40">
        <v>63</v>
      </c>
      <c r="W65" s="23">
        <v>100</v>
      </c>
      <c r="X65" s="23">
        <f t="shared" si="10"/>
        <v>-37</v>
      </c>
      <c r="Y65" s="51">
        <f t="shared" si="11"/>
        <v>0</v>
      </c>
      <c r="Z65" s="49">
        <v>42</v>
      </c>
      <c r="AA65" s="22">
        <v>25</v>
      </c>
      <c r="AB65" s="22">
        <f t="shared" si="12"/>
        <v>17</v>
      </c>
      <c r="AC65" s="60">
        <f t="shared" si="13"/>
        <v>1</v>
      </c>
    </row>
    <row r="66" spans="1:29" x14ac:dyDescent="0.2">
      <c r="A66" s="56">
        <v>2014</v>
      </c>
      <c r="B66" s="59">
        <v>62</v>
      </c>
      <c r="C66" s="22">
        <v>69</v>
      </c>
      <c r="D66" s="22">
        <f t="shared" si="1"/>
        <v>-7</v>
      </c>
      <c r="E66" s="60">
        <f t="shared" si="14"/>
        <v>0</v>
      </c>
      <c r="F66" s="40">
        <v>13</v>
      </c>
      <c r="G66" s="23">
        <v>29</v>
      </c>
      <c r="H66" s="23">
        <f t="shared" si="2"/>
        <v>-16</v>
      </c>
      <c r="I66" s="51">
        <f t="shared" si="3"/>
        <v>0</v>
      </c>
      <c r="J66" s="49">
        <v>3</v>
      </c>
      <c r="K66" s="22">
        <v>5</v>
      </c>
      <c r="L66" s="22">
        <f t="shared" si="4"/>
        <v>-2</v>
      </c>
      <c r="M66" s="38">
        <f t="shared" si="5"/>
        <v>1</v>
      </c>
      <c r="N66" s="40">
        <v>73</v>
      </c>
      <c r="O66" s="23">
        <v>77</v>
      </c>
      <c r="P66" s="23">
        <f t="shared" si="6"/>
        <v>-4</v>
      </c>
      <c r="Q66" s="61">
        <f t="shared" si="7"/>
        <v>0</v>
      </c>
      <c r="R66" s="59">
        <v>65</v>
      </c>
      <c r="S66" s="22">
        <v>44</v>
      </c>
      <c r="T66" s="22">
        <f t="shared" si="8"/>
        <v>21</v>
      </c>
      <c r="U66" s="38">
        <f t="shared" si="9"/>
        <v>1</v>
      </c>
      <c r="V66" s="40">
        <v>27</v>
      </c>
      <c r="W66" s="23">
        <v>43</v>
      </c>
      <c r="X66" s="23">
        <f t="shared" si="10"/>
        <v>-16</v>
      </c>
      <c r="Y66" s="51">
        <f t="shared" si="11"/>
        <v>0</v>
      </c>
      <c r="Z66" s="49">
        <v>33</v>
      </c>
      <c r="AA66" s="22">
        <v>30</v>
      </c>
      <c r="AB66" s="22">
        <f t="shared" si="12"/>
        <v>3</v>
      </c>
      <c r="AC66" s="60">
        <f t="shared" si="13"/>
        <v>1</v>
      </c>
    </row>
    <row r="67" spans="1:29" x14ac:dyDescent="0.2">
      <c r="A67" s="58" t="s">
        <v>178</v>
      </c>
      <c r="B67" s="59">
        <v>70</v>
      </c>
      <c r="C67" s="22">
        <v>63</v>
      </c>
      <c r="D67" s="22">
        <f t="shared" si="1"/>
        <v>7</v>
      </c>
      <c r="E67" s="60">
        <f t="shared" si="14"/>
        <v>1</v>
      </c>
      <c r="F67" s="40">
        <v>17</v>
      </c>
      <c r="G67" s="23">
        <v>15</v>
      </c>
      <c r="H67" s="23">
        <f t="shared" si="2"/>
        <v>2</v>
      </c>
      <c r="I67" s="51">
        <f t="shared" si="3"/>
        <v>1</v>
      </c>
      <c r="J67" s="49">
        <v>2</v>
      </c>
      <c r="K67" s="22">
        <v>8</v>
      </c>
      <c r="L67" s="22">
        <f t="shared" si="4"/>
        <v>-6</v>
      </c>
      <c r="M67" s="38">
        <f t="shared" si="5"/>
        <v>1</v>
      </c>
      <c r="N67" s="40">
        <v>73</v>
      </c>
      <c r="O67" s="23">
        <v>82</v>
      </c>
      <c r="P67" s="23">
        <f t="shared" si="6"/>
        <v>-9</v>
      </c>
      <c r="Q67" s="61">
        <f t="shared" si="7"/>
        <v>0</v>
      </c>
      <c r="R67" s="59">
        <v>56</v>
      </c>
      <c r="S67" s="22">
        <v>45</v>
      </c>
      <c r="T67" s="22">
        <f t="shared" si="8"/>
        <v>11</v>
      </c>
      <c r="U67" s="38">
        <f t="shared" si="9"/>
        <v>1</v>
      </c>
      <c r="V67" s="40">
        <v>50</v>
      </c>
      <c r="W67" s="23">
        <v>27</v>
      </c>
      <c r="X67" s="23">
        <f t="shared" si="10"/>
        <v>23</v>
      </c>
      <c r="Y67" s="51">
        <f t="shared" si="11"/>
        <v>1</v>
      </c>
      <c r="Z67" s="49">
        <v>32</v>
      </c>
      <c r="AA67" s="22">
        <v>32</v>
      </c>
      <c r="AB67" s="22">
        <f t="shared" si="12"/>
        <v>0</v>
      </c>
      <c r="AC67" s="60">
        <f t="shared" si="13"/>
        <v>1</v>
      </c>
    </row>
    <row r="68" spans="1:29" x14ac:dyDescent="0.2">
      <c r="A68" s="58" t="s">
        <v>178</v>
      </c>
      <c r="B68" s="59">
        <v>65</v>
      </c>
      <c r="C68" s="22">
        <v>55</v>
      </c>
      <c r="D68" s="22">
        <f t="shared" ref="D68:D114" si="15">B68-C68</f>
        <v>10</v>
      </c>
      <c r="E68" s="60">
        <f t="shared" si="14"/>
        <v>1</v>
      </c>
      <c r="F68" s="40">
        <v>6</v>
      </c>
      <c r="G68" s="23">
        <v>17</v>
      </c>
      <c r="H68" s="23">
        <f t="shared" ref="H68:H114" si="16">F68-G68</f>
        <v>-11</v>
      </c>
      <c r="I68" s="51">
        <f t="shared" ref="I68:I114" si="17">IF(F68&gt;=G68,1,0)</f>
        <v>0</v>
      </c>
      <c r="J68" s="49">
        <v>1</v>
      </c>
      <c r="K68" s="22">
        <v>4</v>
      </c>
      <c r="L68" s="22">
        <f t="shared" ref="L68:L114" si="18">J68-K68</f>
        <v>-3</v>
      </c>
      <c r="M68" s="38">
        <f t="shared" ref="M68:M114" si="19">IF(J68&lt;=K68,1,0)</f>
        <v>1</v>
      </c>
      <c r="N68" s="40">
        <v>81</v>
      </c>
      <c r="O68" s="23">
        <v>80</v>
      </c>
      <c r="P68" s="23">
        <f t="shared" ref="P68:P114" si="20">N68-O68</f>
        <v>1</v>
      </c>
      <c r="Q68" s="61">
        <f t="shared" ref="Q68:Q114" si="21">IF(N68&gt;=O68,1,0)</f>
        <v>1</v>
      </c>
      <c r="R68" s="59">
        <v>68</v>
      </c>
      <c r="S68" s="22">
        <v>50</v>
      </c>
      <c r="T68" s="22">
        <f t="shared" ref="T68:T114" si="22">R68-S68</f>
        <v>18</v>
      </c>
      <c r="U68" s="38">
        <f t="shared" ref="U68:U114" si="23">IF(R68&gt;=S68,1,0)</f>
        <v>1</v>
      </c>
      <c r="V68" s="40">
        <v>43</v>
      </c>
      <c r="W68" s="23">
        <v>0</v>
      </c>
      <c r="X68" s="23">
        <f t="shared" ref="X68:X114" si="24">V68-W68</f>
        <v>43</v>
      </c>
      <c r="Y68" s="51">
        <f t="shared" ref="Y68:Y114" si="25">IF(V68&gt;=W68,1,0)</f>
        <v>1</v>
      </c>
      <c r="Z68" s="49">
        <v>33</v>
      </c>
      <c r="AA68" s="22">
        <v>24</v>
      </c>
      <c r="AB68" s="22">
        <f t="shared" ref="AB68:AB114" si="26">Z68-AA68</f>
        <v>9</v>
      </c>
      <c r="AC68" s="60">
        <f t="shared" ref="AC68:AC114" si="27">IF(Z68&gt;=AA68,1,0)</f>
        <v>1</v>
      </c>
    </row>
    <row r="69" spans="1:29" x14ac:dyDescent="0.2">
      <c r="A69" s="58" t="s">
        <v>179</v>
      </c>
      <c r="B69" s="59">
        <v>70</v>
      </c>
      <c r="C69" s="22">
        <v>56</v>
      </c>
      <c r="D69" s="22">
        <f t="shared" si="15"/>
        <v>14</v>
      </c>
      <c r="E69" s="60">
        <f t="shared" si="14"/>
        <v>1</v>
      </c>
      <c r="F69" s="40">
        <v>10</v>
      </c>
      <c r="G69" s="23">
        <v>10</v>
      </c>
      <c r="H69" s="23">
        <f t="shared" si="16"/>
        <v>0</v>
      </c>
      <c r="I69" s="51">
        <f t="shared" si="17"/>
        <v>1</v>
      </c>
      <c r="J69" s="49">
        <v>3</v>
      </c>
      <c r="K69" s="22">
        <v>6</v>
      </c>
      <c r="L69" s="22">
        <f t="shared" si="18"/>
        <v>-3</v>
      </c>
      <c r="M69" s="38">
        <f t="shared" si="19"/>
        <v>1</v>
      </c>
      <c r="N69" s="40">
        <v>74</v>
      </c>
      <c r="O69" s="23">
        <v>69</v>
      </c>
      <c r="P69" s="23">
        <f t="shared" si="20"/>
        <v>5</v>
      </c>
      <c r="Q69" s="61">
        <f t="shared" si="21"/>
        <v>1</v>
      </c>
      <c r="R69" s="59">
        <v>57</v>
      </c>
      <c r="S69" s="22">
        <v>41</v>
      </c>
      <c r="T69" s="22">
        <f t="shared" si="22"/>
        <v>16</v>
      </c>
      <c r="U69" s="38">
        <f t="shared" si="23"/>
        <v>1</v>
      </c>
      <c r="V69" s="40">
        <v>37</v>
      </c>
      <c r="W69" s="23">
        <v>50</v>
      </c>
      <c r="X69" s="23">
        <f t="shared" si="24"/>
        <v>-13</v>
      </c>
      <c r="Y69" s="51">
        <f t="shared" si="25"/>
        <v>0</v>
      </c>
      <c r="Z69" s="49">
        <v>44</v>
      </c>
      <c r="AA69" s="22">
        <v>31</v>
      </c>
      <c r="AB69" s="22">
        <f t="shared" si="26"/>
        <v>13</v>
      </c>
      <c r="AC69" s="60">
        <f t="shared" si="27"/>
        <v>1</v>
      </c>
    </row>
    <row r="70" spans="1:29" x14ac:dyDescent="0.2">
      <c r="A70" s="58" t="s">
        <v>179</v>
      </c>
      <c r="B70" s="59">
        <v>63</v>
      </c>
      <c r="C70" s="22">
        <v>61</v>
      </c>
      <c r="D70" s="22">
        <f t="shared" si="15"/>
        <v>2</v>
      </c>
      <c r="E70" s="60">
        <f t="shared" si="14"/>
        <v>1</v>
      </c>
      <c r="F70" s="40">
        <v>10</v>
      </c>
      <c r="G70" s="23">
        <v>5</v>
      </c>
      <c r="H70" s="23">
        <f t="shared" si="16"/>
        <v>5</v>
      </c>
      <c r="I70" s="51">
        <f t="shared" si="17"/>
        <v>1</v>
      </c>
      <c r="J70" s="49">
        <v>3</v>
      </c>
      <c r="K70" s="22">
        <v>5</v>
      </c>
      <c r="L70" s="22">
        <f t="shared" si="18"/>
        <v>-2</v>
      </c>
      <c r="M70" s="38">
        <f t="shared" si="19"/>
        <v>1</v>
      </c>
      <c r="N70" s="40">
        <v>77</v>
      </c>
      <c r="O70" s="23">
        <v>72</v>
      </c>
      <c r="P70" s="23">
        <f t="shared" si="20"/>
        <v>5</v>
      </c>
      <c r="Q70" s="61">
        <f t="shared" si="21"/>
        <v>1</v>
      </c>
      <c r="R70" s="59">
        <v>59</v>
      </c>
      <c r="S70" s="22">
        <v>31</v>
      </c>
      <c r="T70" s="22">
        <f t="shared" si="22"/>
        <v>28</v>
      </c>
      <c r="U70" s="38">
        <f t="shared" si="23"/>
        <v>1</v>
      </c>
      <c r="V70" s="40">
        <v>56</v>
      </c>
      <c r="W70" s="23">
        <v>50</v>
      </c>
      <c r="X70" s="23">
        <f t="shared" si="24"/>
        <v>6</v>
      </c>
      <c r="Y70" s="51">
        <f t="shared" si="25"/>
        <v>1</v>
      </c>
      <c r="Z70" s="49">
        <v>44</v>
      </c>
      <c r="AA70" s="22">
        <v>30</v>
      </c>
      <c r="AB70" s="22">
        <f t="shared" si="26"/>
        <v>14</v>
      </c>
      <c r="AC70" s="60">
        <f t="shared" si="27"/>
        <v>1</v>
      </c>
    </row>
    <row r="71" spans="1:29" x14ac:dyDescent="0.2">
      <c r="A71" s="58" t="s">
        <v>179</v>
      </c>
      <c r="B71" s="59">
        <v>65</v>
      </c>
      <c r="C71" s="22">
        <v>60</v>
      </c>
      <c r="D71" s="22">
        <f t="shared" si="15"/>
        <v>5</v>
      </c>
      <c r="E71" s="60">
        <f t="shared" si="14"/>
        <v>1</v>
      </c>
      <c r="F71" s="40">
        <v>10</v>
      </c>
      <c r="G71" s="23">
        <v>9</v>
      </c>
      <c r="H71" s="23">
        <f t="shared" si="16"/>
        <v>1</v>
      </c>
      <c r="I71" s="51">
        <f t="shared" si="17"/>
        <v>1</v>
      </c>
      <c r="J71" s="49">
        <v>1</v>
      </c>
      <c r="K71" s="22">
        <v>1</v>
      </c>
      <c r="L71" s="22">
        <f t="shared" si="18"/>
        <v>0</v>
      </c>
      <c r="M71" s="38">
        <f t="shared" si="19"/>
        <v>1</v>
      </c>
      <c r="N71" s="40">
        <v>79</v>
      </c>
      <c r="O71" s="23">
        <v>77</v>
      </c>
      <c r="P71" s="23">
        <f t="shared" si="20"/>
        <v>2</v>
      </c>
      <c r="Q71" s="61">
        <f t="shared" si="21"/>
        <v>1</v>
      </c>
      <c r="R71" s="59">
        <v>69</v>
      </c>
      <c r="S71" s="22">
        <v>62</v>
      </c>
      <c r="T71" s="22">
        <f t="shared" si="22"/>
        <v>7</v>
      </c>
      <c r="U71" s="38">
        <f t="shared" si="23"/>
        <v>1</v>
      </c>
      <c r="V71" s="40">
        <v>29</v>
      </c>
      <c r="W71" s="23">
        <v>25</v>
      </c>
      <c r="X71" s="23">
        <f t="shared" si="24"/>
        <v>4</v>
      </c>
      <c r="Y71" s="51">
        <f t="shared" si="25"/>
        <v>1</v>
      </c>
      <c r="Z71" s="49">
        <v>29</v>
      </c>
      <c r="AA71" s="22">
        <v>24</v>
      </c>
      <c r="AB71" s="22">
        <f t="shared" si="26"/>
        <v>5</v>
      </c>
      <c r="AC71" s="60">
        <f t="shared" si="27"/>
        <v>1</v>
      </c>
    </row>
    <row r="72" spans="1:29" x14ac:dyDescent="0.2">
      <c r="A72" s="58" t="s">
        <v>179</v>
      </c>
      <c r="B72" s="59">
        <v>70</v>
      </c>
      <c r="C72" s="22">
        <v>72</v>
      </c>
      <c r="D72" s="22">
        <f t="shared" si="15"/>
        <v>-2</v>
      </c>
      <c r="E72" s="60">
        <f t="shared" si="14"/>
        <v>0</v>
      </c>
      <c r="F72" s="40">
        <v>39</v>
      </c>
      <c r="G72" s="23">
        <v>15</v>
      </c>
      <c r="H72" s="23">
        <f t="shared" si="16"/>
        <v>24</v>
      </c>
      <c r="I72" s="51">
        <f t="shared" si="17"/>
        <v>1</v>
      </c>
      <c r="J72" s="49">
        <v>2</v>
      </c>
      <c r="K72" s="22">
        <v>1</v>
      </c>
      <c r="L72" s="22">
        <f t="shared" si="18"/>
        <v>1</v>
      </c>
      <c r="M72" s="38">
        <f t="shared" si="19"/>
        <v>0</v>
      </c>
      <c r="N72" s="40">
        <v>88</v>
      </c>
      <c r="O72" s="23">
        <v>67</v>
      </c>
      <c r="P72" s="23">
        <f t="shared" si="20"/>
        <v>21</v>
      </c>
      <c r="Q72" s="61">
        <f t="shared" si="21"/>
        <v>1</v>
      </c>
      <c r="R72" s="59">
        <v>67</v>
      </c>
      <c r="S72" s="22">
        <v>54</v>
      </c>
      <c r="T72" s="22">
        <f t="shared" si="22"/>
        <v>13</v>
      </c>
      <c r="U72" s="38">
        <f t="shared" si="23"/>
        <v>1</v>
      </c>
      <c r="V72" s="40">
        <v>44</v>
      </c>
      <c r="W72" s="23">
        <v>100</v>
      </c>
      <c r="X72" s="23">
        <f t="shared" si="24"/>
        <v>-56</v>
      </c>
      <c r="Y72" s="51">
        <f t="shared" si="25"/>
        <v>0</v>
      </c>
      <c r="Z72" s="49">
        <v>37</v>
      </c>
      <c r="AA72" s="22">
        <v>18</v>
      </c>
      <c r="AB72" s="22">
        <f t="shared" si="26"/>
        <v>19</v>
      </c>
      <c r="AC72" s="60">
        <f t="shared" si="27"/>
        <v>1</v>
      </c>
    </row>
    <row r="73" spans="1:29" x14ac:dyDescent="0.2">
      <c r="A73" s="56">
        <v>2013</v>
      </c>
      <c r="B73" s="59">
        <v>64</v>
      </c>
      <c r="C73" s="22">
        <v>65</v>
      </c>
      <c r="D73" s="22">
        <f t="shared" si="15"/>
        <v>-1</v>
      </c>
      <c r="E73" s="60">
        <f t="shared" si="14"/>
        <v>0</v>
      </c>
      <c r="F73" s="40">
        <v>9</v>
      </c>
      <c r="G73" s="23">
        <v>4</v>
      </c>
      <c r="H73" s="23">
        <f t="shared" si="16"/>
        <v>5</v>
      </c>
      <c r="I73" s="51">
        <f t="shared" si="17"/>
        <v>1</v>
      </c>
      <c r="J73" s="49">
        <v>2</v>
      </c>
      <c r="K73" s="22">
        <v>4</v>
      </c>
      <c r="L73" s="22">
        <f t="shared" si="18"/>
        <v>-2</v>
      </c>
      <c r="M73" s="38">
        <f t="shared" si="19"/>
        <v>1</v>
      </c>
      <c r="N73" s="40">
        <v>72</v>
      </c>
      <c r="O73" s="23">
        <v>59</v>
      </c>
      <c r="P73" s="23">
        <f t="shared" si="20"/>
        <v>13</v>
      </c>
      <c r="Q73" s="61">
        <f t="shared" si="21"/>
        <v>1</v>
      </c>
      <c r="R73" s="59">
        <v>42</v>
      </c>
      <c r="S73" s="22">
        <v>41</v>
      </c>
      <c r="T73" s="22">
        <f t="shared" si="22"/>
        <v>1</v>
      </c>
      <c r="U73" s="38">
        <f t="shared" si="23"/>
        <v>1</v>
      </c>
      <c r="V73" s="40">
        <v>41</v>
      </c>
      <c r="W73" s="23">
        <v>31</v>
      </c>
      <c r="X73" s="23">
        <f t="shared" si="24"/>
        <v>10</v>
      </c>
      <c r="Y73" s="51">
        <f t="shared" si="25"/>
        <v>1</v>
      </c>
      <c r="Z73" s="49">
        <v>48</v>
      </c>
      <c r="AA73" s="22">
        <v>39</v>
      </c>
      <c r="AB73" s="22">
        <f t="shared" si="26"/>
        <v>9</v>
      </c>
      <c r="AC73" s="60">
        <f t="shared" si="27"/>
        <v>1</v>
      </c>
    </row>
    <row r="74" spans="1:29" x14ac:dyDescent="0.2">
      <c r="A74" s="58" t="s">
        <v>178</v>
      </c>
      <c r="B74" s="59">
        <v>69</v>
      </c>
      <c r="C74" s="22">
        <v>60</v>
      </c>
      <c r="D74" s="22">
        <f t="shared" si="15"/>
        <v>9</v>
      </c>
      <c r="E74" s="60">
        <f t="shared" si="14"/>
        <v>1</v>
      </c>
      <c r="F74" s="40">
        <v>22</v>
      </c>
      <c r="G74" s="23">
        <v>4</v>
      </c>
      <c r="H74" s="23">
        <f t="shared" si="16"/>
        <v>18</v>
      </c>
      <c r="I74" s="51">
        <f t="shared" si="17"/>
        <v>1</v>
      </c>
      <c r="J74" s="49">
        <v>2</v>
      </c>
      <c r="K74" s="22">
        <v>4</v>
      </c>
      <c r="L74" s="22">
        <f t="shared" si="18"/>
        <v>-2</v>
      </c>
      <c r="M74" s="38">
        <f t="shared" si="19"/>
        <v>1</v>
      </c>
      <c r="N74" s="40">
        <v>83</v>
      </c>
      <c r="O74" s="23">
        <v>72</v>
      </c>
      <c r="P74" s="23">
        <f t="shared" si="20"/>
        <v>11</v>
      </c>
      <c r="Q74" s="61">
        <f t="shared" si="21"/>
        <v>1</v>
      </c>
      <c r="R74" s="59">
        <v>39</v>
      </c>
      <c r="S74" s="22">
        <v>55</v>
      </c>
      <c r="T74" s="22">
        <f t="shared" si="22"/>
        <v>-16</v>
      </c>
      <c r="U74" s="38">
        <f t="shared" si="23"/>
        <v>0</v>
      </c>
      <c r="V74" s="40">
        <v>20</v>
      </c>
      <c r="W74" s="23">
        <v>29</v>
      </c>
      <c r="X74" s="23">
        <f t="shared" si="24"/>
        <v>-9</v>
      </c>
      <c r="Y74" s="51">
        <f t="shared" si="25"/>
        <v>0</v>
      </c>
      <c r="Z74" s="49">
        <v>35</v>
      </c>
      <c r="AA74" s="22">
        <v>31</v>
      </c>
      <c r="AB74" s="22">
        <f t="shared" si="26"/>
        <v>4</v>
      </c>
      <c r="AC74" s="60">
        <f t="shared" si="27"/>
        <v>1</v>
      </c>
    </row>
    <row r="75" spans="1:29" x14ac:dyDescent="0.2">
      <c r="A75" s="58" t="s">
        <v>178</v>
      </c>
      <c r="B75" s="59">
        <v>70</v>
      </c>
      <c r="C75" s="22">
        <v>55</v>
      </c>
      <c r="D75" s="22">
        <f t="shared" si="15"/>
        <v>15</v>
      </c>
      <c r="E75" s="60">
        <f t="shared" si="14"/>
        <v>1</v>
      </c>
      <c r="F75" s="40">
        <v>20</v>
      </c>
      <c r="G75" s="23">
        <v>9</v>
      </c>
      <c r="H75" s="23">
        <f t="shared" si="16"/>
        <v>11</v>
      </c>
      <c r="I75" s="51">
        <f t="shared" si="17"/>
        <v>1</v>
      </c>
      <c r="J75" s="49">
        <v>1</v>
      </c>
      <c r="K75" s="22">
        <v>11</v>
      </c>
      <c r="L75" s="22">
        <f t="shared" si="18"/>
        <v>-10</v>
      </c>
      <c r="M75" s="38">
        <f t="shared" si="19"/>
        <v>1</v>
      </c>
      <c r="N75" s="40">
        <v>76</v>
      </c>
      <c r="O75" s="23">
        <v>75</v>
      </c>
      <c r="P75" s="23">
        <f t="shared" si="20"/>
        <v>1</v>
      </c>
      <c r="Q75" s="61">
        <f t="shared" si="21"/>
        <v>1</v>
      </c>
      <c r="R75" s="59">
        <v>71</v>
      </c>
      <c r="S75" s="22">
        <v>47</v>
      </c>
      <c r="T75" s="22">
        <f t="shared" si="22"/>
        <v>24</v>
      </c>
      <c r="U75" s="38">
        <f t="shared" si="23"/>
        <v>1</v>
      </c>
      <c r="V75" s="40">
        <v>38</v>
      </c>
      <c r="W75" s="23">
        <v>14</v>
      </c>
      <c r="X75" s="23">
        <f t="shared" si="24"/>
        <v>24</v>
      </c>
      <c r="Y75" s="51">
        <f t="shared" si="25"/>
        <v>1</v>
      </c>
      <c r="Z75" s="49">
        <v>38</v>
      </c>
      <c r="AA75" s="22">
        <v>26</v>
      </c>
      <c r="AB75" s="22">
        <f t="shared" si="26"/>
        <v>12</v>
      </c>
      <c r="AC75" s="60">
        <f t="shared" si="27"/>
        <v>1</v>
      </c>
    </row>
    <row r="76" spans="1:29" x14ac:dyDescent="0.2">
      <c r="A76" s="58" t="s">
        <v>179</v>
      </c>
      <c r="B76" s="59">
        <v>61</v>
      </c>
      <c r="C76" s="22">
        <v>53</v>
      </c>
      <c r="D76" s="22">
        <f t="shared" si="15"/>
        <v>8</v>
      </c>
      <c r="E76" s="60">
        <f t="shared" si="14"/>
        <v>1</v>
      </c>
      <c r="F76" s="40">
        <v>16</v>
      </c>
      <c r="G76" s="23">
        <v>6</v>
      </c>
      <c r="H76" s="23">
        <f t="shared" si="16"/>
        <v>10</v>
      </c>
      <c r="I76" s="51">
        <f t="shared" si="17"/>
        <v>1</v>
      </c>
      <c r="J76" s="49">
        <v>1</v>
      </c>
      <c r="K76" s="22">
        <v>4</v>
      </c>
      <c r="L76" s="22">
        <f t="shared" si="18"/>
        <v>-3</v>
      </c>
      <c r="M76" s="38">
        <f t="shared" si="19"/>
        <v>1</v>
      </c>
      <c r="N76" s="40">
        <v>78</v>
      </c>
      <c r="O76" s="23">
        <v>63</v>
      </c>
      <c r="P76" s="23">
        <f t="shared" si="20"/>
        <v>15</v>
      </c>
      <c r="Q76" s="61">
        <f t="shared" si="21"/>
        <v>1</v>
      </c>
      <c r="R76" s="59">
        <v>60</v>
      </c>
      <c r="S76" s="22">
        <v>57</v>
      </c>
      <c r="T76" s="22">
        <f t="shared" si="22"/>
        <v>3</v>
      </c>
      <c r="U76" s="38">
        <f t="shared" si="23"/>
        <v>1</v>
      </c>
      <c r="V76" s="40">
        <v>40</v>
      </c>
      <c r="W76" s="23">
        <v>100</v>
      </c>
      <c r="X76" s="23">
        <f t="shared" si="24"/>
        <v>-60</v>
      </c>
      <c r="Y76" s="51">
        <f t="shared" si="25"/>
        <v>0</v>
      </c>
      <c r="Z76" s="49">
        <v>39</v>
      </c>
      <c r="AA76" s="22">
        <v>29</v>
      </c>
      <c r="AB76" s="22">
        <f t="shared" si="26"/>
        <v>10</v>
      </c>
      <c r="AC76" s="60">
        <f t="shared" si="27"/>
        <v>1</v>
      </c>
    </row>
    <row r="77" spans="1:29" x14ac:dyDescent="0.2">
      <c r="A77" s="58" t="s">
        <v>179</v>
      </c>
      <c r="B77" s="59">
        <v>72</v>
      </c>
      <c r="C77" s="22">
        <v>68</v>
      </c>
      <c r="D77" s="22">
        <f t="shared" si="15"/>
        <v>4</v>
      </c>
      <c r="E77" s="60">
        <f t="shared" si="14"/>
        <v>1</v>
      </c>
      <c r="F77" s="40">
        <v>12</v>
      </c>
      <c r="G77" s="23">
        <v>8</v>
      </c>
      <c r="H77" s="23">
        <f t="shared" si="16"/>
        <v>4</v>
      </c>
      <c r="I77" s="51">
        <f t="shared" si="17"/>
        <v>1</v>
      </c>
      <c r="J77" s="49">
        <v>0</v>
      </c>
      <c r="K77" s="22">
        <v>2</v>
      </c>
      <c r="L77" s="22">
        <f t="shared" si="18"/>
        <v>-2</v>
      </c>
      <c r="M77" s="38">
        <f t="shared" si="19"/>
        <v>1</v>
      </c>
      <c r="N77" s="40">
        <v>87</v>
      </c>
      <c r="O77" s="23">
        <v>64</v>
      </c>
      <c r="P77" s="23">
        <f t="shared" si="20"/>
        <v>23</v>
      </c>
      <c r="Q77" s="61">
        <f t="shared" si="21"/>
        <v>1</v>
      </c>
      <c r="R77" s="59">
        <v>46</v>
      </c>
      <c r="S77" s="22">
        <v>52</v>
      </c>
      <c r="T77" s="22">
        <f t="shared" si="22"/>
        <v>-6</v>
      </c>
      <c r="U77" s="38">
        <f t="shared" si="23"/>
        <v>0</v>
      </c>
      <c r="V77" s="40">
        <v>38</v>
      </c>
      <c r="W77" s="23">
        <v>0</v>
      </c>
      <c r="X77" s="23">
        <f t="shared" si="24"/>
        <v>38</v>
      </c>
      <c r="Y77" s="51">
        <f t="shared" si="25"/>
        <v>1</v>
      </c>
      <c r="Z77" s="49">
        <v>40</v>
      </c>
      <c r="AA77" s="22">
        <v>24</v>
      </c>
      <c r="AB77" s="22">
        <f t="shared" si="26"/>
        <v>16</v>
      </c>
      <c r="AC77" s="60">
        <f t="shared" si="27"/>
        <v>1</v>
      </c>
    </row>
    <row r="78" spans="1:29" x14ac:dyDescent="0.2">
      <c r="A78" s="58" t="s">
        <v>179</v>
      </c>
      <c r="B78" s="59">
        <v>68</v>
      </c>
      <c r="C78" s="22">
        <v>57</v>
      </c>
      <c r="D78" s="22">
        <f t="shared" si="15"/>
        <v>11</v>
      </c>
      <c r="E78" s="60">
        <f t="shared" si="14"/>
        <v>1</v>
      </c>
      <c r="F78" s="40">
        <v>30</v>
      </c>
      <c r="G78" s="23">
        <v>9</v>
      </c>
      <c r="H78" s="23">
        <f t="shared" si="16"/>
        <v>21</v>
      </c>
      <c r="I78" s="51">
        <f t="shared" si="17"/>
        <v>1</v>
      </c>
      <c r="J78" s="49">
        <v>9</v>
      </c>
      <c r="K78" s="22">
        <v>3</v>
      </c>
      <c r="L78" s="22">
        <f t="shared" si="18"/>
        <v>6</v>
      </c>
      <c r="M78" s="38">
        <f t="shared" si="19"/>
        <v>0</v>
      </c>
      <c r="N78" s="40">
        <v>90</v>
      </c>
      <c r="O78" s="23">
        <v>77</v>
      </c>
      <c r="P78" s="23">
        <f t="shared" si="20"/>
        <v>13</v>
      </c>
      <c r="Q78" s="61">
        <f t="shared" si="21"/>
        <v>1</v>
      </c>
      <c r="R78" s="59">
        <v>36</v>
      </c>
      <c r="S78" s="22">
        <v>47</v>
      </c>
      <c r="T78" s="22">
        <f t="shared" si="22"/>
        <v>-11</v>
      </c>
      <c r="U78" s="38">
        <f t="shared" si="23"/>
        <v>0</v>
      </c>
      <c r="V78" s="40">
        <v>30</v>
      </c>
      <c r="W78" s="23">
        <v>0</v>
      </c>
      <c r="X78" s="23">
        <f t="shared" si="24"/>
        <v>30</v>
      </c>
      <c r="Y78" s="51">
        <f t="shared" si="25"/>
        <v>1</v>
      </c>
      <c r="Z78" s="49">
        <v>36</v>
      </c>
      <c r="AA78" s="22">
        <v>27</v>
      </c>
      <c r="AB78" s="22">
        <f t="shared" si="26"/>
        <v>9</v>
      </c>
      <c r="AC78" s="60">
        <f t="shared" si="27"/>
        <v>1</v>
      </c>
    </row>
    <row r="79" spans="1:29" x14ac:dyDescent="0.2">
      <c r="A79" s="58" t="s">
        <v>179</v>
      </c>
      <c r="B79" s="59">
        <v>69</v>
      </c>
      <c r="C79" s="22">
        <v>59</v>
      </c>
      <c r="D79" s="22">
        <f t="shared" si="15"/>
        <v>10</v>
      </c>
      <c r="E79" s="60">
        <f t="shared" si="14"/>
        <v>1</v>
      </c>
      <c r="F79" s="40">
        <v>14</v>
      </c>
      <c r="G79" s="23">
        <v>11</v>
      </c>
      <c r="H79" s="23">
        <f t="shared" si="16"/>
        <v>3</v>
      </c>
      <c r="I79" s="51">
        <f t="shared" si="17"/>
        <v>1</v>
      </c>
      <c r="J79" s="49">
        <v>3</v>
      </c>
      <c r="K79" s="22">
        <v>9</v>
      </c>
      <c r="L79" s="22">
        <f t="shared" si="18"/>
        <v>-6</v>
      </c>
      <c r="M79" s="38">
        <f t="shared" si="19"/>
        <v>1</v>
      </c>
      <c r="N79" s="40">
        <v>77</v>
      </c>
      <c r="O79" s="23">
        <v>72</v>
      </c>
      <c r="P79" s="23">
        <f t="shared" si="20"/>
        <v>5</v>
      </c>
      <c r="Q79" s="61">
        <f t="shared" si="21"/>
        <v>1</v>
      </c>
      <c r="R79" s="59">
        <v>55</v>
      </c>
      <c r="S79" s="22">
        <v>48</v>
      </c>
      <c r="T79" s="22">
        <f t="shared" si="22"/>
        <v>7</v>
      </c>
      <c r="U79" s="38">
        <f t="shared" si="23"/>
        <v>1</v>
      </c>
      <c r="V79" s="40">
        <v>45</v>
      </c>
      <c r="W79" s="23">
        <v>43</v>
      </c>
      <c r="X79" s="23">
        <f t="shared" si="24"/>
        <v>2</v>
      </c>
      <c r="Y79" s="51">
        <f t="shared" si="25"/>
        <v>1</v>
      </c>
      <c r="Z79" s="49">
        <v>38</v>
      </c>
      <c r="AA79" s="22">
        <v>30</v>
      </c>
      <c r="AB79" s="22">
        <f t="shared" si="26"/>
        <v>8</v>
      </c>
      <c r="AC79" s="60">
        <f t="shared" si="27"/>
        <v>1</v>
      </c>
    </row>
    <row r="80" spans="1:29" x14ac:dyDescent="0.2">
      <c r="A80" s="56">
        <v>2012</v>
      </c>
      <c r="B80" s="59">
        <v>69</v>
      </c>
      <c r="C80" s="22">
        <v>56</v>
      </c>
      <c r="D80" s="22">
        <f t="shared" si="15"/>
        <v>13</v>
      </c>
      <c r="E80" s="60">
        <f t="shared" si="14"/>
        <v>1</v>
      </c>
      <c r="F80" s="40">
        <v>12</v>
      </c>
      <c r="G80" s="23">
        <v>16</v>
      </c>
      <c r="H80" s="23">
        <f t="shared" si="16"/>
        <v>-4</v>
      </c>
      <c r="I80" s="51">
        <f t="shared" si="17"/>
        <v>0</v>
      </c>
      <c r="J80" s="49">
        <v>3</v>
      </c>
      <c r="K80" s="22">
        <v>1</v>
      </c>
      <c r="L80" s="22">
        <f t="shared" si="18"/>
        <v>2</v>
      </c>
      <c r="M80" s="38">
        <f t="shared" si="19"/>
        <v>0</v>
      </c>
      <c r="N80" s="40">
        <v>76</v>
      </c>
      <c r="O80" s="23">
        <v>69</v>
      </c>
      <c r="P80" s="23">
        <f t="shared" si="20"/>
        <v>7</v>
      </c>
      <c r="Q80" s="61">
        <f t="shared" si="21"/>
        <v>1</v>
      </c>
      <c r="R80" s="59">
        <v>49</v>
      </c>
      <c r="S80" s="22">
        <v>48</v>
      </c>
      <c r="T80" s="22">
        <f t="shared" si="22"/>
        <v>1</v>
      </c>
      <c r="U80" s="38">
        <f t="shared" si="23"/>
        <v>1</v>
      </c>
      <c r="V80" s="40">
        <v>33</v>
      </c>
      <c r="W80" s="23">
        <v>29</v>
      </c>
      <c r="X80" s="23">
        <f t="shared" si="24"/>
        <v>4</v>
      </c>
      <c r="Y80" s="51">
        <f t="shared" si="25"/>
        <v>1</v>
      </c>
      <c r="Z80" s="49">
        <v>40</v>
      </c>
      <c r="AA80" s="22">
        <v>33</v>
      </c>
      <c r="AB80" s="22">
        <f t="shared" si="26"/>
        <v>7</v>
      </c>
      <c r="AC80" s="60">
        <f t="shared" si="27"/>
        <v>1</v>
      </c>
    </row>
    <row r="81" spans="1:29" x14ac:dyDescent="0.2">
      <c r="A81" s="58" t="s">
        <v>178</v>
      </c>
      <c r="B81" s="59">
        <v>64</v>
      </c>
      <c r="C81" s="22">
        <v>63</v>
      </c>
      <c r="D81" s="22">
        <f t="shared" si="15"/>
        <v>1</v>
      </c>
      <c r="E81" s="60">
        <f t="shared" si="14"/>
        <v>1</v>
      </c>
      <c r="F81" s="40">
        <v>12</v>
      </c>
      <c r="G81" s="23">
        <v>9</v>
      </c>
      <c r="H81" s="23">
        <f t="shared" si="16"/>
        <v>3</v>
      </c>
      <c r="I81" s="51">
        <f t="shared" si="17"/>
        <v>1</v>
      </c>
      <c r="J81" s="49">
        <v>0</v>
      </c>
      <c r="K81" s="22">
        <v>2</v>
      </c>
      <c r="L81" s="22">
        <f t="shared" si="18"/>
        <v>-2</v>
      </c>
      <c r="M81" s="38">
        <f t="shared" si="19"/>
        <v>1</v>
      </c>
      <c r="N81" s="40">
        <v>75</v>
      </c>
      <c r="O81" s="23">
        <v>71</v>
      </c>
      <c r="P81" s="23">
        <f t="shared" si="20"/>
        <v>4</v>
      </c>
      <c r="Q81" s="61">
        <f t="shared" si="21"/>
        <v>1</v>
      </c>
      <c r="R81" s="59">
        <v>72</v>
      </c>
      <c r="S81" s="22">
        <v>57</v>
      </c>
      <c r="T81" s="22">
        <f t="shared" si="22"/>
        <v>15</v>
      </c>
      <c r="U81" s="38">
        <f t="shared" si="23"/>
        <v>1</v>
      </c>
      <c r="V81" s="40">
        <v>27</v>
      </c>
      <c r="W81" s="23">
        <v>33</v>
      </c>
      <c r="X81" s="23">
        <f t="shared" si="24"/>
        <v>-6</v>
      </c>
      <c r="Y81" s="51">
        <f t="shared" si="25"/>
        <v>0</v>
      </c>
      <c r="Z81" s="49">
        <v>34</v>
      </c>
      <c r="AA81" s="22">
        <v>26</v>
      </c>
      <c r="AB81" s="22">
        <f t="shared" si="26"/>
        <v>8</v>
      </c>
      <c r="AC81" s="60">
        <f t="shared" si="27"/>
        <v>1</v>
      </c>
    </row>
    <row r="82" spans="1:29" x14ac:dyDescent="0.2">
      <c r="A82" s="58" t="s">
        <v>178</v>
      </c>
      <c r="B82" s="59">
        <v>60</v>
      </c>
      <c r="C82" s="22">
        <v>63</v>
      </c>
      <c r="D82" s="22">
        <f t="shared" si="15"/>
        <v>-3</v>
      </c>
      <c r="E82" s="60">
        <f t="shared" si="14"/>
        <v>0</v>
      </c>
      <c r="F82" s="40">
        <v>9</v>
      </c>
      <c r="G82" s="23">
        <v>11</v>
      </c>
      <c r="H82" s="23">
        <f t="shared" si="16"/>
        <v>-2</v>
      </c>
      <c r="I82" s="51">
        <f t="shared" si="17"/>
        <v>0</v>
      </c>
      <c r="J82" s="49">
        <v>2</v>
      </c>
      <c r="K82" s="22">
        <v>2</v>
      </c>
      <c r="L82" s="22">
        <f t="shared" si="18"/>
        <v>0</v>
      </c>
      <c r="M82" s="38">
        <f t="shared" si="19"/>
        <v>1</v>
      </c>
      <c r="N82" s="40">
        <v>75</v>
      </c>
      <c r="O82" s="23">
        <v>75</v>
      </c>
      <c r="P82" s="23">
        <f t="shared" si="20"/>
        <v>0</v>
      </c>
      <c r="Q82" s="61">
        <f t="shared" si="21"/>
        <v>1</v>
      </c>
      <c r="R82" s="59">
        <v>64</v>
      </c>
      <c r="S82" s="22">
        <v>32</v>
      </c>
      <c r="T82" s="22">
        <f t="shared" si="22"/>
        <v>32</v>
      </c>
      <c r="U82" s="38">
        <f t="shared" si="23"/>
        <v>1</v>
      </c>
      <c r="V82" s="40">
        <v>33</v>
      </c>
      <c r="W82" s="23">
        <v>25</v>
      </c>
      <c r="X82" s="23">
        <f t="shared" si="24"/>
        <v>8</v>
      </c>
      <c r="Y82" s="51">
        <f t="shared" si="25"/>
        <v>1</v>
      </c>
      <c r="Z82" s="49">
        <v>41</v>
      </c>
      <c r="AA82" s="22">
        <v>30</v>
      </c>
      <c r="AB82" s="22">
        <f t="shared" si="26"/>
        <v>11</v>
      </c>
      <c r="AC82" s="60">
        <f t="shared" si="27"/>
        <v>1</v>
      </c>
    </row>
    <row r="83" spans="1:29" x14ac:dyDescent="0.2">
      <c r="A83" s="58" t="s">
        <v>179</v>
      </c>
      <c r="B83" s="59">
        <v>65</v>
      </c>
      <c r="C83" s="22">
        <v>57</v>
      </c>
      <c r="D83" s="22">
        <f t="shared" si="15"/>
        <v>8</v>
      </c>
      <c r="E83" s="60">
        <f t="shared" si="14"/>
        <v>1</v>
      </c>
      <c r="F83" s="40">
        <v>7</v>
      </c>
      <c r="G83" s="23">
        <v>2</v>
      </c>
      <c r="H83" s="23">
        <f t="shared" si="16"/>
        <v>5</v>
      </c>
      <c r="I83" s="51">
        <f t="shared" si="17"/>
        <v>1</v>
      </c>
      <c r="J83" s="49">
        <v>3</v>
      </c>
      <c r="K83" s="22">
        <v>1</v>
      </c>
      <c r="L83" s="22">
        <f t="shared" si="18"/>
        <v>2</v>
      </c>
      <c r="M83" s="38">
        <f t="shared" si="19"/>
        <v>0</v>
      </c>
      <c r="N83" s="40">
        <v>76</v>
      </c>
      <c r="O83" s="23">
        <v>61</v>
      </c>
      <c r="P83" s="23">
        <f t="shared" si="20"/>
        <v>15</v>
      </c>
      <c r="Q83" s="61">
        <f t="shared" si="21"/>
        <v>1</v>
      </c>
      <c r="R83" s="59">
        <v>59</v>
      </c>
      <c r="S83" s="22">
        <v>45</v>
      </c>
      <c r="T83" s="22">
        <f t="shared" si="22"/>
        <v>14</v>
      </c>
      <c r="U83" s="38">
        <f t="shared" si="23"/>
        <v>1</v>
      </c>
      <c r="V83" s="40">
        <v>56</v>
      </c>
      <c r="W83" s="23">
        <v>13</v>
      </c>
      <c r="X83" s="23">
        <f t="shared" si="24"/>
        <v>43</v>
      </c>
      <c r="Y83" s="51">
        <f t="shared" si="25"/>
        <v>1</v>
      </c>
      <c r="Z83" s="49">
        <v>45</v>
      </c>
      <c r="AA83" s="22">
        <v>30</v>
      </c>
      <c r="AB83" s="22">
        <f t="shared" si="26"/>
        <v>15</v>
      </c>
      <c r="AC83" s="60">
        <f t="shared" si="27"/>
        <v>1</v>
      </c>
    </row>
    <row r="84" spans="1:29" x14ac:dyDescent="0.2">
      <c r="A84" s="58" t="s">
        <v>179</v>
      </c>
      <c r="B84" s="59">
        <v>62</v>
      </c>
      <c r="C84" s="22">
        <v>65</v>
      </c>
      <c r="D84" s="22">
        <f t="shared" si="15"/>
        <v>-3</v>
      </c>
      <c r="E84" s="60">
        <f t="shared" si="14"/>
        <v>0</v>
      </c>
      <c r="F84" s="40">
        <v>2</v>
      </c>
      <c r="G84" s="23">
        <v>3</v>
      </c>
      <c r="H84" s="23">
        <f t="shared" si="16"/>
        <v>-1</v>
      </c>
      <c r="I84" s="51">
        <f t="shared" si="17"/>
        <v>0</v>
      </c>
      <c r="J84" s="49">
        <v>0</v>
      </c>
      <c r="K84" s="22">
        <v>2</v>
      </c>
      <c r="L84" s="22">
        <f t="shared" si="18"/>
        <v>-2</v>
      </c>
      <c r="M84" s="38">
        <f t="shared" si="19"/>
        <v>1</v>
      </c>
      <c r="N84" s="40">
        <v>88</v>
      </c>
      <c r="O84" s="23">
        <v>51</v>
      </c>
      <c r="P84" s="23">
        <f t="shared" si="20"/>
        <v>37</v>
      </c>
      <c r="Q84" s="61">
        <f t="shared" si="21"/>
        <v>1</v>
      </c>
      <c r="R84" s="59">
        <v>52</v>
      </c>
      <c r="S84" s="22">
        <v>52</v>
      </c>
      <c r="T84" s="22">
        <f t="shared" si="22"/>
        <v>0</v>
      </c>
      <c r="U84" s="38">
        <f t="shared" si="23"/>
        <v>1</v>
      </c>
      <c r="V84" s="40">
        <v>30</v>
      </c>
      <c r="W84" s="23">
        <v>0</v>
      </c>
      <c r="X84" s="23">
        <f t="shared" si="24"/>
        <v>30</v>
      </c>
      <c r="Y84" s="51">
        <f t="shared" si="25"/>
        <v>1</v>
      </c>
      <c r="Z84" s="49">
        <v>49</v>
      </c>
      <c r="AA84" s="22">
        <v>26</v>
      </c>
      <c r="AB84" s="22">
        <f t="shared" si="26"/>
        <v>23</v>
      </c>
      <c r="AC84" s="60">
        <f t="shared" si="27"/>
        <v>1</v>
      </c>
    </row>
    <row r="85" spans="1:29" x14ac:dyDescent="0.2">
      <c r="A85" s="58" t="s">
        <v>179</v>
      </c>
      <c r="B85" s="59">
        <v>61</v>
      </c>
      <c r="C85" s="22">
        <v>68</v>
      </c>
      <c r="D85" s="22">
        <f t="shared" si="15"/>
        <v>-7</v>
      </c>
      <c r="E85" s="60">
        <f t="shared" si="14"/>
        <v>0</v>
      </c>
      <c r="F85" s="40">
        <v>18</v>
      </c>
      <c r="G85" s="23">
        <v>6</v>
      </c>
      <c r="H85" s="23">
        <f t="shared" si="16"/>
        <v>12</v>
      </c>
      <c r="I85" s="51">
        <f t="shared" si="17"/>
        <v>1</v>
      </c>
      <c r="J85" s="49">
        <v>3</v>
      </c>
      <c r="K85" s="22">
        <v>0</v>
      </c>
      <c r="L85" s="22">
        <f t="shared" si="18"/>
        <v>3</v>
      </c>
      <c r="M85" s="38">
        <f t="shared" si="19"/>
        <v>0</v>
      </c>
      <c r="N85" s="40">
        <v>80</v>
      </c>
      <c r="O85" s="23">
        <v>71</v>
      </c>
      <c r="P85" s="23">
        <f t="shared" si="20"/>
        <v>9</v>
      </c>
      <c r="Q85" s="61">
        <f t="shared" si="21"/>
        <v>1</v>
      </c>
      <c r="R85" s="59">
        <v>59</v>
      </c>
      <c r="S85" s="22">
        <v>53</v>
      </c>
      <c r="T85" s="22">
        <f t="shared" si="22"/>
        <v>6</v>
      </c>
      <c r="U85" s="38">
        <f t="shared" si="23"/>
        <v>1</v>
      </c>
      <c r="V85" s="40">
        <v>33</v>
      </c>
      <c r="W85" s="23">
        <v>17</v>
      </c>
      <c r="X85" s="23">
        <f t="shared" si="24"/>
        <v>16</v>
      </c>
      <c r="Y85" s="51">
        <f t="shared" si="25"/>
        <v>1</v>
      </c>
      <c r="Z85" s="49">
        <v>35</v>
      </c>
      <c r="AA85" s="22">
        <v>28</v>
      </c>
      <c r="AB85" s="22">
        <f t="shared" si="26"/>
        <v>7</v>
      </c>
      <c r="AC85" s="60">
        <f t="shared" si="27"/>
        <v>1</v>
      </c>
    </row>
    <row r="86" spans="1:29" s="82" customFormat="1" x14ac:dyDescent="0.2">
      <c r="A86" s="72" t="s">
        <v>179</v>
      </c>
      <c r="B86" s="73">
        <v>63</v>
      </c>
      <c r="C86" s="74">
        <v>63</v>
      </c>
      <c r="D86" s="74">
        <f t="shared" si="15"/>
        <v>0</v>
      </c>
      <c r="E86" s="75">
        <f t="shared" si="14"/>
        <v>1</v>
      </c>
      <c r="F86" s="76">
        <v>17</v>
      </c>
      <c r="G86" s="77">
        <v>10</v>
      </c>
      <c r="H86" s="77">
        <f t="shared" si="16"/>
        <v>7</v>
      </c>
      <c r="I86" s="78">
        <f t="shared" si="17"/>
        <v>1</v>
      </c>
      <c r="J86" s="79">
        <v>0</v>
      </c>
      <c r="K86" s="74">
        <v>4</v>
      </c>
      <c r="L86" s="74">
        <f t="shared" si="18"/>
        <v>-4</v>
      </c>
      <c r="M86" s="80">
        <f t="shared" si="19"/>
        <v>1</v>
      </c>
      <c r="N86" s="76">
        <v>80</v>
      </c>
      <c r="O86" s="77">
        <v>71</v>
      </c>
      <c r="P86" s="77">
        <f t="shared" si="20"/>
        <v>9</v>
      </c>
      <c r="Q86" s="81">
        <f t="shared" si="21"/>
        <v>1</v>
      </c>
      <c r="R86" s="73">
        <v>59</v>
      </c>
      <c r="S86" s="74">
        <v>57</v>
      </c>
      <c r="T86" s="74">
        <f t="shared" si="22"/>
        <v>2</v>
      </c>
      <c r="U86" s="80">
        <f t="shared" si="23"/>
        <v>1</v>
      </c>
      <c r="V86" s="76">
        <v>30</v>
      </c>
      <c r="W86" s="77">
        <v>40</v>
      </c>
      <c r="X86" s="77">
        <f t="shared" si="24"/>
        <v>-10</v>
      </c>
      <c r="Y86" s="78">
        <f t="shared" si="25"/>
        <v>0</v>
      </c>
      <c r="Z86" s="79">
        <v>35</v>
      </c>
      <c r="AA86" s="74">
        <v>28</v>
      </c>
      <c r="AB86" s="74">
        <f t="shared" si="26"/>
        <v>7</v>
      </c>
      <c r="AC86" s="75">
        <f t="shared" si="27"/>
        <v>1</v>
      </c>
    </row>
    <row r="87" spans="1:29" x14ac:dyDescent="0.2">
      <c r="A87" s="62" t="s">
        <v>202</v>
      </c>
      <c r="B87" s="63">
        <v>52</v>
      </c>
      <c r="C87" s="64">
        <v>51</v>
      </c>
      <c r="D87" s="64">
        <f t="shared" si="15"/>
        <v>1</v>
      </c>
      <c r="E87" s="65">
        <f t="shared" ref="E87:E114" si="28">IF(B87&gt;=C87,1,0)</f>
        <v>1</v>
      </c>
      <c r="F87" s="66">
        <v>17</v>
      </c>
      <c r="G87" s="67">
        <v>2</v>
      </c>
      <c r="H87" s="67">
        <f t="shared" si="16"/>
        <v>15</v>
      </c>
      <c r="I87" s="68">
        <f t="shared" si="17"/>
        <v>1</v>
      </c>
      <c r="J87" s="69">
        <v>3</v>
      </c>
      <c r="K87" s="64">
        <v>1</v>
      </c>
      <c r="L87" s="64">
        <f t="shared" si="18"/>
        <v>2</v>
      </c>
      <c r="M87" s="70">
        <f t="shared" si="19"/>
        <v>0</v>
      </c>
      <c r="N87" s="66">
        <v>80</v>
      </c>
      <c r="O87" s="67">
        <v>55</v>
      </c>
      <c r="P87" s="67">
        <f t="shared" si="20"/>
        <v>25</v>
      </c>
      <c r="Q87" s="71">
        <f t="shared" si="21"/>
        <v>1</v>
      </c>
      <c r="R87" s="63">
        <v>61</v>
      </c>
      <c r="S87" s="64">
        <v>59</v>
      </c>
      <c r="T87" s="64">
        <f t="shared" si="22"/>
        <v>2</v>
      </c>
      <c r="U87" s="70">
        <f t="shared" si="23"/>
        <v>1</v>
      </c>
      <c r="V87" s="66">
        <v>45</v>
      </c>
      <c r="W87" s="67">
        <v>11</v>
      </c>
      <c r="X87" s="67">
        <f t="shared" si="24"/>
        <v>34</v>
      </c>
      <c r="Y87" s="68">
        <f t="shared" si="25"/>
        <v>1</v>
      </c>
      <c r="Z87" s="69">
        <v>43</v>
      </c>
      <c r="AA87" s="64">
        <v>29</v>
      </c>
      <c r="AB87" s="64">
        <f t="shared" si="26"/>
        <v>14</v>
      </c>
      <c r="AC87" s="65">
        <f t="shared" si="27"/>
        <v>1</v>
      </c>
    </row>
    <row r="88" spans="1:29" x14ac:dyDescent="0.2">
      <c r="A88" s="58" t="s">
        <v>178</v>
      </c>
      <c r="B88" s="59">
        <v>58</v>
      </c>
      <c r="C88" s="22">
        <v>59</v>
      </c>
      <c r="D88" s="22">
        <f t="shared" si="15"/>
        <v>-1</v>
      </c>
      <c r="E88" s="60">
        <f t="shared" si="28"/>
        <v>0</v>
      </c>
      <c r="F88" s="40">
        <v>5</v>
      </c>
      <c r="G88" s="23">
        <v>13</v>
      </c>
      <c r="H88" s="23">
        <f t="shared" si="16"/>
        <v>-8</v>
      </c>
      <c r="I88" s="51">
        <f t="shared" si="17"/>
        <v>0</v>
      </c>
      <c r="J88" s="49">
        <v>4</v>
      </c>
      <c r="K88" s="22">
        <v>4</v>
      </c>
      <c r="L88" s="22">
        <f t="shared" si="18"/>
        <v>0</v>
      </c>
      <c r="M88" s="38">
        <f t="shared" si="19"/>
        <v>1</v>
      </c>
      <c r="N88" s="40">
        <v>67</v>
      </c>
      <c r="O88" s="23">
        <v>80</v>
      </c>
      <c r="P88" s="23">
        <f t="shared" si="20"/>
        <v>-13</v>
      </c>
      <c r="Q88" s="61">
        <f t="shared" si="21"/>
        <v>0</v>
      </c>
      <c r="R88" s="59">
        <v>50</v>
      </c>
      <c r="S88" s="22">
        <v>30</v>
      </c>
      <c r="T88" s="22">
        <f t="shared" si="22"/>
        <v>20</v>
      </c>
      <c r="U88" s="38">
        <f t="shared" si="23"/>
        <v>1</v>
      </c>
      <c r="V88" s="40">
        <v>71</v>
      </c>
      <c r="W88" s="23">
        <v>31</v>
      </c>
      <c r="X88" s="23">
        <f t="shared" si="24"/>
        <v>40</v>
      </c>
      <c r="Y88" s="51">
        <f t="shared" si="25"/>
        <v>1</v>
      </c>
      <c r="Z88" s="49">
        <v>38</v>
      </c>
      <c r="AA88" s="22">
        <v>40</v>
      </c>
      <c r="AB88" s="22">
        <f t="shared" si="26"/>
        <v>-2</v>
      </c>
      <c r="AC88" s="60">
        <f t="shared" si="27"/>
        <v>0</v>
      </c>
    </row>
    <row r="89" spans="1:29" x14ac:dyDescent="0.2">
      <c r="A89" s="58" t="s">
        <v>178</v>
      </c>
      <c r="B89" s="59">
        <v>56</v>
      </c>
      <c r="C89" s="22">
        <v>61</v>
      </c>
      <c r="D89" s="22">
        <f t="shared" si="15"/>
        <v>-5</v>
      </c>
      <c r="E89" s="60">
        <f t="shared" si="28"/>
        <v>0</v>
      </c>
      <c r="F89" s="40">
        <v>13</v>
      </c>
      <c r="G89" s="23">
        <v>12</v>
      </c>
      <c r="H89" s="23">
        <f t="shared" si="16"/>
        <v>1</v>
      </c>
      <c r="I89" s="51">
        <f t="shared" si="17"/>
        <v>1</v>
      </c>
      <c r="J89" s="49">
        <v>1</v>
      </c>
      <c r="K89" s="22">
        <v>1</v>
      </c>
      <c r="L89" s="22">
        <f t="shared" si="18"/>
        <v>0</v>
      </c>
      <c r="M89" s="38">
        <f t="shared" si="19"/>
        <v>1</v>
      </c>
      <c r="N89" s="40">
        <v>87</v>
      </c>
      <c r="O89" s="23">
        <v>71</v>
      </c>
      <c r="P89" s="23">
        <f t="shared" si="20"/>
        <v>16</v>
      </c>
      <c r="Q89" s="61">
        <f t="shared" si="21"/>
        <v>1</v>
      </c>
      <c r="R89" s="59">
        <v>56</v>
      </c>
      <c r="S89" s="22">
        <v>48</v>
      </c>
      <c r="T89" s="22">
        <f t="shared" si="22"/>
        <v>8</v>
      </c>
      <c r="U89" s="38">
        <f t="shared" si="23"/>
        <v>1</v>
      </c>
      <c r="V89" s="40">
        <v>50</v>
      </c>
      <c r="W89" s="23">
        <v>50</v>
      </c>
      <c r="X89" s="23">
        <f t="shared" si="24"/>
        <v>0</v>
      </c>
      <c r="Y89" s="51">
        <f t="shared" si="25"/>
        <v>1</v>
      </c>
      <c r="Z89" s="49">
        <v>38</v>
      </c>
      <c r="AA89" s="22">
        <v>27</v>
      </c>
      <c r="AB89" s="22">
        <f t="shared" si="26"/>
        <v>11</v>
      </c>
      <c r="AC89" s="60">
        <f t="shared" si="27"/>
        <v>1</v>
      </c>
    </row>
    <row r="90" spans="1:29" x14ac:dyDescent="0.2">
      <c r="A90" s="58" t="s">
        <v>179</v>
      </c>
      <c r="B90" s="59">
        <v>63</v>
      </c>
      <c r="C90" s="22">
        <v>56</v>
      </c>
      <c r="D90" s="22">
        <f t="shared" si="15"/>
        <v>7</v>
      </c>
      <c r="E90" s="60">
        <f t="shared" si="28"/>
        <v>1</v>
      </c>
      <c r="F90" s="40">
        <v>8</v>
      </c>
      <c r="G90" s="23">
        <v>9</v>
      </c>
      <c r="H90" s="23">
        <f t="shared" si="16"/>
        <v>-1</v>
      </c>
      <c r="I90" s="51">
        <f t="shared" si="17"/>
        <v>0</v>
      </c>
      <c r="J90" s="49">
        <v>3</v>
      </c>
      <c r="K90" s="22">
        <v>4</v>
      </c>
      <c r="L90" s="22">
        <f t="shared" si="18"/>
        <v>-1</v>
      </c>
      <c r="M90" s="38">
        <f t="shared" si="19"/>
        <v>1</v>
      </c>
      <c r="N90" s="40">
        <v>67</v>
      </c>
      <c r="O90" s="23">
        <v>65</v>
      </c>
      <c r="P90" s="23">
        <f t="shared" si="20"/>
        <v>2</v>
      </c>
      <c r="Q90" s="61">
        <f t="shared" si="21"/>
        <v>1</v>
      </c>
      <c r="R90" s="59">
        <v>52</v>
      </c>
      <c r="S90" s="22">
        <v>47</v>
      </c>
      <c r="T90" s="22">
        <f t="shared" si="22"/>
        <v>5</v>
      </c>
      <c r="U90" s="38">
        <f t="shared" si="23"/>
        <v>1</v>
      </c>
      <c r="V90" s="40">
        <v>70</v>
      </c>
      <c r="W90" s="23">
        <v>25</v>
      </c>
      <c r="X90" s="23">
        <f t="shared" si="24"/>
        <v>45</v>
      </c>
      <c r="Y90" s="51">
        <f t="shared" si="25"/>
        <v>1</v>
      </c>
      <c r="Z90" s="49">
        <v>43</v>
      </c>
      <c r="AA90" s="22">
        <v>29</v>
      </c>
      <c r="AB90" s="22">
        <f t="shared" si="26"/>
        <v>14</v>
      </c>
      <c r="AC90" s="60">
        <f t="shared" si="27"/>
        <v>1</v>
      </c>
    </row>
    <row r="91" spans="1:29" x14ac:dyDescent="0.2">
      <c r="A91" s="58" t="s">
        <v>179</v>
      </c>
      <c r="B91" s="59">
        <v>57</v>
      </c>
      <c r="C91" s="22">
        <v>62</v>
      </c>
      <c r="D91" s="22">
        <f t="shared" si="15"/>
        <v>-5</v>
      </c>
      <c r="E91" s="60">
        <f t="shared" si="28"/>
        <v>0</v>
      </c>
      <c r="F91" s="40">
        <v>5</v>
      </c>
      <c r="G91" s="23">
        <v>6</v>
      </c>
      <c r="H91" s="23">
        <f t="shared" si="16"/>
        <v>-1</v>
      </c>
      <c r="I91" s="51">
        <f t="shared" si="17"/>
        <v>0</v>
      </c>
      <c r="J91" s="49">
        <v>2</v>
      </c>
      <c r="K91" s="22">
        <v>10</v>
      </c>
      <c r="L91" s="22">
        <f t="shared" si="18"/>
        <v>-8</v>
      </c>
      <c r="M91" s="38">
        <f t="shared" si="19"/>
        <v>1</v>
      </c>
      <c r="N91" s="40">
        <v>76</v>
      </c>
      <c r="O91" s="23">
        <v>65</v>
      </c>
      <c r="P91" s="23">
        <f t="shared" si="20"/>
        <v>11</v>
      </c>
      <c r="Q91" s="61">
        <f t="shared" si="21"/>
        <v>1</v>
      </c>
      <c r="R91" s="59">
        <v>57</v>
      </c>
      <c r="S91" s="22">
        <v>51</v>
      </c>
      <c r="T91" s="22">
        <f t="shared" si="22"/>
        <v>6</v>
      </c>
      <c r="U91" s="38">
        <f t="shared" si="23"/>
        <v>1</v>
      </c>
      <c r="V91" s="40">
        <v>46</v>
      </c>
      <c r="W91" s="23">
        <v>33</v>
      </c>
      <c r="X91" s="23">
        <f t="shared" si="24"/>
        <v>13</v>
      </c>
      <c r="Y91" s="51">
        <f t="shared" si="25"/>
        <v>1</v>
      </c>
      <c r="Z91" s="49">
        <v>40</v>
      </c>
      <c r="AA91" s="22">
        <v>32</v>
      </c>
      <c r="AB91" s="22">
        <f t="shared" si="26"/>
        <v>8</v>
      </c>
      <c r="AC91" s="60">
        <f t="shared" si="27"/>
        <v>1</v>
      </c>
    </row>
    <row r="92" spans="1:29" x14ac:dyDescent="0.2">
      <c r="A92" s="58" t="s">
        <v>179</v>
      </c>
      <c r="B92" s="59">
        <v>59</v>
      </c>
      <c r="C92" s="22">
        <v>56</v>
      </c>
      <c r="D92" s="22">
        <f t="shared" si="15"/>
        <v>3</v>
      </c>
      <c r="E92" s="60">
        <f t="shared" si="28"/>
        <v>1</v>
      </c>
      <c r="F92" s="40">
        <v>3</v>
      </c>
      <c r="G92" s="23">
        <v>18</v>
      </c>
      <c r="H92" s="23">
        <f t="shared" si="16"/>
        <v>-15</v>
      </c>
      <c r="I92" s="51">
        <f t="shared" si="17"/>
        <v>0</v>
      </c>
      <c r="J92" s="49">
        <v>5</v>
      </c>
      <c r="K92" s="22">
        <v>8</v>
      </c>
      <c r="L92" s="22">
        <f t="shared" si="18"/>
        <v>-3</v>
      </c>
      <c r="M92" s="38">
        <f t="shared" si="19"/>
        <v>1</v>
      </c>
      <c r="N92" s="40">
        <v>76</v>
      </c>
      <c r="O92" s="23">
        <v>84</v>
      </c>
      <c r="P92" s="23">
        <f t="shared" si="20"/>
        <v>-8</v>
      </c>
      <c r="Q92" s="61">
        <f t="shared" si="21"/>
        <v>0</v>
      </c>
      <c r="R92" s="59">
        <v>53</v>
      </c>
      <c r="S92" s="22">
        <v>51</v>
      </c>
      <c r="T92" s="22">
        <f t="shared" si="22"/>
        <v>2</v>
      </c>
      <c r="U92" s="38">
        <f t="shared" si="23"/>
        <v>1</v>
      </c>
      <c r="V92" s="40">
        <v>30</v>
      </c>
      <c r="W92" s="23">
        <v>20</v>
      </c>
      <c r="X92" s="23">
        <f t="shared" si="24"/>
        <v>10</v>
      </c>
      <c r="Y92" s="51">
        <f t="shared" si="25"/>
        <v>1</v>
      </c>
      <c r="Z92" s="49">
        <v>31</v>
      </c>
      <c r="AA92" s="22">
        <v>33</v>
      </c>
      <c r="AB92" s="22">
        <f t="shared" si="26"/>
        <v>-2</v>
      </c>
      <c r="AC92" s="60">
        <f t="shared" si="27"/>
        <v>0</v>
      </c>
    </row>
    <row r="93" spans="1:29" x14ac:dyDescent="0.2">
      <c r="A93" s="58" t="s">
        <v>179</v>
      </c>
      <c r="B93" s="59">
        <v>63</v>
      </c>
      <c r="C93" s="22">
        <v>50</v>
      </c>
      <c r="D93" s="22">
        <f t="shared" si="15"/>
        <v>13</v>
      </c>
      <c r="E93" s="60">
        <f t="shared" si="28"/>
        <v>1</v>
      </c>
      <c r="F93" s="40">
        <v>19</v>
      </c>
      <c r="G93" s="23">
        <v>4</v>
      </c>
      <c r="H93" s="23">
        <f t="shared" si="16"/>
        <v>15</v>
      </c>
      <c r="I93" s="51">
        <f t="shared" si="17"/>
        <v>1</v>
      </c>
      <c r="J93" s="49">
        <v>5</v>
      </c>
      <c r="K93" s="22">
        <v>5</v>
      </c>
      <c r="L93" s="22">
        <f t="shared" si="18"/>
        <v>0</v>
      </c>
      <c r="M93" s="38">
        <f t="shared" si="19"/>
        <v>1</v>
      </c>
      <c r="N93" s="40">
        <v>84</v>
      </c>
      <c r="O93" s="23">
        <v>72</v>
      </c>
      <c r="P93" s="23">
        <f t="shared" si="20"/>
        <v>12</v>
      </c>
      <c r="Q93" s="61">
        <f t="shared" si="21"/>
        <v>1</v>
      </c>
      <c r="R93" s="59">
        <v>45</v>
      </c>
      <c r="S93" s="22">
        <v>41</v>
      </c>
      <c r="T93" s="22">
        <f t="shared" si="22"/>
        <v>4</v>
      </c>
      <c r="U93" s="38">
        <f t="shared" si="23"/>
        <v>1</v>
      </c>
      <c r="V93" s="40">
        <v>63</v>
      </c>
      <c r="W93" s="23">
        <v>50</v>
      </c>
      <c r="X93" s="23">
        <f t="shared" si="24"/>
        <v>13</v>
      </c>
      <c r="Y93" s="51">
        <f t="shared" si="25"/>
        <v>1</v>
      </c>
      <c r="Z93" s="49">
        <v>43</v>
      </c>
      <c r="AA93" s="22">
        <v>30</v>
      </c>
      <c r="AB93" s="22">
        <f t="shared" si="26"/>
        <v>13</v>
      </c>
      <c r="AC93" s="60">
        <f t="shared" si="27"/>
        <v>1</v>
      </c>
    </row>
    <row r="94" spans="1:29" x14ac:dyDescent="0.2">
      <c r="A94" s="56">
        <v>2013</v>
      </c>
      <c r="B94" s="59">
        <v>64</v>
      </c>
      <c r="C94" s="22">
        <v>68</v>
      </c>
      <c r="D94" s="22">
        <f t="shared" si="15"/>
        <v>-4</v>
      </c>
      <c r="E94" s="60">
        <f t="shared" si="28"/>
        <v>0</v>
      </c>
      <c r="F94" s="40">
        <v>1</v>
      </c>
      <c r="G94" s="23">
        <v>6</v>
      </c>
      <c r="H94" s="23">
        <f t="shared" si="16"/>
        <v>-5</v>
      </c>
      <c r="I94" s="51">
        <f t="shared" si="17"/>
        <v>0</v>
      </c>
      <c r="J94" s="49">
        <v>1</v>
      </c>
      <c r="K94" s="22">
        <v>2</v>
      </c>
      <c r="L94" s="22">
        <f t="shared" si="18"/>
        <v>-1</v>
      </c>
      <c r="M94" s="38">
        <f t="shared" si="19"/>
        <v>1</v>
      </c>
      <c r="N94" s="40">
        <v>65</v>
      </c>
      <c r="O94" s="23">
        <v>58</v>
      </c>
      <c r="P94" s="23">
        <f t="shared" si="20"/>
        <v>7</v>
      </c>
      <c r="Q94" s="61">
        <f t="shared" si="21"/>
        <v>1</v>
      </c>
      <c r="R94" s="59">
        <v>56</v>
      </c>
      <c r="S94" s="22">
        <v>48</v>
      </c>
      <c r="T94" s="22">
        <f t="shared" si="22"/>
        <v>8</v>
      </c>
      <c r="U94" s="38">
        <f t="shared" si="23"/>
        <v>1</v>
      </c>
      <c r="V94" s="40">
        <v>58</v>
      </c>
      <c r="W94" s="23">
        <v>27</v>
      </c>
      <c r="X94" s="23">
        <f t="shared" si="24"/>
        <v>31</v>
      </c>
      <c r="Y94" s="51">
        <f t="shared" si="25"/>
        <v>1</v>
      </c>
      <c r="Z94" s="49">
        <v>45</v>
      </c>
      <c r="AA94" s="22">
        <v>38</v>
      </c>
      <c r="AB94" s="22">
        <f t="shared" si="26"/>
        <v>7</v>
      </c>
      <c r="AC94" s="60">
        <f t="shared" si="27"/>
        <v>1</v>
      </c>
    </row>
    <row r="95" spans="1:29" x14ac:dyDescent="0.2">
      <c r="A95" s="58" t="s">
        <v>178</v>
      </c>
      <c r="B95" s="59">
        <v>67</v>
      </c>
      <c r="C95" s="22">
        <v>50</v>
      </c>
      <c r="D95" s="22">
        <f t="shared" si="15"/>
        <v>17</v>
      </c>
      <c r="E95" s="60">
        <f t="shared" si="28"/>
        <v>1</v>
      </c>
      <c r="F95" s="40">
        <v>9</v>
      </c>
      <c r="G95" s="23">
        <v>8</v>
      </c>
      <c r="H95" s="23">
        <f t="shared" si="16"/>
        <v>1</v>
      </c>
      <c r="I95" s="51">
        <f t="shared" si="17"/>
        <v>1</v>
      </c>
      <c r="J95" s="49">
        <v>6</v>
      </c>
      <c r="K95" s="22">
        <v>7</v>
      </c>
      <c r="L95" s="22">
        <f t="shared" si="18"/>
        <v>-1</v>
      </c>
      <c r="M95" s="38">
        <f t="shared" si="19"/>
        <v>1</v>
      </c>
      <c r="N95" s="40">
        <v>69</v>
      </c>
      <c r="O95" s="23">
        <v>71</v>
      </c>
      <c r="P95" s="23">
        <f t="shared" si="20"/>
        <v>-2</v>
      </c>
      <c r="Q95" s="61">
        <f t="shared" si="21"/>
        <v>0</v>
      </c>
      <c r="R95" s="59">
        <v>56</v>
      </c>
      <c r="S95" s="22">
        <v>50</v>
      </c>
      <c r="T95" s="22">
        <f t="shared" si="22"/>
        <v>6</v>
      </c>
      <c r="U95" s="38">
        <f t="shared" si="23"/>
        <v>1</v>
      </c>
      <c r="V95" s="40">
        <v>21</v>
      </c>
      <c r="W95" s="23">
        <v>56</v>
      </c>
      <c r="X95" s="23">
        <f t="shared" si="24"/>
        <v>-35</v>
      </c>
      <c r="Y95" s="51">
        <f t="shared" si="25"/>
        <v>0</v>
      </c>
      <c r="Z95" s="49">
        <v>40</v>
      </c>
      <c r="AA95" s="22">
        <v>36</v>
      </c>
      <c r="AB95" s="22">
        <f t="shared" si="26"/>
        <v>4</v>
      </c>
      <c r="AC95" s="60">
        <f t="shared" si="27"/>
        <v>1</v>
      </c>
    </row>
    <row r="96" spans="1:29" x14ac:dyDescent="0.2">
      <c r="A96" s="58" t="s">
        <v>178</v>
      </c>
      <c r="B96" s="59">
        <v>71</v>
      </c>
      <c r="C96" s="22">
        <v>64</v>
      </c>
      <c r="D96" s="22">
        <f t="shared" si="15"/>
        <v>7</v>
      </c>
      <c r="E96" s="60">
        <f t="shared" si="28"/>
        <v>1</v>
      </c>
      <c r="F96" s="40">
        <v>3</v>
      </c>
      <c r="G96" s="23">
        <v>6</v>
      </c>
      <c r="H96" s="23">
        <f t="shared" si="16"/>
        <v>-3</v>
      </c>
      <c r="I96" s="51">
        <f t="shared" si="17"/>
        <v>0</v>
      </c>
      <c r="J96" s="49">
        <v>1</v>
      </c>
      <c r="K96" s="22">
        <v>4</v>
      </c>
      <c r="L96" s="22">
        <f t="shared" si="18"/>
        <v>-3</v>
      </c>
      <c r="M96" s="38">
        <f t="shared" si="19"/>
        <v>1</v>
      </c>
      <c r="N96" s="40">
        <v>76</v>
      </c>
      <c r="O96" s="23">
        <v>71</v>
      </c>
      <c r="P96" s="23">
        <f t="shared" si="20"/>
        <v>5</v>
      </c>
      <c r="Q96" s="61">
        <f t="shared" si="21"/>
        <v>1</v>
      </c>
      <c r="R96" s="59">
        <v>57</v>
      </c>
      <c r="S96" s="22">
        <v>45</v>
      </c>
      <c r="T96" s="22">
        <f t="shared" si="22"/>
        <v>12</v>
      </c>
      <c r="U96" s="38">
        <f t="shared" si="23"/>
        <v>1</v>
      </c>
      <c r="V96" s="40">
        <v>100</v>
      </c>
      <c r="W96" s="23">
        <v>17</v>
      </c>
      <c r="X96" s="23">
        <f t="shared" si="24"/>
        <v>83</v>
      </c>
      <c r="Y96" s="51">
        <f t="shared" si="25"/>
        <v>1</v>
      </c>
      <c r="Z96" s="49">
        <v>38</v>
      </c>
      <c r="AA96" s="22">
        <v>29</v>
      </c>
      <c r="AB96" s="22">
        <f t="shared" si="26"/>
        <v>9</v>
      </c>
      <c r="AC96" s="60">
        <f t="shared" si="27"/>
        <v>1</v>
      </c>
    </row>
    <row r="97" spans="1:29" x14ac:dyDescent="0.2">
      <c r="A97" s="58" t="s">
        <v>179</v>
      </c>
      <c r="B97" s="59">
        <v>68</v>
      </c>
      <c r="C97" s="22">
        <v>56</v>
      </c>
      <c r="D97" s="22">
        <f t="shared" si="15"/>
        <v>12</v>
      </c>
      <c r="E97" s="60">
        <f t="shared" si="28"/>
        <v>1</v>
      </c>
      <c r="F97" s="40">
        <v>5</v>
      </c>
      <c r="G97" s="23">
        <v>2</v>
      </c>
      <c r="H97" s="23">
        <f t="shared" si="16"/>
        <v>3</v>
      </c>
      <c r="I97" s="51">
        <f t="shared" si="17"/>
        <v>1</v>
      </c>
      <c r="J97" s="49">
        <v>1</v>
      </c>
      <c r="K97" s="22">
        <v>4</v>
      </c>
      <c r="L97" s="22">
        <f t="shared" si="18"/>
        <v>-3</v>
      </c>
      <c r="M97" s="38">
        <f t="shared" si="19"/>
        <v>1</v>
      </c>
      <c r="N97" s="40">
        <v>70</v>
      </c>
      <c r="O97" s="23">
        <v>53</v>
      </c>
      <c r="P97" s="23">
        <f t="shared" si="20"/>
        <v>17</v>
      </c>
      <c r="Q97" s="61">
        <f t="shared" si="21"/>
        <v>1</v>
      </c>
      <c r="R97" s="59">
        <v>58</v>
      </c>
      <c r="S97" s="22">
        <v>52</v>
      </c>
      <c r="T97" s="22">
        <f t="shared" si="22"/>
        <v>6</v>
      </c>
      <c r="U97" s="38">
        <f t="shared" si="23"/>
        <v>1</v>
      </c>
      <c r="V97" s="40">
        <v>58</v>
      </c>
      <c r="W97" s="23">
        <v>20</v>
      </c>
      <c r="X97" s="23">
        <f t="shared" si="24"/>
        <v>38</v>
      </c>
      <c r="Y97" s="51">
        <f t="shared" si="25"/>
        <v>1</v>
      </c>
      <c r="Z97" s="49">
        <v>47</v>
      </c>
      <c r="AA97" s="22">
        <v>34</v>
      </c>
      <c r="AB97" s="22">
        <f t="shared" si="26"/>
        <v>13</v>
      </c>
      <c r="AC97" s="60">
        <f t="shared" si="27"/>
        <v>1</v>
      </c>
    </row>
    <row r="98" spans="1:29" x14ac:dyDescent="0.2">
      <c r="A98" s="58" t="s">
        <v>179</v>
      </c>
      <c r="B98" s="59">
        <v>61</v>
      </c>
      <c r="C98" s="22">
        <v>52</v>
      </c>
      <c r="D98" s="22">
        <f t="shared" si="15"/>
        <v>9</v>
      </c>
      <c r="E98" s="60">
        <f t="shared" si="28"/>
        <v>1</v>
      </c>
      <c r="F98" s="40">
        <v>2</v>
      </c>
      <c r="G98" s="23">
        <v>3</v>
      </c>
      <c r="H98" s="23">
        <f t="shared" si="16"/>
        <v>-1</v>
      </c>
      <c r="I98" s="51">
        <f t="shared" si="17"/>
        <v>0</v>
      </c>
      <c r="J98" s="49">
        <v>0</v>
      </c>
      <c r="K98" s="22">
        <v>4</v>
      </c>
      <c r="L98" s="22">
        <f t="shared" si="18"/>
        <v>-4</v>
      </c>
      <c r="M98" s="38">
        <f t="shared" si="19"/>
        <v>1</v>
      </c>
      <c r="N98" s="40">
        <v>86</v>
      </c>
      <c r="O98" s="23">
        <v>59</v>
      </c>
      <c r="P98" s="23">
        <f t="shared" si="20"/>
        <v>27</v>
      </c>
      <c r="Q98" s="61">
        <f t="shared" si="21"/>
        <v>1</v>
      </c>
      <c r="R98" s="59">
        <v>61</v>
      </c>
      <c r="S98" s="22">
        <v>28</v>
      </c>
      <c r="T98" s="22">
        <f t="shared" si="22"/>
        <v>33</v>
      </c>
      <c r="U98" s="38">
        <f t="shared" si="23"/>
        <v>1</v>
      </c>
      <c r="V98" s="40">
        <v>70</v>
      </c>
      <c r="W98" s="23">
        <v>0</v>
      </c>
      <c r="X98" s="23">
        <f t="shared" si="24"/>
        <v>70</v>
      </c>
      <c r="Y98" s="51">
        <f t="shared" si="25"/>
        <v>1</v>
      </c>
      <c r="Z98" s="49">
        <v>56</v>
      </c>
      <c r="AA98" s="22">
        <v>34</v>
      </c>
      <c r="AB98" s="22">
        <f t="shared" si="26"/>
        <v>22</v>
      </c>
      <c r="AC98" s="60">
        <f t="shared" si="27"/>
        <v>1</v>
      </c>
    </row>
    <row r="99" spans="1:29" x14ac:dyDescent="0.2">
      <c r="A99" s="58" t="s">
        <v>179</v>
      </c>
      <c r="B99" s="59">
        <v>55</v>
      </c>
      <c r="C99" s="22">
        <v>63</v>
      </c>
      <c r="D99" s="22">
        <f t="shared" si="15"/>
        <v>-8</v>
      </c>
      <c r="E99" s="60">
        <f t="shared" si="28"/>
        <v>0</v>
      </c>
      <c r="F99" s="40">
        <v>4</v>
      </c>
      <c r="G99" s="23">
        <v>5</v>
      </c>
      <c r="H99" s="23">
        <f t="shared" si="16"/>
        <v>-1</v>
      </c>
      <c r="I99" s="51">
        <f t="shared" si="17"/>
        <v>0</v>
      </c>
      <c r="J99" s="49">
        <v>4</v>
      </c>
      <c r="K99" s="22">
        <v>4</v>
      </c>
      <c r="L99" s="22">
        <f t="shared" si="18"/>
        <v>0</v>
      </c>
      <c r="M99" s="38">
        <f t="shared" si="19"/>
        <v>1</v>
      </c>
      <c r="N99" s="40">
        <v>88</v>
      </c>
      <c r="O99" s="23">
        <v>54</v>
      </c>
      <c r="P99" s="23">
        <f t="shared" si="20"/>
        <v>34</v>
      </c>
      <c r="Q99" s="61">
        <f t="shared" si="21"/>
        <v>1</v>
      </c>
      <c r="R99" s="59">
        <v>59</v>
      </c>
      <c r="S99" s="22">
        <v>55</v>
      </c>
      <c r="T99" s="22">
        <f t="shared" si="22"/>
        <v>4</v>
      </c>
      <c r="U99" s="38">
        <f t="shared" si="23"/>
        <v>1</v>
      </c>
      <c r="V99" s="40">
        <v>36</v>
      </c>
      <c r="W99" s="23">
        <v>0</v>
      </c>
      <c r="X99" s="23">
        <f t="shared" si="24"/>
        <v>36</v>
      </c>
      <c r="Y99" s="51">
        <f t="shared" si="25"/>
        <v>1</v>
      </c>
      <c r="Z99" s="49">
        <v>46</v>
      </c>
      <c r="AA99" s="22">
        <v>25</v>
      </c>
      <c r="AB99" s="22">
        <f t="shared" si="26"/>
        <v>21</v>
      </c>
      <c r="AC99" s="60">
        <f t="shared" si="27"/>
        <v>1</v>
      </c>
    </row>
    <row r="100" spans="1:29" x14ac:dyDescent="0.2">
      <c r="A100" s="58" t="s">
        <v>179</v>
      </c>
      <c r="B100" s="59">
        <v>59</v>
      </c>
      <c r="C100" s="22">
        <v>63</v>
      </c>
      <c r="D100" s="22">
        <f t="shared" si="15"/>
        <v>-4</v>
      </c>
      <c r="E100" s="60">
        <f t="shared" si="28"/>
        <v>0</v>
      </c>
      <c r="F100" s="40">
        <v>6</v>
      </c>
      <c r="G100" s="23">
        <v>5</v>
      </c>
      <c r="H100" s="23">
        <f t="shared" si="16"/>
        <v>1</v>
      </c>
      <c r="I100" s="51">
        <f t="shared" si="17"/>
        <v>1</v>
      </c>
      <c r="J100" s="49">
        <v>3</v>
      </c>
      <c r="K100" s="22">
        <v>3</v>
      </c>
      <c r="L100" s="22">
        <f t="shared" si="18"/>
        <v>0</v>
      </c>
      <c r="M100" s="38">
        <f t="shared" si="19"/>
        <v>1</v>
      </c>
      <c r="N100" s="40">
        <v>68</v>
      </c>
      <c r="O100" s="23">
        <v>62</v>
      </c>
      <c r="P100" s="23">
        <f t="shared" si="20"/>
        <v>6</v>
      </c>
      <c r="Q100" s="61">
        <f t="shared" si="21"/>
        <v>1</v>
      </c>
      <c r="R100" s="59">
        <v>53</v>
      </c>
      <c r="S100" s="22">
        <v>58</v>
      </c>
      <c r="T100" s="22">
        <f t="shared" si="22"/>
        <v>-5</v>
      </c>
      <c r="U100" s="38">
        <f t="shared" si="23"/>
        <v>0</v>
      </c>
      <c r="V100" s="40">
        <v>43</v>
      </c>
      <c r="W100" s="23">
        <v>27</v>
      </c>
      <c r="X100" s="23">
        <f t="shared" si="24"/>
        <v>16</v>
      </c>
      <c r="Y100" s="51">
        <f t="shared" si="25"/>
        <v>1</v>
      </c>
      <c r="Z100" s="49">
        <v>40</v>
      </c>
      <c r="AA100" s="22">
        <v>38</v>
      </c>
      <c r="AB100" s="22">
        <f t="shared" si="26"/>
        <v>2</v>
      </c>
      <c r="AC100" s="60">
        <f t="shared" si="27"/>
        <v>1</v>
      </c>
    </row>
    <row r="101" spans="1:29" x14ac:dyDescent="0.2">
      <c r="A101" s="56">
        <v>2012</v>
      </c>
      <c r="B101" s="59">
        <v>65</v>
      </c>
      <c r="C101" s="22">
        <v>62</v>
      </c>
      <c r="D101" s="22">
        <f t="shared" si="15"/>
        <v>3</v>
      </c>
      <c r="E101" s="60">
        <f t="shared" si="28"/>
        <v>1</v>
      </c>
      <c r="F101" s="40">
        <v>5</v>
      </c>
      <c r="G101" s="23">
        <v>7</v>
      </c>
      <c r="H101" s="23">
        <f t="shared" si="16"/>
        <v>-2</v>
      </c>
      <c r="I101" s="51">
        <f t="shared" si="17"/>
        <v>0</v>
      </c>
      <c r="J101" s="49">
        <v>4</v>
      </c>
      <c r="K101" s="22">
        <v>5</v>
      </c>
      <c r="L101" s="22">
        <f t="shared" si="18"/>
        <v>-1</v>
      </c>
      <c r="M101" s="38">
        <f t="shared" si="19"/>
        <v>1</v>
      </c>
      <c r="N101" s="40">
        <v>62</v>
      </c>
      <c r="O101" s="23">
        <v>63</v>
      </c>
      <c r="P101" s="23">
        <f t="shared" si="20"/>
        <v>-1</v>
      </c>
      <c r="Q101" s="61">
        <f t="shared" si="21"/>
        <v>0</v>
      </c>
      <c r="R101" s="59">
        <v>48</v>
      </c>
      <c r="S101" s="22">
        <v>42</v>
      </c>
      <c r="T101" s="22">
        <f t="shared" si="22"/>
        <v>6</v>
      </c>
      <c r="U101" s="38">
        <f t="shared" si="23"/>
        <v>1</v>
      </c>
      <c r="V101" s="40">
        <v>47</v>
      </c>
      <c r="W101" s="23">
        <v>50</v>
      </c>
      <c r="X101" s="23">
        <f t="shared" si="24"/>
        <v>-3</v>
      </c>
      <c r="Y101" s="51">
        <f t="shared" si="25"/>
        <v>0</v>
      </c>
      <c r="Z101" s="49">
        <v>44</v>
      </c>
      <c r="AA101" s="22">
        <v>42</v>
      </c>
      <c r="AB101" s="22">
        <f t="shared" si="26"/>
        <v>2</v>
      </c>
      <c r="AC101" s="60">
        <f t="shared" si="27"/>
        <v>1</v>
      </c>
    </row>
    <row r="102" spans="1:29" x14ac:dyDescent="0.2">
      <c r="A102" s="58" t="s">
        <v>178</v>
      </c>
      <c r="B102" s="59">
        <v>59</v>
      </c>
      <c r="C102" s="22">
        <v>60</v>
      </c>
      <c r="D102" s="22">
        <f t="shared" si="15"/>
        <v>-1</v>
      </c>
      <c r="E102" s="60">
        <f t="shared" si="28"/>
        <v>0</v>
      </c>
      <c r="F102" s="40">
        <v>7</v>
      </c>
      <c r="G102" s="23">
        <v>1</v>
      </c>
      <c r="H102" s="23">
        <f t="shared" si="16"/>
        <v>6</v>
      </c>
      <c r="I102" s="51">
        <f t="shared" si="17"/>
        <v>1</v>
      </c>
      <c r="J102" s="49">
        <v>1</v>
      </c>
      <c r="K102" s="22">
        <v>3</v>
      </c>
      <c r="L102" s="22">
        <f t="shared" si="18"/>
        <v>-2</v>
      </c>
      <c r="M102" s="38">
        <f t="shared" si="19"/>
        <v>1</v>
      </c>
      <c r="N102" s="40">
        <v>72</v>
      </c>
      <c r="O102" s="23">
        <v>64</v>
      </c>
      <c r="P102" s="23">
        <f t="shared" si="20"/>
        <v>8</v>
      </c>
      <c r="Q102" s="61">
        <f t="shared" si="21"/>
        <v>1</v>
      </c>
      <c r="R102" s="59">
        <v>59</v>
      </c>
      <c r="S102" s="22">
        <v>46</v>
      </c>
      <c r="T102" s="22">
        <f t="shared" si="22"/>
        <v>13</v>
      </c>
      <c r="U102" s="38">
        <f t="shared" si="23"/>
        <v>1</v>
      </c>
      <c r="V102" s="40">
        <v>67</v>
      </c>
      <c r="W102" s="23">
        <v>43</v>
      </c>
      <c r="X102" s="23">
        <f t="shared" si="24"/>
        <v>24</v>
      </c>
      <c r="Y102" s="51">
        <f t="shared" si="25"/>
        <v>1</v>
      </c>
      <c r="Z102" s="49">
        <v>42</v>
      </c>
      <c r="AA102" s="22">
        <v>33</v>
      </c>
      <c r="AB102" s="22">
        <f t="shared" si="26"/>
        <v>9</v>
      </c>
      <c r="AC102" s="60">
        <f t="shared" si="27"/>
        <v>1</v>
      </c>
    </row>
    <row r="103" spans="1:29" x14ac:dyDescent="0.2">
      <c r="A103" s="58" t="s">
        <v>178</v>
      </c>
      <c r="B103" s="59">
        <v>74</v>
      </c>
      <c r="C103" s="22">
        <v>62</v>
      </c>
      <c r="D103" s="22">
        <f t="shared" si="15"/>
        <v>12</v>
      </c>
      <c r="E103" s="60">
        <f t="shared" si="28"/>
        <v>1</v>
      </c>
      <c r="F103" s="40">
        <v>5</v>
      </c>
      <c r="G103" s="23">
        <v>7</v>
      </c>
      <c r="H103" s="23">
        <f t="shared" si="16"/>
        <v>-2</v>
      </c>
      <c r="I103" s="51">
        <f t="shared" si="17"/>
        <v>0</v>
      </c>
      <c r="J103" s="49">
        <v>3</v>
      </c>
      <c r="K103" s="22">
        <v>6</v>
      </c>
      <c r="L103" s="22">
        <f t="shared" si="18"/>
        <v>-3</v>
      </c>
      <c r="M103" s="38">
        <f t="shared" si="19"/>
        <v>1</v>
      </c>
      <c r="N103" s="40">
        <v>73</v>
      </c>
      <c r="O103" s="23">
        <v>60</v>
      </c>
      <c r="P103" s="23">
        <f t="shared" si="20"/>
        <v>13</v>
      </c>
      <c r="Q103" s="61">
        <f t="shared" si="21"/>
        <v>1</v>
      </c>
      <c r="R103" s="59">
        <v>57</v>
      </c>
      <c r="S103" s="22">
        <v>48</v>
      </c>
      <c r="T103" s="22">
        <f t="shared" si="22"/>
        <v>9</v>
      </c>
      <c r="U103" s="38">
        <f t="shared" si="23"/>
        <v>1</v>
      </c>
      <c r="V103" s="40">
        <v>32</v>
      </c>
      <c r="W103" s="23">
        <v>50</v>
      </c>
      <c r="X103" s="23">
        <f t="shared" si="24"/>
        <v>-18</v>
      </c>
      <c r="Y103" s="51">
        <f t="shared" si="25"/>
        <v>0</v>
      </c>
      <c r="Z103" s="49">
        <v>43</v>
      </c>
      <c r="AA103" s="22">
        <v>31</v>
      </c>
      <c r="AB103" s="22">
        <f t="shared" si="26"/>
        <v>12</v>
      </c>
      <c r="AC103" s="60">
        <f t="shared" si="27"/>
        <v>1</v>
      </c>
    </row>
    <row r="104" spans="1:29" x14ac:dyDescent="0.2">
      <c r="A104" s="58" t="s">
        <v>179</v>
      </c>
      <c r="B104" s="59">
        <v>59</v>
      </c>
      <c r="C104" s="22">
        <v>63</v>
      </c>
      <c r="D104" s="22">
        <f t="shared" si="15"/>
        <v>-4</v>
      </c>
      <c r="E104" s="60">
        <f t="shared" si="28"/>
        <v>0</v>
      </c>
      <c r="F104" s="40">
        <v>14</v>
      </c>
      <c r="G104" s="23">
        <v>7</v>
      </c>
      <c r="H104" s="23">
        <f t="shared" si="16"/>
        <v>7</v>
      </c>
      <c r="I104" s="51">
        <f t="shared" si="17"/>
        <v>1</v>
      </c>
      <c r="J104" s="49">
        <v>3</v>
      </c>
      <c r="K104" s="22">
        <v>3</v>
      </c>
      <c r="L104" s="22">
        <f t="shared" si="18"/>
        <v>0</v>
      </c>
      <c r="M104" s="38">
        <f t="shared" si="19"/>
        <v>1</v>
      </c>
      <c r="N104" s="40">
        <v>80</v>
      </c>
      <c r="O104" s="23">
        <v>71</v>
      </c>
      <c r="P104" s="23">
        <f t="shared" si="20"/>
        <v>9</v>
      </c>
      <c r="Q104" s="61">
        <f t="shared" si="21"/>
        <v>1</v>
      </c>
      <c r="R104" s="59">
        <v>51</v>
      </c>
      <c r="S104" s="22">
        <v>45</v>
      </c>
      <c r="T104" s="22">
        <f t="shared" si="22"/>
        <v>6</v>
      </c>
      <c r="U104" s="38">
        <f t="shared" si="23"/>
        <v>1</v>
      </c>
      <c r="V104" s="40">
        <v>45</v>
      </c>
      <c r="W104" s="23">
        <v>67</v>
      </c>
      <c r="X104" s="23">
        <f t="shared" si="24"/>
        <v>-22</v>
      </c>
      <c r="Y104" s="51">
        <f t="shared" si="25"/>
        <v>0</v>
      </c>
      <c r="Z104" s="49">
        <v>37</v>
      </c>
      <c r="AA104" s="22">
        <v>31</v>
      </c>
      <c r="AB104" s="22">
        <f t="shared" si="26"/>
        <v>6</v>
      </c>
      <c r="AC104" s="60">
        <f t="shared" si="27"/>
        <v>1</v>
      </c>
    </row>
    <row r="105" spans="1:29" x14ac:dyDescent="0.2">
      <c r="A105" s="58" t="s">
        <v>179</v>
      </c>
      <c r="B105" s="59">
        <v>57</v>
      </c>
      <c r="C105" s="22">
        <v>66</v>
      </c>
      <c r="D105" s="22">
        <f t="shared" si="15"/>
        <v>-9</v>
      </c>
      <c r="E105" s="60">
        <f t="shared" si="28"/>
        <v>0</v>
      </c>
      <c r="F105" s="40">
        <v>7</v>
      </c>
      <c r="G105" s="23">
        <v>8</v>
      </c>
      <c r="H105" s="23">
        <f t="shared" si="16"/>
        <v>-1</v>
      </c>
      <c r="I105" s="51">
        <f t="shared" si="17"/>
        <v>0</v>
      </c>
      <c r="J105" s="49">
        <v>2</v>
      </c>
      <c r="K105" s="22">
        <v>3</v>
      </c>
      <c r="L105" s="22">
        <f t="shared" si="18"/>
        <v>-1</v>
      </c>
      <c r="M105" s="38">
        <f t="shared" si="19"/>
        <v>1</v>
      </c>
      <c r="N105" s="40">
        <v>84</v>
      </c>
      <c r="O105" s="23">
        <v>65</v>
      </c>
      <c r="P105" s="23">
        <f t="shared" si="20"/>
        <v>19</v>
      </c>
      <c r="Q105" s="61">
        <f t="shared" si="21"/>
        <v>1</v>
      </c>
      <c r="R105" s="59">
        <v>55</v>
      </c>
      <c r="S105" s="22">
        <v>45</v>
      </c>
      <c r="T105" s="22">
        <f t="shared" si="22"/>
        <v>10</v>
      </c>
      <c r="U105" s="38">
        <f t="shared" si="23"/>
        <v>1</v>
      </c>
      <c r="V105" s="40">
        <v>31</v>
      </c>
      <c r="W105" s="23">
        <v>33</v>
      </c>
      <c r="X105" s="23">
        <f t="shared" si="24"/>
        <v>-2</v>
      </c>
      <c r="Y105" s="51">
        <f t="shared" si="25"/>
        <v>0</v>
      </c>
      <c r="Z105" s="49">
        <v>41</v>
      </c>
      <c r="AA105" s="22">
        <v>28</v>
      </c>
      <c r="AB105" s="22">
        <f t="shared" si="26"/>
        <v>13</v>
      </c>
      <c r="AC105" s="60">
        <f t="shared" si="27"/>
        <v>1</v>
      </c>
    </row>
    <row r="106" spans="1:29" x14ac:dyDescent="0.2">
      <c r="A106" s="58" t="s">
        <v>179</v>
      </c>
      <c r="B106" s="59">
        <v>55</v>
      </c>
      <c r="C106" s="22">
        <v>53</v>
      </c>
      <c r="D106" s="22">
        <f t="shared" si="15"/>
        <v>2</v>
      </c>
      <c r="E106" s="60">
        <f t="shared" si="28"/>
        <v>1</v>
      </c>
      <c r="F106" s="40">
        <v>11</v>
      </c>
      <c r="G106" s="23">
        <v>2</v>
      </c>
      <c r="H106" s="23">
        <f t="shared" si="16"/>
        <v>9</v>
      </c>
      <c r="I106" s="51">
        <f t="shared" si="17"/>
        <v>1</v>
      </c>
      <c r="J106" s="49">
        <v>4</v>
      </c>
      <c r="K106" s="22">
        <v>6</v>
      </c>
      <c r="L106" s="22">
        <f t="shared" si="18"/>
        <v>-2</v>
      </c>
      <c r="M106" s="38">
        <f t="shared" si="19"/>
        <v>1</v>
      </c>
      <c r="N106" s="40">
        <v>70</v>
      </c>
      <c r="O106" s="23">
        <v>68</v>
      </c>
      <c r="P106" s="23">
        <f t="shared" si="20"/>
        <v>2</v>
      </c>
      <c r="Q106" s="61">
        <f t="shared" si="21"/>
        <v>1</v>
      </c>
      <c r="R106" s="59">
        <v>49</v>
      </c>
      <c r="S106" s="22">
        <v>34</v>
      </c>
      <c r="T106" s="22">
        <f t="shared" si="22"/>
        <v>15</v>
      </c>
      <c r="U106" s="38">
        <f t="shared" si="23"/>
        <v>1</v>
      </c>
      <c r="V106" s="40">
        <v>42</v>
      </c>
      <c r="W106" s="23">
        <v>44</v>
      </c>
      <c r="X106" s="23">
        <f t="shared" si="24"/>
        <v>-2</v>
      </c>
      <c r="Y106" s="51">
        <f t="shared" si="25"/>
        <v>0</v>
      </c>
      <c r="Z106" s="49">
        <v>46</v>
      </c>
      <c r="AA106" s="22">
        <v>38</v>
      </c>
      <c r="AB106" s="22">
        <f t="shared" si="26"/>
        <v>8</v>
      </c>
      <c r="AC106" s="60">
        <f t="shared" si="27"/>
        <v>1</v>
      </c>
    </row>
    <row r="107" spans="1:29" x14ac:dyDescent="0.2">
      <c r="A107" s="58" t="s">
        <v>179</v>
      </c>
      <c r="B107" s="59">
        <v>62</v>
      </c>
      <c r="C107" s="22">
        <v>58</v>
      </c>
      <c r="D107" s="22">
        <f t="shared" si="15"/>
        <v>4</v>
      </c>
      <c r="E107" s="60">
        <f t="shared" si="28"/>
        <v>1</v>
      </c>
      <c r="F107" s="40">
        <v>15</v>
      </c>
      <c r="G107" s="23">
        <v>10</v>
      </c>
      <c r="H107" s="23">
        <f t="shared" si="16"/>
        <v>5</v>
      </c>
      <c r="I107" s="51">
        <f t="shared" si="17"/>
        <v>1</v>
      </c>
      <c r="J107" s="49">
        <v>6</v>
      </c>
      <c r="K107" s="22">
        <v>0</v>
      </c>
      <c r="L107" s="22">
        <f t="shared" si="18"/>
        <v>6</v>
      </c>
      <c r="M107" s="38">
        <f t="shared" si="19"/>
        <v>0</v>
      </c>
      <c r="N107" s="40">
        <v>70</v>
      </c>
      <c r="O107" s="23">
        <v>67</v>
      </c>
      <c r="P107" s="23">
        <f t="shared" si="20"/>
        <v>3</v>
      </c>
      <c r="Q107" s="61">
        <f t="shared" si="21"/>
        <v>1</v>
      </c>
      <c r="R107" s="59">
        <v>66</v>
      </c>
      <c r="S107" s="22">
        <v>61</v>
      </c>
      <c r="T107" s="22">
        <f t="shared" si="22"/>
        <v>5</v>
      </c>
      <c r="U107" s="38">
        <f t="shared" si="23"/>
        <v>1</v>
      </c>
      <c r="V107" s="40">
        <v>27</v>
      </c>
      <c r="W107" s="23">
        <v>57</v>
      </c>
      <c r="X107" s="23">
        <f t="shared" si="24"/>
        <v>-30</v>
      </c>
      <c r="Y107" s="51">
        <f t="shared" si="25"/>
        <v>0</v>
      </c>
      <c r="Z107" s="49">
        <v>35</v>
      </c>
      <c r="AA107" s="22">
        <v>30</v>
      </c>
      <c r="AB107" s="22">
        <f t="shared" si="26"/>
        <v>5</v>
      </c>
      <c r="AC107" s="60">
        <f t="shared" si="27"/>
        <v>1</v>
      </c>
    </row>
    <row r="108" spans="1:29" x14ac:dyDescent="0.2">
      <c r="A108" s="56">
        <v>2011</v>
      </c>
      <c r="B108" s="59">
        <v>66</v>
      </c>
      <c r="C108" s="22">
        <v>68</v>
      </c>
      <c r="D108" s="22">
        <f t="shared" si="15"/>
        <v>-2</v>
      </c>
      <c r="E108" s="60">
        <f t="shared" si="28"/>
        <v>0</v>
      </c>
      <c r="F108" s="40">
        <v>7</v>
      </c>
      <c r="G108" s="23">
        <v>2</v>
      </c>
      <c r="H108" s="23">
        <f t="shared" si="16"/>
        <v>5</v>
      </c>
      <c r="I108" s="51">
        <f t="shared" si="17"/>
        <v>1</v>
      </c>
      <c r="J108" s="49">
        <v>1</v>
      </c>
      <c r="K108" s="22">
        <v>3</v>
      </c>
      <c r="L108" s="22">
        <f t="shared" si="18"/>
        <v>-2</v>
      </c>
      <c r="M108" s="38">
        <f t="shared" si="19"/>
        <v>1</v>
      </c>
      <c r="N108" s="40">
        <v>65</v>
      </c>
      <c r="O108" s="23">
        <v>52</v>
      </c>
      <c r="P108" s="23">
        <f t="shared" si="20"/>
        <v>13</v>
      </c>
      <c r="Q108" s="61">
        <f t="shared" si="21"/>
        <v>1</v>
      </c>
      <c r="R108" s="59">
        <v>44</v>
      </c>
      <c r="S108" s="22">
        <v>42</v>
      </c>
      <c r="T108" s="22">
        <f t="shared" si="22"/>
        <v>2</v>
      </c>
      <c r="U108" s="38">
        <f t="shared" si="23"/>
        <v>1</v>
      </c>
      <c r="V108" s="40">
        <v>42</v>
      </c>
      <c r="W108" s="23">
        <v>43</v>
      </c>
      <c r="X108" s="23">
        <f t="shared" si="24"/>
        <v>-1</v>
      </c>
      <c r="Y108" s="51">
        <f t="shared" si="25"/>
        <v>0</v>
      </c>
      <c r="Z108" s="49">
        <v>51</v>
      </c>
      <c r="AA108" s="22">
        <v>42</v>
      </c>
      <c r="AB108" s="22">
        <f t="shared" si="26"/>
        <v>9</v>
      </c>
      <c r="AC108" s="60">
        <f t="shared" si="27"/>
        <v>1</v>
      </c>
    </row>
    <row r="109" spans="1:29" x14ac:dyDescent="0.2">
      <c r="A109" s="58" t="s">
        <v>178</v>
      </c>
      <c r="B109" s="59">
        <v>59</v>
      </c>
      <c r="C109" s="22">
        <v>61</v>
      </c>
      <c r="D109" s="22">
        <f t="shared" si="15"/>
        <v>-2</v>
      </c>
      <c r="E109" s="60">
        <f t="shared" si="28"/>
        <v>0</v>
      </c>
      <c r="F109" s="40">
        <v>8</v>
      </c>
      <c r="G109" s="23">
        <v>11</v>
      </c>
      <c r="H109" s="23">
        <f t="shared" si="16"/>
        <v>-3</v>
      </c>
      <c r="I109" s="51">
        <f t="shared" si="17"/>
        <v>0</v>
      </c>
      <c r="J109" s="49">
        <v>6</v>
      </c>
      <c r="K109" s="22">
        <v>4</v>
      </c>
      <c r="L109" s="22">
        <f t="shared" si="18"/>
        <v>2</v>
      </c>
      <c r="M109" s="38">
        <f t="shared" si="19"/>
        <v>0</v>
      </c>
      <c r="N109" s="40">
        <v>83</v>
      </c>
      <c r="O109" s="23">
        <v>67</v>
      </c>
      <c r="P109" s="23">
        <f t="shared" si="20"/>
        <v>16</v>
      </c>
      <c r="Q109" s="61">
        <f t="shared" si="21"/>
        <v>1</v>
      </c>
      <c r="R109" s="59">
        <v>55</v>
      </c>
      <c r="S109" s="22">
        <v>56</v>
      </c>
      <c r="T109" s="22">
        <f t="shared" si="22"/>
        <v>-1</v>
      </c>
      <c r="U109" s="38">
        <f t="shared" si="23"/>
        <v>0</v>
      </c>
      <c r="V109" s="40">
        <v>50</v>
      </c>
      <c r="W109" s="23">
        <v>60</v>
      </c>
      <c r="X109" s="23">
        <f t="shared" si="24"/>
        <v>-10</v>
      </c>
      <c r="Y109" s="51">
        <f t="shared" si="25"/>
        <v>0</v>
      </c>
      <c r="Z109" s="49">
        <v>37</v>
      </c>
      <c r="AA109" s="22">
        <v>29</v>
      </c>
      <c r="AB109" s="22">
        <f t="shared" si="26"/>
        <v>8</v>
      </c>
      <c r="AC109" s="60">
        <f t="shared" si="27"/>
        <v>1</v>
      </c>
    </row>
    <row r="110" spans="1:29" x14ac:dyDescent="0.2">
      <c r="A110" s="58" t="s">
        <v>178</v>
      </c>
      <c r="B110" s="59">
        <v>67</v>
      </c>
      <c r="C110" s="22">
        <v>54</v>
      </c>
      <c r="D110" s="22">
        <f t="shared" si="15"/>
        <v>13</v>
      </c>
      <c r="E110" s="60">
        <f t="shared" si="28"/>
        <v>1</v>
      </c>
      <c r="F110" s="40">
        <v>3</v>
      </c>
      <c r="G110" s="23">
        <v>8</v>
      </c>
      <c r="H110" s="23">
        <f t="shared" si="16"/>
        <v>-5</v>
      </c>
      <c r="I110" s="51">
        <f t="shared" si="17"/>
        <v>0</v>
      </c>
      <c r="J110" s="49">
        <v>1</v>
      </c>
      <c r="K110" s="22">
        <v>2</v>
      </c>
      <c r="L110" s="22">
        <f t="shared" si="18"/>
        <v>-1</v>
      </c>
      <c r="M110" s="38">
        <f t="shared" si="19"/>
        <v>1</v>
      </c>
      <c r="N110" s="40">
        <v>72</v>
      </c>
      <c r="O110" s="23">
        <v>66</v>
      </c>
      <c r="P110" s="23">
        <f t="shared" si="20"/>
        <v>6</v>
      </c>
      <c r="Q110" s="61">
        <f t="shared" si="21"/>
        <v>1</v>
      </c>
      <c r="R110" s="59">
        <v>57</v>
      </c>
      <c r="S110" s="22">
        <v>46</v>
      </c>
      <c r="T110" s="22">
        <f t="shared" si="22"/>
        <v>11</v>
      </c>
      <c r="U110" s="38">
        <f t="shared" si="23"/>
        <v>1</v>
      </c>
      <c r="V110" s="40">
        <v>33</v>
      </c>
      <c r="W110" s="23">
        <v>20</v>
      </c>
      <c r="X110" s="23">
        <f t="shared" si="24"/>
        <v>13</v>
      </c>
      <c r="Y110" s="51">
        <f t="shared" si="25"/>
        <v>1</v>
      </c>
      <c r="Z110" s="49">
        <v>43</v>
      </c>
      <c r="AA110" s="22">
        <v>33</v>
      </c>
      <c r="AB110" s="22">
        <f t="shared" si="26"/>
        <v>10</v>
      </c>
      <c r="AC110" s="60">
        <f t="shared" si="27"/>
        <v>1</v>
      </c>
    </row>
    <row r="111" spans="1:29" x14ac:dyDescent="0.2">
      <c r="A111" s="58" t="s">
        <v>179</v>
      </c>
      <c r="B111" s="59">
        <v>65</v>
      </c>
      <c r="C111" s="22">
        <v>66</v>
      </c>
      <c r="D111" s="22">
        <f t="shared" si="15"/>
        <v>-1</v>
      </c>
      <c r="E111" s="60">
        <f t="shared" si="28"/>
        <v>0</v>
      </c>
      <c r="F111" s="40">
        <v>8</v>
      </c>
      <c r="G111" s="23">
        <v>10</v>
      </c>
      <c r="H111" s="23">
        <f t="shared" si="16"/>
        <v>-2</v>
      </c>
      <c r="I111" s="51">
        <f t="shared" si="17"/>
        <v>0</v>
      </c>
      <c r="J111" s="49">
        <v>2</v>
      </c>
      <c r="K111" s="22">
        <v>5</v>
      </c>
      <c r="L111" s="22">
        <f t="shared" si="18"/>
        <v>-3</v>
      </c>
      <c r="M111" s="38">
        <f t="shared" si="19"/>
        <v>1</v>
      </c>
      <c r="N111" s="40">
        <v>65</v>
      </c>
      <c r="O111" s="23">
        <v>65</v>
      </c>
      <c r="P111" s="23">
        <f t="shared" si="20"/>
        <v>0</v>
      </c>
      <c r="Q111" s="61">
        <f t="shared" si="21"/>
        <v>1</v>
      </c>
      <c r="R111" s="59">
        <v>50</v>
      </c>
      <c r="S111" s="22">
        <v>22</v>
      </c>
      <c r="T111" s="22">
        <f t="shared" si="22"/>
        <v>28</v>
      </c>
      <c r="U111" s="38">
        <f t="shared" si="23"/>
        <v>1</v>
      </c>
      <c r="V111" s="40">
        <v>62</v>
      </c>
      <c r="W111" s="23">
        <v>31</v>
      </c>
      <c r="X111" s="23">
        <f t="shared" si="24"/>
        <v>31</v>
      </c>
      <c r="Y111" s="51">
        <f t="shared" si="25"/>
        <v>1</v>
      </c>
      <c r="Z111" s="49">
        <v>50</v>
      </c>
      <c r="AA111" s="22">
        <v>40</v>
      </c>
      <c r="AB111" s="22">
        <f t="shared" si="26"/>
        <v>10</v>
      </c>
      <c r="AC111" s="60">
        <f t="shared" si="27"/>
        <v>1</v>
      </c>
    </row>
    <row r="112" spans="1:29" x14ac:dyDescent="0.2">
      <c r="A112" s="58" t="s">
        <v>179</v>
      </c>
      <c r="B112" s="59">
        <v>67</v>
      </c>
      <c r="C112" s="22">
        <v>59</v>
      </c>
      <c r="D112" s="22">
        <f t="shared" si="15"/>
        <v>8</v>
      </c>
      <c r="E112" s="60">
        <f t="shared" si="28"/>
        <v>1</v>
      </c>
      <c r="F112" s="40">
        <v>6</v>
      </c>
      <c r="G112" s="23">
        <v>8</v>
      </c>
      <c r="H112" s="23">
        <f t="shared" si="16"/>
        <v>-2</v>
      </c>
      <c r="I112" s="51">
        <f t="shared" si="17"/>
        <v>0</v>
      </c>
      <c r="J112" s="49">
        <v>1</v>
      </c>
      <c r="K112" s="22">
        <v>3</v>
      </c>
      <c r="L112" s="22">
        <f t="shared" si="18"/>
        <v>-2</v>
      </c>
      <c r="M112" s="38">
        <f t="shared" si="19"/>
        <v>1</v>
      </c>
      <c r="N112" s="40">
        <v>84</v>
      </c>
      <c r="O112" s="23">
        <v>63</v>
      </c>
      <c r="P112" s="23">
        <f t="shared" si="20"/>
        <v>21</v>
      </c>
      <c r="Q112" s="61">
        <f t="shared" si="21"/>
        <v>1</v>
      </c>
      <c r="R112" s="59">
        <v>55</v>
      </c>
      <c r="S112" s="22">
        <v>32</v>
      </c>
      <c r="T112" s="22">
        <f t="shared" si="22"/>
        <v>23</v>
      </c>
      <c r="U112" s="38">
        <f t="shared" si="23"/>
        <v>1</v>
      </c>
      <c r="V112" s="40">
        <v>86</v>
      </c>
      <c r="W112" s="23">
        <v>0</v>
      </c>
      <c r="X112" s="23">
        <f t="shared" si="24"/>
        <v>86</v>
      </c>
      <c r="Y112" s="51">
        <f t="shared" si="25"/>
        <v>1</v>
      </c>
      <c r="Z112" s="49">
        <v>50</v>
      </c>
      <c r="AA112" s="22">
        <v>25</v>
      </c>
      <c r="AB112" s="22">
        <f t="shared" si="26"/>
        <v>25</v>
      </c>
      <c r="AC112" s="60">
        <f t="shared" si="27"/>
        <v>1</v>
      </c>
    </row>
    <row r="113" spans="1:29" x14ac:dyDescent="0.2">
      <c r="A113" s="58" t="s">
        <v>179</v>
      </c>
      <c r="B113" s="59">
        <v>72</v>
      </c>
      <c r="C113" s="22">
        <v>53</v>
      </c>
      <c r="D113" s="22">
        <f t="shared" si="15"/>
        <v>19</v>
      </c>
      <c r="E113" s="60">
        <f t="shared" si="28"/>
        <v>1</v>
      </c>
      <c r="F113" s="40">
        <v>5</v>
      </c>
      <c r="G113" s="23">
        <v>5</v>
      </c>
      <c r="H113" s="23">
        <f t="shared" si="16"/>
        <v>0</v>
      </c>
      <c r="I113" s="51">
        <f t="shared" si="17"/>
        <v>1</v>
      </c>
      <c r="J113" s="49">
        <v>2</v>
      </c>
      <c r="K113" s="22">
        <v>3</v>
      </c>
      <c r="L113" s="22">
        <f t="shared" si="18"/>
        <v>-1</v>
      </c>
      <c r="M113" s="38">
        <f t="shared" si="19"/>
        <v>1</v>
      </c>
      <c r="N113" s="40">
        <v>77</v>
      </c>
      <c r="O113" s="23">
        <v>69</v>
      </c>
      <c r="P113" s="23">
        <f t="shared" si="20"/>
        <v>8</v>
      </c>
      <c r="Q113" s="61">
        <f t="shared" si="21"/>
        <v>1</v>
      </c>
      <c r="R113" s="59">
        <v>42</v>
      </c>
      <c r="S113" s="22">
        <v>40</v>
      </c>
      <c r="T113" s="22">
        <f t="shared" si="22"/>
        <v>2</v>
      </c>
      <c r="U113" s="38">
        <f t="shared" si="23"/>
        <v>1</v>
      </c>
      <c r="V113" s="40">
        <v>46</v>
      </c>
      <c r="W113" s="23">
        <v>67</v>
      </c>
      <c r="X113" s="23">
        <f t="shared" si="24"/>
        <v>-21</v>
      </c>
      <c r="Y113" s="51">
        <f t="shared" si="25"/>
        <v>0</v>
      </c>
      <c r="Z113" s="49">
        <v>45</v>
      </c>
      <c r="AA113" s="22">
        <v>33</v>
      </c>
      <c r="AB113" s="22">
        <f t="shared" si="26"/>
        <v>12</v>
      </c>
      <c r="AC113" s="60">
        <f t="shared" si="27"/>
        <v>1</v>
      </c>
    </row>
    <row r="114" spans="1:29" s="82" customFormat="1" x14ac:dyDescent="0.2">
      <c r="A114" s="72" t="s">
        <v>179</v>
      </c>
      <c r="B114" s="73">
        <v>68</v>
      </c>
      <c r="C114" s="74">
        <v>67</v>
      </c>
      <c r="D114" s="74">
        <f t="shared" si="15"/>
        <v>1</v>
      </c>
      <c r="E114" s="75">
        <f t="shared" si="28"/>
        <v>1</v>
      </c>
      <c r="F114" s="76">
        <v>14</v>
      </c>
      <c r="G114" s="77">
        <v>17</v>
      </c>
      <c r="H114" s="77">
        <f t="shared" si="16"/>
        <v>-3</v>
      </c>
      <c r="I114" s="78">
        <f t="shared" si="17"/>
        <v>0</v>
      </c>
      <c r="J114" s="79">
        <v>2</v>
      </c>
      <c r="K114" s="74">
        <v>5</v>
      </c>
      <c r="L114" s="74">
        <f t="shared" si="18"/>
        <v>-3</v>
      </c>
      <c r="M114" s="80">
        <f t="shared" si="19"/>
        <v>1</v>
      </c>
      <c r="N114" s="76">
        <v>78</v>
      </c>
      <c r="O114" s="77">
        <v>74</v>
      </c>
      <c r="P114" s="77">
        <f t="shared" si="20"/>
        <v>4</v>
      </c>
      <c r="Q114" s="81">
        <f t="shared" si="21"/>
        <v>1</v>
      </c>
      <c r="R114" s="73">
        <v>63</v>
      </c>
      <c r="S114" s="74">
        <v>50</v>
      </c>
      <c r="T114" s="74">
        <f t="shared" si="22"/>
        <v>13</v>
      </c>
      <c r="U114" s="80">
        <f t="shared" si="23"/>
        <v>1</v>
      </c>
      <c r="V114" s="76">
        <v>40</v>
      </c>
      <c r="W114" s="77">
        <v>17</v>
      </c>
      <c r="X114" s="77">
        <f t="shared" si="24"/>
        <v>23</v>
      </c>
      <c r="Y114" s="78">
        <f t="shared" si="25"/>
        <v>1</v>
      </c>
      <c r="Z114" s="79">
        <v>34</v>
      </c>
      <c r="AA114" s="74">
        <v>27</v>
      </c>
      <c r="AB114" s="74">
        <f t="shared" si="26"/>
        <v>7</v>
      </c>
      <c r="AC114" s="75">
        <f t="shared" si="27"/>
        <v>1</v>
      </c>
    </row>
    <row r="115" spans="1:29" s="31" customFormat="1" x14ac:dyDescent="0.2">
      <c r="A115" s="29"/>
      <c r="B115" s="41"/>
      <c r="C115" s="42"/>
      <c r="D115" s="42" t="b">
        <v>1</v>
      </c>
      <c r="E115" s="52">
        <f>COUNTIF(E3:E114, "=1")</f>
        <v>70</v>
      </c>
      <c r="F115" s="41"/>
      <c r="G115" s="42"/>
      <c r="H115" s="42" t="b">
        <v>1</v>
      </c>
      <c r="I115" s="52">
        <f>COUNTIF(I3:I114, "=1")</f>
        <v>67</v>
      </c>
      <c r="J115" s="30"/>
      <c r="K115" s="30"/>
      <c r="L115" s="30" t="b">
        <v>1</v>
      </c>
      <c r="M115" s="30">
        <f>COUNTIF(M3:M114, "=1")</f>
        <v>89</v>
      </c>
      <c r="N115" s="41"/>
      <c r="O115" s="42"/>
      <c r="P115" s="42" t="b">
        <v>1</v>
      </c>
      <c r="Q115" s="42">
        <f>COUNTIF(Q3:Q114, "=1")</f>
        <v>100</v>
      </c>
      <c r="R115" s="41"/>
      <c r="S115" s="42"/>
      <c r="T115" s="42" t="b">
        <v>1</v>
      </c>
      <c r="U115" s="42">
        <f>COUNTIF(U3:U114, "=1")</f>
        <v>101</v>
      </c>
      <c r="V115" s="41"/>
      <c r="W115" s="42"/>
      <c r="X115" s="42" t="b">
        <v>1</v>
      </c>
      <c r="Y115" s="52">
        <f>COUNTIF(Y3:Y114, "=1")</f>
        <v>75</v>
      </c>
      <c r="Z115" s="42"/>
      <c r="AA115" s="42"/>
      <c r="AB115" s="42" t="b">
        <v>1</v>
      </c>
      <c r="AC115" s="52">
        <f>COUNTIF(AC3:AC114, "=1")</f>
        <v>109</v>
      </c>
    </row>
    <row r="116" spans="1:29" s="31" customFormat="1" x14ac:dyDescent="0.2">
      <c r="A116" s="29"/>
      <c r="B116" s="41"/>
      <c r="C116" s="42"/>
      <c r="D116" s="42" t="b">
        <v>0</v>
      </c>
      <c r="E116" s="52">
        <f>COUNTIF(E4:E114, "=0")</f>
        <v>41</v>
      </c>
      <c r="F116" s="41"/>
      <c r="G116" s="42"/>
      <c r="H116" s="42" t="b">
        <v>0</v>
      </c>
      <c r="I116" s="52">
        <f>COUNTIF(I4:I114, "=0")</f>
        <v>44</v>
      </c>
      <c r="J116" s="30"/>
      <c r="K116" s="30"/>
      <c r="L116" s="30" t="b">
        <v>0</v>
      </c>
      <c r="M116" s="30">
        <f>COUNTIF(M4:M114, "=0")</f>
        <v>23</v>
      </c>
      <c r="N116" s="41"/>
      <c r="O116" s="42"/>
      <c r="P116" s="42" t="b">
        <v>0</v>
      </c>
      <c r="Q116" s="42">
        <f>COUNTIF(Q4:Q114, "=0")</f>
        <v>11</v>
      </c>
      <c r="R116" s="41"/>
      <c r="S116" s="42"/>
      <c r="T116" s="42" t="b">
        <v>0</v>
      </c>
      <c r="U116" s="42">
        <f>COUNTIF(U4:U114, "=0")</f>
        <v>11</v>
      </c>
      <c r="V116" s="41"/>
      <c r="W116" s="42"/>
      <c r="X116" s="42" t="b">
        <v>0</v>
      </c>
      <c r="Y116" s="52">
        <f>COUNTIF(Y4:Y114, "=0")</f>
        <v>37</v>
      </c>
      <c r="Z116" s="42"/>
      <c r="AA116" s="42"/>
      <c r="AB116" s="42" t="b">
        <v>0</v>
      </c>
      <c r="AC116" s="52">
        <f>COUNTIF(AC4:AC114, "=0")</f>
        <v>3</v>
      </c>
    </row>
    <row r="117" spans="1:29" s="86" customFormat="1" x14ac:dyDescent="0.2">
      <c r="A117" s="83" t="s">
        <v>226</v>
      </c>
      <c r="B117" s="84"/>
      <c r="C117" s="85"/>
      <c r="D117" s="85"/>
      <c r="E117" s="119">
        <f>E115/(E115+E116)</f>
        <v>0.63063063063063063</v>
      </c>
      <c r="F117" s="84"/>
      <c r="G117" s="85"/>
      <c r="H117" s="85"/>
      <c r="I117" s="119">
        <f>I115/(I115+I116)</f>
        <v>0.60360360360360366</v>
      </c>
      <c r="J117" s="85"/>
      <c r="K117" s="85"/>
      <c r="L117" s="85"/>
      <c r="M117" s="122">
        <f>M115/(M115+M116)</f>
        <v>0.7946428571428571</v>
      </c>
      <c r="N117" s="84"/>
      <c r="O117" s="85"/>
      <c r="P117" s="85"/>
      <c r="Q117" s="122">
        <f>Q115/(Q115+Q116)</f>
        <v>0.90090090090090091</v>
      </c>
      <c r="R117" s="84"/>
      <c r="S117" s="85"/>
      <c r="T117" s="85"/>
      <c r="U117" s="122">
        <f>U115/(U115+U116)</f>
        <v>0.9017857142857143</v>
      </c>
      <c r="V117" s="84"/>
      <c r="W117" s="85"/>
      <c r="X117" s="85"/>
      <c r="Y117" s="119">
        <f>Y115/(Y115+Y116)</f>
        <v>0.6696428571428571</v>
      </c>
      <c r="Z117" s="85"/>
      <c r="AA117" s="85"/>
      <c r="AB117" s="85"/>
      <c r="AC117" s="119">
        <f>AC115/(AC115+AC116)</f>
        <v>0.9732142857142857</v>
      </c>
    </row>
    <row r="118" spans="1:29" s="35" customFormat="1" x14ac:dyDescent="0.2">
      <c r="A118" s="32" t="s">
        <v>218</v>
      </c>
      <c r="B118" s="43"/>
      <c r="C118" s="44"/>
      <c r="D118" s="44"/>
      <c r="E118" s="53"/>
      <c r="F118" s="43"/>
      <c r="G118" s="44"/>
      <c r="H118" s="44"/>
      <c r="I118" s="53"/>
      <c r="J118" s="33"/>
      <c r="K118" s="33"/>
      <c r="L118" s="33"/>
      <c r="M118" s="34"/>
      <c r="N118" s="43"/>
      <c r="O118" s="44"/>
      <c r="P118" s="44"/>
      <c r="Q118" s="45"/>
      <c r="R118" s="43"/>
      <c r="S118" s="44"/>
      <c r="T118" s="44"/>
      <c r="U118" s="45"/>
      <c r="V118" s="43"/>
      <c r="W118" s="44"/>
      <c r="X118" s="44"/>
      <c r="Y118" s="53"/>
      <c r="Z118" s="44"/>
      <c r="AA118" s="44"/>
      <c r="AB118" s="44"/>
      <c r="AC118" s="53"/>
    </row>
    <row r="119" spans="1:29" x14ac:dyDescent="0.2">
      <c r="A119" s="26" t="s">
        <v>217</v>
      </c>
      <c r="B119" s="120">
        <f>AVERAGE(B3:B114)</f>
        <v>64.071428571428569</v>
      </c>
      <c r="C119" s="121">
        <f>AVERAGE(C3:C114)</f>
        <v>61.4375</v>
      </c>
      <c r="D119" s="121">
        <f>AVERAGE(D3:D114)</f>
        <v>2.6339285714285716</v>
      </c>
      <c r="F119" s="120">
        <f>AVERAGE(F3:F114)</f>
        <v>9.1875</v>
      </c>
      <c r="G119" s="121">
        <f>AVERAGE(G3:G114)</f>
        <v>7.7946428571428568</v>
      </c>
      <c r="H119" s="121">
        <f>AVERAGE(H3:H114)</f>
        <v>1.3928571428571428</v>
      </c>
      <c r="J119" s="120">
        <f>AVERAGE(J3:J114)</f>
        <v>2.1875</v>
      </c>
      <c r="K119" s="121">
        <f>AVERAGE(K3:K114)</f>
        <v>3.5089285714285716</v>
      </c>
      <c r="L119" s="121">
        <f>AVERAGE(L3:L114)</f>
        <v>-1.3214285714285714</v>
      </c>
      <c r="N119" s="120">
        <f>AVERAGE(N3:N114)</f>
        <v>76.553571428571431</v>
      </c>
      <c r="O119" s="121">
        <f>AVERAGE(O3:O114)</f>
        <v>66.758928571428569</v>
      </c>
      <c r="P119" s="121">
        <f>AVERAGE(P3:P114)</f>
        <v>9.7946428571428577</v>
      </c>
      <c r="R119" s="120">
        <f>AVERAGE(R3:R114)</f>
        <v>56.723214285714285</v>
      </c>
      <c r="S119" s="121">
        <f>AVERAGE(S3:S114)</f>
        <v>45.419642857142854</v>
      </c>
      <c r="T119" s="121">
        <f>AVERAGE(T3:T114)</f>
        <v>11.303571428571429</v>
      </c>
      <c r="V119" s="120">
        <f>AVERAGE(V3:V114)</f>
        <v>45.107142857142854</v>
      </c>
      <c r="W119" s="121">
        <f>AVERAGE(W3:W114)</f>
        <v>33</v>
      </c>
      <c r="X119" s="121">
        <f>AVERAGE(X3:X114)</f>
        <v>12.107142857142858</v>
      </c>
      <c r="Z119" s="120">
        <f>AVERAGE(Z3:Z114)</f>
        <v>41.455357142857146</v>
      </c>
      <c r="AA119" s="121">
        <f>AVERAGE(AA3:AA114)</f>
        <v>30.535714285714285</v>
      </c>
      <c r="AB119" s="121">
        <f>AVERAGE(AB3:AB114)</f>
        <v>10.919642857142858</v>
      </c>
    </row>
    <row r="120" spans="1:29" x14ac:dyDescent="0.2">
      <c r="A120" s="26" t="s">
        <v>219</v>
      </c>
      <c r="B120" s="120">
        <f>STDEV(B3:B114)</f>
        <v>6.2134905333044976</v>
      </c>
      <c r="C120" s="121">
        <f>STDEV(C3:C114)</f>
        <v>5.8951518483678873</v>
      </c>
      <c r="D120" s="121">
        <f>STDEV(D3:D114)</f>
        <v>8.7487404866620722</v>
      </c>
      <c r="F120" s="120">
        <f>STDEV(F3:F114)</f>
        <v>6.2781348725140873</v>
      </c>
      <c r="G120" s="121">
        <f>STDEV(G3:G114)</f>
        <v>5.3962589524698199</v>
      </c>
      <c r="H120" s="121">
        <f>STDEV(H3:H114)</f>
        <v>7.4463330873575915</v>
      </c>
      <c r="J120" s="120">
        <f>STDEV(J3:J114)</f>
        <v>1.7528933610277424</v>
      </c>
      <c r="K120" s="121">
        <f>STDEV(K3:K114)</f>
        <v>2.3054793162669833</v>
      </c>
      <c r="L120" s="121">
        <f>STDEV(L3:L114)</f>
        <v>2.6987293830875823</v>
      </c>
      <c r="N120" s="120">
        <f>STDEV(N3:N114)</f>
        <v>7.0874070351108305</v>
      </c>
      <c r="O120" s="121">
        <f>STDEV(O3:O114)</f>
        <v>7.4775887809396187</v>
      </c>
      <c r="P120" s="121">
        <f>STDEV(P3:P114)</f>
        <v>10.078197315619551</v>
      </c>
      <c r="R120" s="120">
        <f>STDEV(R3:R114)</f>
        <v>9.0962915138543945</v>
      </c>
      <c r="S120" s="121">
        <f>STDEV(S3:S114)</f>
        <v>8.9156592606200515</v>
      </c>
      <c r="T120" s="121">
        <f>STDEV(T3:T114)</f>
        <v>11.323927696755153</v>
      </c>
      <c r="V120" s="120">
        <f>STDEV(V3:V114)</f>
        <v>16.266561701878786</v>
      </c>
      <c r="W120" s="121">
        <f>STDEV(W3:W114)</f>
        <v>23.916144797646254</v>
      </c>
      <c r="X120" s="121">
        <f>STDEV(X3:X114)</f>
        <v>30.539697144423382</v>
      </c>
      <c r="Z120" s="120">
        <f>STDEV(Z3:Z114)</f>
        <v>6.2122929466569499</v>
      </c>
      <c r="AA120" s="121">
        <f>STDEV(AA3:AA114)</f>
        <v>5.6535543654126981</v>
      </c>
      <c r="AB120" s="121">
        <f>STDEV(AB3:AB114)</f>
        <v>7.2969676447300227</v>
      </c>
    </row>
    <row r="121" spans="1:29" x14ac:dyDescent="0.2">
      <c r="A121" s="26" t="s">
        <v>220</v>
      </c>
      <c r="B121" s="46">
        <f>COUNT(B3:B114)</f>
        <v>112</v>
      </c>
      <c r="C121" s="47">
        <f>COUNT(C3:C114)</f>
        <v>112</v>
      </c>
      <c r="D121" s="47">
        <f>COUNT(D3:D114)</f>
        <v>112</v>
      </c>
      <c r="F121" s="46">
        <f>COUNT(F3:F114)</f>
        <v>112</v>
      </c>
      <c r="G121" s="47">
        <f>COUNT(G3:G114)</f>
        <v>112</v>
      </c>
      <c r="H121" s="47">
        <f>COUNT(H3:H114)</f>
        <v>112</v>
      </c>
      <c r="J121" s="46">
        <f>COUNT(J3:J114)</f>
        <v>112</v>
      </c>
      <c r="K121" s="47">
        <f>COUNT(K3:K114)</f>
        <v>112</v>
      </c>
      <c r="L121" s="47">
        <f>COUNT(L3:L114)</f>
        <v>112</v>
      </c>
      <c r="N121" s="46">
        <f>COUNT(N3:N114)</f>
        <v>112</v>
      </c>
      <c r="O121" s="47">
        <f>COUNT(O3:O114)</f>
        <v>112</v>
      </c>
      <c r="P121" s="47">
        <f>COUNT(P3:P114)</f>
        <v>112</v>
      </c>
      <c r="R121" s="46">
        <f>COUNT(R3:R114)</f>
        <v>112</v>
      </c>
      <c r="S121" s="47">
        <f>COUNT(S3:S114)</f>
        <v>112</v>
      </c>
      <c r="T121" s="47">
        <f>COUNT(T3:T114)</f>
        <v>112</v>
      </c>
      <c r="V121" s="46">
        <f>COUNT(V3:V114)</f>
        <v>112</v>
      </c>
      <c r="W121" s="47">
        <f>COUNT(W3:W114)</f>
        <v>112</v>
      </c>
      <c r="X121" s="47">
        <f>COUNT(X3:X114)</f>
        <v>112</v>
      </c>
      <c r="Z121" s="46">
        <f>COUNT(Z3:Z114)</f>
        <v>112</v>
      </c>
      <c r="AA121" s="47">
        <f>COUNT(AA3:AA114)</f>
        <v>112</v>
      </c>
      <c r="AB121" s="47">
        <f>COUNT(AB3:AB114)</f>
        <v>112</v>
      </c>
    </row>
    <row r="122" spans="1:29" x14ac:dyDescent="0.2">
      <c r="A122" s="26" t="s">
        <v>221</v>
      </c>
      <c r="B122" s="120">
        <f>B120/B121^0.5</f>
        <v>0.58711966874206412</v>
      </c>
      <c r="C122" s="121">
        <f>C120/C121^0.5</f>
        <v>0.55703949041943501</v>
      </c>
      <c r="D122" s="121">
        <f>D120/D121^0.5</f>
        <v>0.82667827188393006</v>
      </c>
      <c r="F122" s="120">
        <f>F120/F121^0.5</f>
        <v>0.59322798464265969</v>
      </c>
      <c r="G122" s="121">
        <f>G120/G121^0.5</f>
        <v>0.50989854279789504</v>
      </c>
      <c r="H122" s="121">
        <f>H120/H121^0.5</f>
        <v>0.703612340303571</v>
      </c>
      <c r="J122" s="120">
        <f>J120/J121^0.5</f>
        <v>0.16563285386055593</v>
      </c>
      <c r="K122" s="121">
        <f>K120/K121^0.5</f>
        <v>0.21784731870163096</v>
      </c>
      <c r="L122" s="121">
        <f>L120/L121^0.5</f>
        <v>0.25500595726830372</v>
      </c>
      <c r="N122" s="120">
        <f>N120/N121^0.5</f>
        <v>0.6696970162568886</v>
      </c>
      <c r="O122" s="121">
        <f>O120/O121^0.5</f>
        <v>0.70656572574188814</v>
      </c>
      <c r="P122" s="121">
        <f>P120/P121^0.5</f>
        <v>0.95230013432028804</v>
      </c>
      <c r="R122" s="120">
        <f>R120/R121^0.5</f>
        <v>0.85951875709307046</v>
      </c>
      <c r="S122" s="121">
        <f>S120/S121^0.5</f>
        <v>0.84245061349252348</v>
      </c>
      <c r="T122" s="121">
        <f>T120/T121^0.5</f>
        <v>1.0700105910746633</v>
      </c>
      <c r="V122" s="120">
        <f>V120/V121^0.5</f>
        <v>1.5370456053306734</v>
      </c>
      <c r="W122" s="121">
        <f>W120/W121^0.5</f>
        <v>2.2598632662136842</v>
      </c>
      <c r="X122" s="121">
        <f>X120/X121^0.5</f>
        <v>2.8857301342633463</v>
      </c>
      <c r="Z122" s="120">
        <f>Z120/Z121^0.5</f>
        <v>0.58700650744053329</v>
      </c>
      <c r="AA122" s="121">
        <f>AA120/AA121^0.5</f>
        <v>0.53421067408805656</v>
      </c>
      <c r="AB122" s="121">
        <f>AB120/AB121^0.5</f>
        <v>0.68949863260144117</v>
      </c>
    </row>
    <row r="123" spans="1:29" x14ac:dyDescent="0.2">
      <c r="A123" s="26" t="s">
        <v>222</v>
      </c>
      <c r="B123" s="46">
        <v>0.95</v>
      </c>
      <c r="C123" s="47">
        <v>0.95</v>
      </c>
      <c r="D123" s="47">
        <v>0.95</v>
      </c>
      <c r="F123" s="46">
        <v>0.95</v>
      </c>
      <c r="G123" s="47">
        <v>0.95</v>
      </c>
      <c r="H123" s="47">
        <v>0.95</v>
      </c>
      <c r="J123" s="46">
        <v>0.95</v>
      </c>
      <c r="K123" s="47">
        <v>0.95</v>
      </c>
      <c r="L123" s="47">
        <v>0.95</v>
      </c>
      <c r="N123" s="46">
        <v>0.95</v>
      </c>
      <c r="O123" s="47">
        <v>0.95</v>
      </c>
      <c r="P123" s="47">
        <v>0.95</v>
      </c>
      <c r="R123" s="46">
        <v>0.95</v>
      </c>
      <c r="S123" s="47">
        <v>0.95</v>
      </c>
      <c r="T123" s="47">
        <v>0.95</v>
      </c>
      <c r="V123" s="46">
        <v>0.95</v>
      </c>
      <c r="W123" s="47">
        <v>0.95</v>
      </c>
      <c r="X123" s="47">
        <v>0.95</v>
      </c>
      <c r="Z123" s="46">
        <v>0.95</v>
      </c>
      <c r="AA123" s="47">
        <v>0.95</v>
      </c>
      <c r="AB123" s="47">
        <v>0.95</v>
      </c>
    </row>
    <row r="124" spans="1:29" x14ac:dyDescent="0.2">
      <c r="A124" s="26" t="s">
        <v>223</v>
      </c>
      <c r="B124" s="46">
        <f>_xlfn.NORM.S.INV(B123+0.5*(1-B123))</f>
        <v>1.9599639845400536</v>
      </c>
      <c r="C124" s="121">
        <f>_xlfn.NORM.S.INV(C123+0.5*(1-C123))</f>
        <v>1.9599639845400536</v>
      </c>
      <c r="D124" s="121">
        <f>_xlfn.NORM.S.INV(D123+0.5*(1-D123))</f>
        <v>1.9599639845400536</v>
      </c>
      <c r="F124" s="46">
        <f>_xlfn.NORM.S.INV(F123+0.5*(1-F123))</f>
        <v>1.9599639845400536</v>
      </c>
      <c r="G124" s="121">
        <f>_xlfn.NORM.S.INV(G123+0.5*(1-G123))</f>
        <v>1.9599639845400536</v>
      </c>
      <c r="H124" s="121">
        <f>_xlfn.NORM.S.INV(H123+0.5*(1-H123))</f>
        <v>1.9599639845400536</v>
      </c>
      <c r="J124" s="46">
        <f>_xlfn.NORM.S.INV(J123+0.5*(1-J123))</f>
        <v>1.9599639845400536</v>
      </c>
      <c r="K124" s="121">
        <f>_xlfn.NORM.S.INV(K123+0.5*(1-K123))</f>
        <v>1.9599639845400536</v>
      </c>
      <c r="L124" s="121">
        <f>_xlfn.NORM.S.INV(L123+0.5*(1-L123))</f>
        <v>1.9599639845400536</v>
      </c>
      <c r="N124" s="46">
        <f>_xlfn.NORM.S.INV(N123+0.5*(1-N123))</f>
        <v>1.9599639845400536</v>
      </c>
      <c r="O124" s="121">
        <f>_xlfn.NORM.S.INV(O123+0.5*(1-O123))</f>
        <v>1.9599639845400536</v>
      </c>
      <c r="P124" s="121">
        <f>_xlfn.NORM.S.INV(P123+0.5*(1-P123))</f>
        <v>1.9599639845400536</v>
      </c>
      <c r="R124" s="46">
        <f>_xlfn.NORM.S.INV(R123+0.5*(1-R123))</f>
        <v>1.9599639845400536</v>
      </c>
      <c r="S124" s="121">
        <f>_xlfn.NORM.S.INV(S123+0.5*(1-S123))</f>
        <v>1.9599639845400536</v>
      </c>
      <c r="T124" s="121">
        <f>_xlfn.NORM.S.INV(T123+0.5*(1-T123))</f>
        <v>1.9599639845400536</v>
      </c>
      <c r="V124" s="46">
        <f>_xlfn.NORM.S.INV(V123+0.5*(1-V123))</f>
        <v>1.9599639845400536</v>
      </c>
      <c r="W124" s="121">
        <f>_xlfn.NORM.S.INV(W123+0.5*(1-W123))</f>
        <v>1.9599639845400536</v>
      </c>
      <c r="X124" s="121">
        <f>_xlfn.NORM.S.INV(X123+0.5*(1-X123))</f>
        <v>1.9599639845400536</v>
      </c>
      <c r="Z124" s="46">
        <f>_xlfn.NORM.S.INV(Z123+0.5*(1-Z123))</f>
        <v>1.9599639845400536</v>
      </c>
      <c r="AA124" s="121">
        <f>_xlfn.NORM.S.INV(AA123+0.5*(1-AA123))</f>
        <v>1.9599639845400536</v>
      </c>
      <c r="AB124" s="121">
        <f>_xlfn.NORM.S.INV(AB123+0.5*(1-AB123))</f>
        <v>1.9599639845400536</v>
      </c>
    </row>
    <row r="125" spans="1:29" x14ac:dyDescent="0.2">
      <c r="A125" s="26" t="s">
        <v>224</v>
      </c>
      <c r="B125" s="120">
        <f>B119-B124*B122</f>
        <v>62.920695166079035</v>
      </c>
      <c r="C125" s="121">
        <f>C119-C124*C122</f>
        <v>60.345722660811361</v>
      </c>
      <c r="D125" s="121">
        <f>D119-D124*D122</f>
        <v>1.0136689317342582</v>
      </c>
      <c r="F125" s="120">
        <f>F119-F124*F122</f>
        <v>8.0247945154791065</v>
      </c>
      <c r="G125" s="121">
        <f>G119-G124*G122</f>
        <v>6.7952600774895275</v>
      </c>
      <c r="H125" s="121">
        <f>H119-H124*H122</f>
        <v>1.3802296784203527E-2</v>
      </c>
      <c r="J125" s="120">
        <f>J119-J124*J122</f>
        <v>1.8628655717767244</v>
      </c>
      <c r="K125" s="121">
        <f>K119-K124*K122</f>
        <v>3.0819556726447561</v>
      </c>
      <c r="L125" s="121">
        <f>L119-L124*L122</f>
        <v>-1.8212310635176066</v>
      </c>
      <c r="N125" s="120">
        <f>N119-N124*N122</f>
        <v>75.240989396153992</v>
      </c>
      <c r="O125" s="121">
        <f>O119-O124*O122</f>
        <v>65.374085196264062</v>
      </c>
      <c r="P125" s="121">
        <f>P119-P124*P122</f>
        <v>7.9281688914024375</v>
      </c>
      <c r="R125" s="120">
        <f>R119-R124*R122</f>
        <v>55.038588477775235</v>
      </c>
      <c r="S125" s="121">
        <f>S119-S124*S122</f>
        <v>43.768469995943832</v>
      </c>
      <c r="T125" s="121">
        <f>T119-T124*T122</f>
        <v>9.2063892069886748</v>
      </c>
      <c r="V125" s="120">
        <f>V119-V124*V122</f>
        <v>42.09458882809917</v>
      </c>
      <c r="W125" s="121">
        <f>W119-W124*W122</f>
        <v>28.570749388236127</v>
      </c>
      <c r="X125" s="121">
        <f>X119-X124*X122</f>
        <v>6.4512157248847659</v>
      </c>
      <c r="Z125" s="120">
        <f>Z119-Z124*Z122</f>
        <v>40.304845529583055</v>
      </c>
      <c r="AA125" s="121">
        <f>AA119-AA124*AA122</f>
        <v>29.488680604344829</v>
      </c>
      <c r="AB125" s="121">
        <f>AB119-AB124*AB122</f>
        <v>9.5682503698544181</v>
      </c>
    </row>
    <row r="126" spans="1:29" x14ac:dyDescent="0.2">
      <c r="A126" s="26" t="s">
        <v>225</v>
      </c>
      <c r="B126" s="120">
        <f>B119+B124*B122</f>
        <v>65.222161976778096</v>
      </c>
      <c r="C126" s="121">
        <f>C119+C124*C122</f>
        <v>62.529277339188639</v>
      </c>
      <c r="D126" s="121">
        <f>D119+D124*D122</f>
        <v>4.2541882111228855</v>
      </c>
      <c r="F126" s="120">
        <f>F119+F124*F122</f>
        <v>10.350205484520894</v>
      </c>
      <c r="G126" s="121">
        <f>G119+G124*G122</f>
        <v>8.7940256367961869</v>
      </c>
      <c r="H126" s="121">
        <f>H119+H124*H122</f>
        <v>2.7719119889300821</v>
      </c>
      <c r="J126" s="120">
        <f>J119+J124*J122</f>
        <v>2.5121344282232756</v>
      </c>
      <c r="K126" s="121">
        <f>K119+K124*K122</f>
        <v>3.9359014702123871</v>
      </c>
      <c r="L126" s="121">
        <f>L119+L124*L122</f>
        <v>-0.82162607933953624</v>
      </c>
      <c r="N126" s="120">
        <f>N119+N124*N122</f>
        <v>77.866153460988869</v>
      </c>
      <c r="O126" s="121">
        <f>O119+O124*O122</f>
        <v>68.143771946593077</v>
      </c>
      <c r="P126" s="121">
        <f>P119+P124*P122</f>
        <v>11.661116822883278</v>
      </c>
      <c r="R126" s="120">
        <f>R119+R124*R122</f>
        <v>58.407840093653334</v>
      </c>
      <c r="S126" s="121">
        <f>S119+S124*S122</f>
        <v>47.070815718341876</v>
      </c>
      <c r="T126" s="121">
        <f>T119+T124*T122</f>
        <v>13.400753650154183</v>
      </c>
      <c r="V126" s="120">
        <f>V119+V124*V122</f>
        <v>48.119696886186539</v>
      </c>
      <c r="W126" s="121">
        <f>W119+W124*W122</f>
        <v>37.429250611763869</v>
      </c>
      <c r="X126" s="121">
        <f>X119+X124*X122</f>
        <v>17.76306998940095</v>
      </c>
      <c r="Z126" s="120">
        <f>Z119+Z124*Z122</f>
        <v>42.605868756131237</v>
      </c>
      <c r="AA126" s="121">
        <f>AA119+AA124*AA122</f>
        <v>31.582747967083741</v>
      </c>
      <c r="AB126" s="121">
        <f>AB119+AB124*AB122</f>
        <v>12.271035344431297</v>
      </c>
    </row>
    <row r="127" spans="1:29" x14ac:dyDescent="0.2">
      <c r="A127" s="26" t="s">
        <v>212</v>
      </c>
      <c r="B127" s="46">
        <f>MODE(B3:B114)</f>
        <v>64</v>
      </c>
      <c r="C127" s="47">
        <f>MODE(C3:C114)</f>
        <v>63</v>
      </c>
      <c r="D127" s="47">
        <f>MODE(D3:D114)</f>
        <v>3</v>
      </c>
      <c r="F127" s="46">
        <f>MODE(F3:F114)</f>
        <v>5</v>
      </c>
      <c r="G127" s="47">
        <f>MODE(G3:G114)</f>
        <v>6</v>
      </c>
      <c r="H127" s="47">
        <f>MODE(H3:H114)</f>
        <v>1</v>
      </c>
      <c r="J127" s="46">
        <f>MODE(J3:J114)</f>
        <v>1</v>
      </c>
      <c r="K127" s="47">
        <f>MODE(K3:K114)</f>
        <v>3</v>
      </c>
      <c r="L127" s="47">
        <f>MODE(L3:L114)</f>
        <v>-2</v>
      </c>
      <c r="N127" s="46">
        <f>MODE(N3:N114)</f>
        <v>76</v>
      </c>
      <c r="O127" s="47">
        <f>MODE(O3:O114)</f>
        <v>71</v>
      </c>
      <c r="P127" s="47">
        <f>MODE(P3:P114)</f>
        <v>2</v>
      </c>
      <c r="R127" s="46">
        <f>MODE(R3:R114)</f>
        <v>56</v>
      </c>
      <c r="S127" s="47">
        <f>MODE(S3:S114)</f>
        <v>50</v>
      </c>
      <c r="T127" s="47">
        <f>MODE(T3:T114)</f>
        <v>6</v>
      </c>
      <c r="V127" s="46">
        <f>MODE(V3:V114)</f>
        <v>50</v>
      </c>
      <c r="W127" s="47">
        <f>MODE(W3:W114)</f>
        <v>0</v>
      </c>
      <c r="X127" s="47">
        <f>MODE(X3:X114)</f>
        <v>13</v>
      </c>
      <c r="Z127" s="46">
        <f>MODE(Z3:Z114)</f>
        <v>40</v>
      </c>
      <c r="AA127" s="47">
        <f>MODE(AA3:AA114)</f>
        <v>30</v>
      </c>
      <c r="AB127" s="47">
        <f>MODE(AB3:AB114)</f>
        <v>7</v>
      </c>
    </row>
    <row r="128" spans="1:29" x14ac:dyDescent="0.2">
      <c r="A128" s="26" t="s">
        <v>213</v>
      </c>
      <c r="B128" s="46">
        <f>MEDIAN(B3:B114)</f>
        <v>64</v>
      </c>
      <c r="C128" s="47">
        <f>MEDIAN(C3:C114)</f>
        <v>61</v>
      </c>
      <c r="D128" s="47">
        <f>MEDIAN(D3:D114)</f>
        <v>3</v>
      </c>
      <c r="F128" s="46">
        <f>MEDIAN(F3:F114)</f>
        <v>8</v>
      </c>
      <c r="G128" s="47">
        <f>MEDIAN(G3:G114)</f>
        <v>7</v>
      </c>
      <c r="H128" s="47">
        <f>MEDIAN(H3:H114)</f>
        <v>1</v>
      </c>
      <c r="J128" s="46">
        <f>MEDIAN(J3:J114)</f>
        <v>2</v>
      </c>
      <c r="K128" s="47">
        <f>MEDIAN(K3:K114)</f>
        <v>3</v>
      </c>
      <c r="L128" s="47">
        <f>MEDIAN(L3:L114)</f>
        <v>-2</v>
      </c>
      <c r="N128" s="46">
        <f>MEDIAN(N3:N114)</f>
        <v>76</v>
      </c>
      <c r="O128" s="47">
        <f>MEDIAN(O3:O114)</f>
        <v>66</v>
      </c>
      <c r="P128" s="47">
        <f>MEDIAN(P3:P114)</f>
        <v>8.5</v>
      </c>
      <c r="R128" s="46">
        <f>MEDIAN(R3:R114)</f>
        <v>57</v>
      </c>
      <c r="S128" s="47">
        <f>MEDIAN(S3:S114)</f>
        <v>47</v>
      </c>
      <c r="T128" s="47">
        <f>MEDIAN(T3:T114)</f>
        <v>9</v>
      </c>
      <c r="V128" s="46">
        <f>MEDIAN(V3:V114)</f>
        <v>42</v>
      </c>
      <c r="W128" s="47">
        <f>MEDIAN(W3:W114)</f>
        <v>31</v>
      </c>
      <c r="X128" s="47">
        <f>MEDIAN(X3:X114)</f>
        <v>13</v>
      </c>
      <c r="Z128" s="46">
        <f>MEDIAN(Z3:Z114)</f>
        <v>41</v>
      </c>
      <c r="AA128" s="47">
        <f>MEDIAN(AA3:AA114)</f>
        <v>30</v>
      </c>
      <c r="AB128" s="47">
        <f>MEDIAN(AB3:AB114)</f>
        <v>9.5</v>
      </c>
    </row>
    <row r="129" spans="1:29" x14ac:dyDescent="0.2">
      <c r="A129" s="26" t="s">
        <v>215</v>
      </c>
      <c r="B129" s="46">
        <f>MIN(B3:B114)</f>
        <v>44</v>
      </c>
      <c r="C129" s="47">
        <f>MIN(C3:C114)</f>
        <v>47</v>
      </c>
      <c r="D129" s="47">
        <f>MIN(D3:D114)</f>
        <v>-23</v>
      </c>
      <c r="F129" s="46">
        <f>MIN(F3:F114)</f>
        <v>1</v>
      </c>
      <c r="G129" s="47">
        <f>MIN(G3:G114)</f>
        <v>0</v>
      </c>
      <c r="H129" s="47">
        <f>MIN(H3:H114)</f>
        <v>-17</v>
      </c>
      <c r="J129" s="46">
        <f>MIN(J3:J114)</f>
        <v>0</v>
      </c>
      <c r="K129" s="47">
        <f>MIN(K3:K114)</f>
        <v>0</v>
      </c>
      <c r="L129" s="47">
        <f>MIN(L3:L114)</f>
        <v>-10</v>
      </c>
      <c r="N129" s="46">
        <f>MIN(N3:N114)</f>
        <v>59</v>
      </c>
      <c r="O129" s="47">
        <f>MIN(O3:O114)</f>
        <v>51</v>
      </c>
      <c r="P129" s="47">
        <f>MIN(P3:P114)</f>
        <v>-13</v>
      </c>
      <c r="R129" s="46">
        <f>MIN(R3:R114)</f>
        <v>29</v>
      </c>
      <c r="S129" s="47">
        <f>MIN(S3:S114)</f>
        <v>20</v>
      </c>
      <c r="T129" s="47">
        <f>MIN(T3:T114)</f>
        <v>-16</v>
      </c>
      <c r="V129" s="46">
        <f>MIN(V3:V114)</f>
        <v>20</v>
      </c>
      <c r="W129" s="47">
        <f>MIN(W3:W114)</f>
        <v>0</v>
      </c>
      <c r="X129" s="47">
        <f>MIN(X3:X114)</f>
        <v>-60</v>
      </c>
      <c r="Z129" s="46">
        <f>MIN(Z3:Z114)</f>
        <v>28</v>
      </c>
      <c r="AA129" s="47">
        <f>MIN(AA3:AA114)</f>
        <v>14</v>
      </c>
      <c r="AB129" s="47">
        <f>MIN(AB3:AB114)</f>
        <v>-5</v>
      </c>
    </row>
    <row r="130" spans="1:29" x14ac:dyDescent="0.2">
      <c r="A130" s="26" t="s">
        <v>216</v>
      </c>
      <c r="B130" s="46">
        <f>MAX(B3:B114)</f>
        <v>77</v>
      </c>
      <c r="C130" s="47">
        <f>MAX(C3:C114)</f>
        <v>78</v>
      </c>
      <c r="D130" s="47">
        <f>MAX(D3:D114)</f>
        <v>25</v>
      </c>
      <c r="F130" s="46">
        <f>MAX(F3:F114)</f>
        <v>39</v>
      </c>
      <c r="G130" s="47">
        <f>MAX(G3:G114)</f>
        <v>29</v>
      </c>
      <c r="H130" s="47">
        <f>MAX(H3:H114)</f>
        <v>24</v>
      </c>
      <c r="J130" s="46">
        <f>MAX(J3:J114)</f>
        <v>9</v>
      </c>
      <c r="K130" s="47">
        <f>MAX(K3:K114)</f>
        <v>11</v>
      </c>
      <c r="L130" s="47">
        <f>MAX(L3:L114)</f>
        <v>6</v>
      </c>
      <c r="N130" s="46">
        <f>MAX(N3:N114)</f>
        <v>91</v>
      </c>
      <c r="O130" s="47">
        <f>MAX(O3:O114)</f>
        <v>84</v>
      </c>
      <c r="P130" s="47">
        <f>MAX(P3:P114)</f>
        <v>37</v>
      </c>
      <c r="R130" s="46">
        <f>MAX(R3:R114)</f>
        <v>79</v>
      </c>
      <c r="S130" s="47">
        <f>MAX(S3:S114)</f>
        <v>62</v>
      </c>
      <c r="T130" s="47">
        <f>MAX(T3:T114)</f>
        <v>49</v>
      </c>
      <c r="V130" s="46">
        <f>MAX(V3:V114)</f>
        <v>100</v>
      </c>
      <c r="W130" s="47">
        <f>MAX(W3:W114)</f>
        <v>100</v>
      </c>
      <c r="X130" s="47">
        <f>MAX(X3:X114)</f>
        <v>100</v>
      </c>
      <c r="Z130" s="46">
        <f>MAX(Z3:Z114)</f>
        <v>56</v>
      </c>
      <c r="AA130" s="47">
        <f>MAX(AA3:AA114)</f>
        <v>43</v>
      </c>
      <c r="AB130" s="47">
        <f>MAX(AB3:AB114)</f>
        <v>41</v>
      </c>
    </row>
    <row r="131" spans="1:29" s="82" customFormat="1" x14ac:dyDescent="0.2">
      <c r="A131" s="87" t="s">
        <v>214</v>
      </c>
      <c r="B131" s="88">
        <f>B130-B129</f>
        <v>33</v>
      </c>
      <c r="C131" s="89">
        <f>C130-C129</f>
        <v>31</v>
      </c>
      <c r="D131" s="89">
        <f>D130-D129</f>
        <v>48</v>
      </c>
      <c r="E131" s="90"/>
      <c r="F131" s="88">
        <f>F130-F129</f>
        <v>38</v>
      </c>
      <c r="G131" s="89">
        <f>G130-G129</f>
        <v>29</v>
      </c>
      <c r="H131" s="89">
        <f>H130-H129</f>
        <v>41</v>
      </c>
      <c r="I131" s="90"/>
      <c r="J131" s="88">
        <f>J130-J129</f>
        <v>9</v>
      </c>
      <c r="K131" s="89">
        <f>K130-K129</f>
        <v>11</v>
      </c>
      <c r="L131" s="89">
        <f>L130-L129</f>
        <v>16</v>
      </c>
      <c r="M131" s="89"/>
      <c r="N131" s="88">
        <f>N130-N129</f>
        <v>32</v>
      </c>
      <c r="O131" s="89">
        <f>O130-O129</f>
        <v>33</v>
      </c>
      <c r="P131" s="89">
        <f>P130-P129</f>
        <v>50</v>
      </c>
      <c r="Q131" s="89"/>
      <c r="R131" s="88">
        <f>R130-R129</f>
        <v>50</v>
      </c>
      <c r="S131" s="89">
        <f>S130-S129</f>
        <v>42</v>
      </c>
      <c r="T131" s="89">
        <f>T130-T129</f>
        <v>65</v>
      </c>
      <c r="U131" s="89"/>
      <c r="V131" s="88">
        <f>V130-V129</f>
        <v>80</v>
      </c>
      <c r="W131" s="89">
        <f>W130-W129</f>
        <v>100</v>
      </c>
      <c r="X131" s="89">
        <f>X130-X129</f>
        <v>160</v>
      </c>
      <c r="Y131" s="90"/>
      <c r="Z131" s="88">
        <f>Z130-Z129</f>
        <v>28</v>
      </c>
      <c r="AA131" s="89">
        <f>AA130-AA129</f>
        <v>29</v>
      </c>
      <c r="AB131" s="89">
        <f>AB130-AB129</f>
        <v>46</v>
      </c>
      <c r="AC131" s="90"/>
    </row>
  </sheetData>
  <mergeCells count="7">
    <mergeCell ref="Z1:AC1"/>
    <mergeCell ref="B1:E1"/>
    <mergeCell ref="F1:I1"/>
    <mergeCell ref="J1:M1"/>
    <mergeCell ref="N1:Q1"/>
    <mergeCell ref="R1:U1"/>
    <mergeCell ref="V1:Y1"/>
  </mergeCells>
  <dataValidations count="6">
    <dataValidation allowBlank="1" showInputMessage="1" showErrorMessage="1" prompt="Number of first serves, which were considered &quot;in&quot;, divided by total number of first serves available, Includes aces" sqref="B1:E1"/>
    <dataValidation allowBlank="1" showInputMessage="1" showErrorMessage="1" prompt="Recorded as winner from the baseline" sqref="F1:I1"/>
    <dataValidation allowBlank="1" showInputMessage="1" showErrorMessage="1" prompt="Number of points won on first serve, divided by total number of first serves available. Includes aces. This metric is always less or equal than the 1st serve %. " sqref="N1:Q1"/>
    <dataValidation allowBlank="1" showInputMessage="1" showErrorMessage="1" prompt="Number of second serves which were considered &quot;in&quot;, divided by total number of second serves available, Includes aces" sqref="R1:U1 Z1:AC1"/>
    <dataValidation allowBlank="1" showInputMessage="1" showErrorMessage="1" prompt="Number of breakpoints won divided by total number of break points played." sqref="V1:Y1"/>
    <dataValidation allowBlank="1" showInputMessage="1" showErrorMessage="1" prompt="Recorded as unforced error from the baseline" sqref="J1:M1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8"/>
  <sheetViews>
    <sheetView showGridLines="0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B1" sqref="B1:E1"/>
    </sheetView>
  </sheetViews>
  <sheetFormatPr defaultRowHeight="12.75" x14ac:dyDescent="0.2"/>
  <cols>
    <col min="1" max="1" width="21.85546875" style="26" bestFit="1" customWidth="1"/>
    <col min="2" max="25" width="7.42578125" style="27" customWidth="1"/>
    <col min="26" max="16384" width="9.140625" style="18"/>
  </cols>
  <sheetData>
    <row r="1" spans="1:25" ht="31.5" customHeight="1" x14ac:dyDescent="0.2">
      <c r="A1" s="17"/>
      <c r="B1" s="104" t="s">
        <v>189</v>
      </c>
      <c r="C1" s="105"/>
      <c r="D1" s="105"/>
      <c r="E1" s="106"/>
      <c r="F1" s="107" t="s">
        <v>190</v>
      </c>
      <c r="G1" s="108"/>
      <c r="H1" s="108"/>
      <c r="I1" s="109"/>
      <c r="J1" s="110" t="s">
        <v>191</v>
      </c>
      <c r="K1" s="111"/>
      <c r="L1" s="111"/>
      <c r="M1" s="112"/>
      <c r="N1" s="101" t="s">
        <v>192</v>
      </c>
      <c r="O1" s="102"/>
      <c r="P1" s="102"/>
      <c r="Q1" s="103"/>
      <c r="R1" s="104" t="s">
        <v>193</v>
      </c>
      <c r="S1" s="105"/>
      <c r="T1" s="105"/>
      <c r="U1" s="106"/>
      <c r="V1" s="101" t="s">
        <v>194</v>
      </c>
      <c r="W1" s="102"/>
      <c r="X1" s="102"/>
      <c r="Y1" s="103"/>
    </row>
    <row r="2" spans="1:25" x14ac:dyDescent="0.2">
      <c r="A2" s="19"/>
      <c r="B2" s="20" t="s">
        <v>180</v>
      </c>
      <c r="C2" s="20" t="s">
        <v>195</v>
      </c>
      <c r="D2" s="20" t="s">
        <v>182</v>
      </c>
      <c r="E2" s="20" t="b">
        <v>1</v>
      </c>
      <c r="F2" s="21" t="s">
        <v>180</v>
      </c>
      <c r="G2" s="21" t="s">
        <v>195</v>
      </c>
      <c r="H2" s="21" t="s">
        <v>182</v>
      </c>
      <c r="I2" s="21" t="b">
        <v>1</v>
      </c>
      <c r="J2" s="20" t="s">
        <v>180</v>
      </c>
      <c r="K2" s="20" t="s">
        <v>195</v>
      </c>
      <c r="L2" s="20" t="s">
        <v>182</v>
      </c>
      <c r="M2" s="20" t="b">
        <v>1</v>
      </c>
      <c r="N2" s="21" t="s">
        <v>180</v>
      </c>
      <c r="O2" s="21" t="s">
        <v>195</v>
      </c>
      <c r="P2" s="21" t="s">
        <v>182</v>
      </c>
      <c r="Q2" s="21" t="b">
        <v>1</v>
      </c>
      <c r="R2" s="20" t="s">
        <v>180</v>
      </c>
      <c r="S2" s="20" t="s">
        <v>195</v>
      </c>
      <c r="T2" s="20" t="s">
        <v>182</v>
      </c>
      <c r="U2" s="20" t="b">
        <v>1</v>
      </c>
      <c r="V2" s="21" t="s">
        <v>180</v>
      </c>
      <c r="W2" s="21" t="s">
        <v>195</v>
      </c>
      <c r="X2" s="21" t="s">
        <v>182</v>
      </c>
      <c r="Y2" s="21" t="b">
        <v>1</v>
      </c>
    </row>
    <row r="3" spans="1:25" x14ac:dyDescent="0.2">
      <c r="A3" s="19" t="s">
        <v>196</v>
      </c>
      <c r="B3" s="22">
        <v>60</v>
      </c>
      <c r="C3" s="22">
        <v>65</v>
      </c>
      <c r="D3" s="22">
        <f>B3-C3</f>
        <v>-5</v>
      </c>
      <c r="E3" s="22">
        <f t="shared" ref="E3:E21" si="0">IF(B3&gt;=C3,1,0)</f>
        <v>0</v>
      </c>
      <c r="F3" s="23">
        <v>8</v>
      </c>
      <c r="G3" s="23">
        <v>10</v>
      </c>
      <c r="H3" s="23">
        <f>F3-G3</f>
        <v>-2</v>
      </c>
      <c r="I3" s="23">
        <f>IF(F3&gt;=G3,1,0)</f>
        <v>0</v>
      </c>
      <c r="J3" s="22">
        <v>1</v>
      </c>
      <c r="K3" s="22">
        <v>3</v>
      </c>
      <c r="L3" s="22">
        <f>J3-K3</f>
        <v>-2</v>
      </c>
      <c r="M3" s="22">
        <f>IF(J3&lt;=K3,1,0)</f>
        <v>1</v>
      </c>
      <c r="N3" s="23">
        <v>59</v>
      </c>
      <c r="O3" s="23">
        <v>65</v>
      </c>
      <c r="P3" s="23">
        <f>N3-O3</f>
        <v>-6</v>
      </c>
      <c r="Q3" s="23">
        <f>IF(N3&gt;=O3,1,0)</f>
        <v>0</v>
      </c>
      <c r="R3" s="22">
        <v>62</v>
      </c>
      <c r="S3" s="22">
        <v>34</v>
      </c>
      <c r="T3" s="22">
        <f>R3-S3</f>
        <v>28</v>
      </c>
      <c r="U3" s="22">
        <f>IF(R3&gt;=S3,1,0)</f>
        <v>1</v>
      </c>
      <c r="V3" s="23">
        <v>56</v>
      </c>
      <c r="W3" s="23">
        <v>42</v>
      </c>
      <c r="X3" s="23">
        <f>V3-W3</f>
        <v>14</v>
      </c>
      <c r="Y3" s="23">
        <f>IF(V3&gt;=W3,1,0)</f>
        <v>1</v>
      </c>
    </row>
    <row r="4" spans="1:25" x14ac:dyDescent="0.2">
      <c r="A4" s="24" t="s">
        <v>178</v>
      </c>
      <c r="B4" s="22">
        <v>64</v>
      </c>
      <c r="C4" s="22">
        <v>59</v>
      </c>
      <c r="D4" s="22">
        <f t="shared" ref="D4:D67" si="1">B4-C4</f>
        <v>5</v>
      </c>
      <c r="E4" s="22">
        <f t="shared" si="0"/>
        <v>1</v>
      </c>
      <c r="F4" s="23">
        <v>5</v>
      </c>
      <c r="G4" s="23">
        <v>10</v>
      </c>
      <c r="H4" s="23">
        <f t="shared" ref="H4:H67" si="2">F4-G4</f>
        <v>-5</v>
      </c>
      <c r="I4" s="23">
        <f t="shared" ref="I4:I67" si="3">IF(F4&gt;=G4,1,0)</f>
        <v>0</v>
      </c>
      <c r="J4" s="22">
        <v>3</v>
      </c>
      <c r="K4" s="22">
        <v>4</v>
      </c>
      <c r="L4" s="22">
        <f t="shared" ref="L4:L67" si="4">J4-K4</f>
        <v>-1</v>
      </c>
      <c r="M4" s="22">
        <f t="shared" ref="M4:M67" si="5">IF(J4&lt;=K4,1,0)</f>
        <v>1</v>
      </c>
      <c r="N4" s="23">
        <v>70</v>
      </c>
      <c r="O4" s="23">
        <v>64</v>
      </c>
      <c r="P4" s="23">
        <f t="shared" ref="P4:P67" si="6">N4-O4</f>
        <v>6</v>
      </c>
      <c r="Q4" s="23">
        <f t="shared" ref="Q4:Q67" si="7">IF(N4&gt;=O4,1,0)</f>
        <v>1</v>
      </c>
      <c r="R4" s="22">
        <v>58</v>
      </c>
      <c r="S4" s="22">
        <v>52</v>
      </c>
      <c r="T4" s="22">
        <f t="shared" ref="T4:T67" si="8">R4-S4</f>
        <v>6</v>
      </c>
      <c r="U4" s="22">
        <f t="shared" ref="U4:U67" si="9">IF(R4&gt;=S4,1,0)</f>
        <v>1</v>
      </c>
      <c r="V4" s="23">
        <v>41</v>
      </c>
      <c r="W4" s="23">
        <v>63</v>
      </c>
      <c r="X4" s="23">
        <f t="shared" ref="X4:X67" si="10">V4-W4</f>
        <v>-22</v>
      </c>
      <c r="Y4" s="23">
        <f t="shared" ref="Y4:Y67" si="11">IF(V4&gt;=W4,1,0)</f>
        <v>0</v>
      </c>
    </row>
    <row r="5" spans="1:25" x14ac:dyDescent="0.2">
      <c r="A5" s="24" t="s">
        <v>178</v>
      </c>
      <c r="B5" s="22">
        <v>65</v>
      </c>
      <c r="C5" s="22">
        <v>59</v>
      </c>
      <c r="D5" s="22">
        <f t="shared" si="1"/>
        <v>6</v>
      </c>
      <c r="E5" s="22">
        <f t="shared" si="0"/>
        <v>1</v>
      </c>
      <c r="F5" s="23">
        <v>15</v>
      </c>
      <c r="G5" s="23">
        <v>5</v>
      </c>
      <c r="H5" s="23">
        <f t="shared" si="2"/>
        <v>10</v>
      </c>
      <c r="I5" s="23">
        <f t="shared" si="3"/>
        <v>1</v>
      </c>
      <c r="J5" s="22">
        <v>2</v>
      </c>
      <c r="K5" s="22">
        <v>6</v>
      </c>
      <c r="L5" s="22">
        <f t="shared" si="4"/>
        <v>-4</v>
      </c>
      <c r="M5" s="22">
        <f t="shared" si="5"/>
        <v>1</v>
      </c>
      <c r="N5" s="23">
        <v>75</v>
      </c>
      <c r="O5" s="23">
        <v>67</v>
      </c>
      <c r="P5" s="23">
        <f t="shared" si="6"/>
        <v>8</v>
      </c>
      <c r="Q5" s="23">
        <f t="shared" si="7"/>
        <v>1</v>
      </c>
      <c r="R5" s="22">
        <v>53</v>
      </c>
      <c r="S5" s="22">
        <v>50</v>
      </c>
      <c r="T5" s="22">
        <f t="shared" si="8"/>
        <v>3</v>
      </c>
      <c r="U5" s="22">
        <f t="shared" si="9"/>
        <v>1</v>
      </c>
      <c r="V5" s="23">
        <v>60</v>
      </c>
      <c r="W5" s="23">
        <v>33</v>
      </c>
      <c r="X5" s="23">
        <f t="shared" si="10"/>
        <v>27</v>
      </c>
      <c r="Y5" s="23">
        <f t="shared" si="11"/>
        <v>1</v>
      </c>
    </row>
    <row r="6" spans="1:25" x14ac:dyDescent="0.2">
      <c r="A6" s="24" t="s">
        <v>179</v>
      </c>
      <c r="B6" s="22">
        <v>71</v>
      </c>
      <c r="C6" s="22">
        <v>68</v>
      </c>
      <c r="D6" s="22">
        <f t="shared" si="1"/>
        <v>3</v>
      </c>
      <c r="E6" s="22">
        <f t="shared" si="0"/>
        <v>1</v>
      </c>
      <c r="F6" s="23">
        <v>8</v>
      </c>
      <c r="G6" s="23">
        <v>15</v>
      </c>
      <c r="H6" s="23">
        <f t="shared" si="2"/>
        <v>-7</v>
      </c>
      <c r="I6" s="23">
        <f t="shared" si="3"/>
        <v>0</v>
      </c>
      <c r="J6" s="22">
        <v>2</v>
      </c>
      <c r="K6" s="22">
        <v>2</v>
      </c>
      <c r="L6" s="22">
        <f t="shared" si="4"/>
        <v>0</v>
      </c>
      <c r="M6" s="22">
        <f t="shared" si="5"/>
        <v>1</v>
      </c>
      <c r="N6" s="23">
        <v>89</v>
      </c>
      <c r="O6" s="23">
        <v>72</v>
      </c>
      <c r="P6" s="23">
        <f t="shared" si="6"/>
        <v>17</v>
      </c>
      <c r="Q6" s="23">
        <f t="shared" si="7"/>
        <v>1</v>
      </c>
      <c r="R6" s="22">
        <v>74</v>
      </c>
      <c r="S6" s="22">
        <v>53</v>
      </c>
      <c r="T6" s="22">
        <f t="shared" si="8"/>
        <v>21</v>
      </c>
      <c r="U6" s="22">
        <f t="shared" si="9"/>
        <v>1</v>
      </c>
      <c r="V6" s="23">
        <v>27</v>
      </c>
      <c r="W6" s="23">
        <v>0</v>
      </c>
      <c r="X6" s="23">
        <f t="shared" si="10"/>
        <v>27</v>
      </c>
      <c r="Y6" s="23">
        <f t="shared" si="11"/>
        <v>1</v>
      </c>
    </row>
    <row r="7" spans="1:25" x14ac:dyDescent="0.2">
      <c r="A7" s="24" t="s">
        <v>179</v>
      </c>
      <c r="B7" s="22">
        <v>63</v>
      </c>
      <c r="C7" s="22">
        <v>62</v>
      </c>
      <c r="D7" s="22">
        <f t="shared" si="1"/>
        <v>1</v>
      </c>
      <c r="E7" s="22">
        <f t="shared" si="0"/>
        <v>1</v>
      </c>
      <c r="F7" s="23">
        <v>20</v>
      </c>
      <c r="G7" s="23">
        <v>6</v>
      </c>
      <c r="H7" s="23">
        <f t="shared" si="2"/>
        <v>14</v>
      </c>
      <c r="I7" s="23">
        <f t="shared" si="3"/>
        <v>1</v>
      </c>
      <c r="J7" s="22">
        <v>4</v>
      </c>
      <c r="K7" s="22">
        <v>2</v>
      </c>
      <c r="L7" s="22">
        <f t="shared" si="4"/>
        <v>2</v>
      </c>
      <c r="M7" s="22">
        <f t="shared" si="5"/>
        <v>0</v>
      </c>
      <c r="N7" s="23">
        <v>86</v>
      </c>
      <c r="O7" s="23">
        <v>74</v>
      </c>
      <c r="P7" s="23">
        <f t="shared" si="6"/>
        <v>12</v>
      </c>
      <c r="Q7" s="23">
        <f t="shared" si="7"/>
        <v>1</v>
      </c>
      <c r="R7" s="22">
        <v>53</v>
      </c>
      <c r="S7" s="22">
        <v>50</v>
      </c>
      <c r="T7" s="22">
        <f t="shared" si="8"/>
        <v>3</v>
      </c>
      <c r="U7" s="22">
        <f t="shared" si="9"/>
        <v>1</v>
      </c>
      <c r="V7" s="23">
        <v>27</v>
      </c>
      <c r="W7" s="23">
        <v>25</v>
      </c>
      <c r="X7" s="23">
        <f t="shared" si="10"/>
        <v>2</v>
      </c>
      <c r="Y7" s="23">
        <f t="shared" si="11"/>
        <v>1</v>
      </c>
    </row>
    <row r="8" spans="1:25" x14ac:dyDescent="0.2">
      <c r="A8" s="24" t="s">
        <v>179</v>
      </c>
      <c r="B8" s="22">
        <v>66</v>
      </c>
      <c r="C8" s="22">
        <v>74</v>
      </c>
      <c r="D8" s="22">
        <f t="shared" si="1"/>
        <v>-8</v>
      </c>
      <c r="E8" s="22">
        <f t="shared" si="0"/>
        <v>0</v>
      </c>
      <c r="F8" s="23">
        <v>10</v>
      </c>
      <c r="G8" s="23">
        <v>3</v>
      </c>
      <c r="H8" s="23">
        <f t="shared" si="2"/>
        <v>7</v>
      </c>
      <c r="I8" s="23">
        <f t="shared" si="3"/>
        <v>1</v>
      </c>
      <c r="J8" s="22">
        <v>0</v>
      </c>
      <c r="K8" s="22">
        <v>6</v>
      </c>
      <c r="L8" s="22">
        <f t="shared" si="4"/>
        <v>-6</v>
      </c>
      <c r="M8" s="22">
        <f t="shared" si="5"/>
        <v>1</v>
      </c>
      <c r="N8" s="23">
        <v>82</v>
      </c>
      <c r="O8" s="23">
        <v>64</v>
      </c>
      <c r="P8" s="23">
        <f t="shared" si="6"/>
        <v>18</v>
      </c>
      <c r="Q8" s="23">
        <f t="shared" si="7"/>
        <v>1</v>
      </c>
      <c r="R8" s="22">
        <v>47</v>
      </c>
      <c r="S8" s="22">
        <v>29</v>
      </c>
      <c r="T8" s="22">
        <f t="shared" si="8"/>
        <v>18</v>
      </c>
      <c r="U8" s="22">
        <f t="shared" si="9"/>
        <v>1</v>
      </c>
      <c r="V8" s="23">
        <v>50</v>
      </c>
      <c r="W8" s="23">
        <v>0</v>
      </c>
      <c r="X8" s="23">
        <f t="shared" si="10"/>
        <v>50</v>
      </c>
      <c r="Y8" s="23">
        <f t="shared" si="11"/>
        <v>1</v>
      </c>
    </row>
    <row r="9" spans="1:25" x14ac:dyDescent="0.2">
      <c r="A9" s="24" t="s">
        <v>179</v>
      </c>
      <c r="B9" s="22">
        <v>69</v>
      </c>
      <c r="C9" s="22">
        <v>63</v>
      </c>
      <c r="D9" s="22">
        <f t="shared" si="1"/>
        <v>6</v>
      </c>
      <c r="E9" s="22">
        <f t="shared" si="0"/>
        <v>1</v>
      </c>
      <c r="F9" s="23">
        <v>13</v>
      </c>
      <c r="G9" s="23">
        <v>9</v>
      </c>
      <c r="H9" s="23">
        <f t="shared" si="2"/>
        <v>4</v>
      </c>
      <c r="I9" s="23">
        <f t="shared" si="3"/>
        <v>1</v>
      </c>
      <c r="J9" s="22">
        <v>1</v>
      </c>
      <c r="K9" s="22">
        <v>3</v>
      </c>
      <c r="L9" s="22">
        <f t="shared" si="4"/>
        <v>-2</v>
      </c>
      <c r="M9" s="22">
        <f t="shared" si="5"/>
        <v>1</v>
      </c>
      <c r="N9" s="23">
        <v>80</v>
      </c>
      <c r="O9" s="23">
        <v>65</v>
      </c>
      <c r="P9" s="23">
        <f t="shared" si="6"/>
        <v>15</v>
      </c>
      <c r="Q9" s="23">
        <f t="shared" si="7"/>
        <v>1</v>
      </c>
      <c r="R9" s="22">
        <v>67</v>
      </c>
      <c r="S9" s="22">
        <v>51</v>
      </c>
      <c r="T9" s="22">
        <f t="shared" si="8"/>
        <v>16</v>
      </c>
      <c r="U9" s="22">
        <f t="shared" si="9"/>
        <v>1</v>
      </c>
      <c r="V9" s="23">
        <v>33</v>
      </c>
      <c r="W9" s="23">
        <v>50</v>
      </c>
      <c r="X9" s="23">
        <f t="shared" si="10"/>
        <v>-17</v>
      </c>
      <c r="Y9" s="23">
        <f t="shared" si="11"/>
        <v>0</v>
      </c>
    </row>
    <row r="10" spans="1:25" x14ac:dyDescent="0.2">
      <c r="A10" s="19">
        <v>2014</v>
      </c>
      <c r="B10" s="22">
        <v>55</v>
      </c>
      <c r="C10" s="22">
        <v>78</v>
      </c>
      <c r="D10" s="22">
        <f t="shared" si="1"/>
        <v>-23</v>
      </c>
      <c r="E10" s="22">
        <f t="shared" si="0"/>
        <v>0</v>
      </c>
      <c r="F10" s="23">
        <v>19</v>
      </c>
      <c r="G10" s="23">
        <v>1</v>
      </c>
      <c r="H10" s="23">
        <f t="shared" si="2"/>
        <v>18</v>
      </c>
      <c r="I10" s="23">
        <f t="shared" si="3"/>
        <v>1</v>
      </c>
      <c r="J10" s="22">
        <v>2</v>
      </c>
      <c r="K10" s="22">
        <v>3</v>
      </c>
      <c r="L10" s="22">
        <f t="shared" si="4"/>
        <v>-1</v>
      </c>
      <c r="M10" s="22">
        <f t="shared" si="5"/>
        <v>1</v>
      </c>
      <c r="N10" s="23">
        <v>87</v>
      </c>
      <c r="O10" s="23">
        <v>60</v>
      </c>
      <c r="P10" s="23">
        <f t="shared" si="6"/>
        <v>27</v>
      </c>
      <c r="Q10" s="23">
        <f t="shared" si="7"/>
        <v>1</v>
      </c>
      <c r="R10" s="22">
        <v>51</v>
      </c>
      <c r="S10" s="22">
        <v>42</v>
      </c>
      <c r="T10" s="22">
        <f t="shared" si="8"/>
        <v>9</v>
      </c>
      <c r="U10" s="22">
        <f t="shared" si="9"/>
        <v>1</v>
      </c>
      <c r="V10" s="23">
        <v>33</v>
      </c>
      <c r="W10" s="23">
        <v>33</v>
      </c>
      <c r="X10" s="23">
        <f t="shared" si="10"/>
        <v>0</v>
      </c>
      <c r="Y10" s="23">
        <f t="shared" si="11"/>
        <v>1</v>
      </c>
    </row>
    <row r="11" spans="1:25" x14ac:dyDescent="0.2">
      <c r="A11" s="25" t="s">
        <v>178</v>
      </c>
      <c r="B11" s="22">
        <v>65</v>
      </c>
      <c r="C11" s="22">
        <v>66</v>
      </c>
      <c r="D11" s="22">
        <f t="shared" si="1"/>
        <v>-1</v>
      </c>
      <c r="E11" s="22">
        <f t="shared" si="0"/>
        <v>0</v>
      </c>
      <c r="F11" s="23">
        <v>3</v>
      </c>
      <c r="G11" s="23">
        <v>8</v>
      </c>
      <c r="H11" s="23">
        <f t="shared" si="2"/>
        <v>-5</v>
      </c>
      <c r="I11" s="23">
        <f t="shared" si="3"/>
        <v>0</v>
      </c>
      <c r="J11" s="22">
        <v>1</v>
      </c>
      <c r="K11" s="22">
        <v>1</v>
      </c>
      <c r="L11" s="22">
        <f t="shared" si="4"/>
        <v>0</v>
      </c>
      <c r="M11" s="22">
        <f t="shared" si="5"/>
        <v>1</v>
      </c>
      <c r="N11" s="23">
        <v>73</v>
      </c>
      <c r="O11" s="23">
        <v>65</v>
      </c>
      <c r="P11" s="23">
        <f t="shared" si="6"/>
        <v>8</v>
      </c>
      <c r="Q11" s="23">
        <f t="shared" si="7"/>
        <v>1</v>
      </c>
      <c r="R11" s="22">
        <v>73</v>
      </c>
      <c r="S11" s="22">
        <v>50</v>
      </c>
      <c r="T11" s="22">
        <f t="shared" si="8"/>
        <v>23</v>
      </c>
      <c r="U11" s="22">
        <f t="shared" si="9"/>
        <v>1</v>
      </c>
      <c r="V11" s="23">
        <v>29</v>
      </c>
      <c r="W11" s="23">
        <v>50</v>
      </c>
      <c r="X11" s="23">
        <f t="shared" si="10"/>
        <v>-21</v>
      </c>
      <c r="Y11" s="23">
        <f t="shared" si="11"/>
        <v>0</v>
      </c>
    </row>
    <row r="12" spans="1:25" x14ac:dyDescent="0.2">
      <c r="A12" s="25" t="s">
        <v>178</v>
      </c>
      <c r="B12" s="22">
        <v>61</v>
      </c>
      <c r="C12" s="22">
        <v>62</v>
      </c>
      <c r="D12" s="22">
        <f t="shared" si="1"/>
        <v>-1</v>
      </c>
      <c r="E12" s="22">
        <f t="shared" si="0"/>
        <v>0</v>
      </c>
      <c r="F12" s="23">
        <v>18</v>
      </c>
      <c r="G12" s="23">
        <v>21</v>
      </c>
      <c r="H12" s="23">
        <f t="shared" si="2"/>
        <v>-3</v>
      </c>
      <c r="I12" s="23">
        <f t="shared" si="3"/>
        <v>0</v>
      </c>
      <c r="J12" s="22">
        <v>4</v>
      </c>
      <c r="K12" s="22">
        <v>7</v>
      </c>
      <c r="L12" s="22">
        <f t="shared" si="4"/>
        <v>-3</v>
      </c>
      <c r="M12" s="22">
        <f t="shared" si="5"/>
        <v>1</v>
      </c>
      <c r="N12" s="23">
        <v>82</v>
      </c>
      <c r="O12" s="23">
        <v>82</v>
      </c>
      <c r="P12" s="23">
        <f t="shared" si="6"/>
        <v>0</v>
      </c>
      <c r="Q12" s="23">
        <f t="shared" si="7"/>
        <v>1</v>
      </c>
      <c r="R12" s="22">
        <v>56</v>
      </c>
      <c r="S12" s="22">
        <v>57</v>
      </c>
      <c r="T12" s="22">
        <f t="shared" si="8"/>
        <v>-1</v>
      </c>
      <c r="U12" s="22">
        <f t="shared" si="9"/>
        <v>0</v>
      </c>
      <c r="V12" s="23">
        <v>25</v>
      </c>
      <c r="W12" s="23">
        <v>0</v>
      </c>
      <c r="X12" s="23">
        <f t="shared" si="10"/>
        <v>25</v>
      </c>
      <c r="Y12" s="23">
        <f t="shared" si="11"/>
        <v>1</v>
      </c>
    </row>
    <row r="13" spans="1:25" x14ac:dyDescent="0.2">
      <c r="A13" s="25" t="s">
        <v>179</v>
      </c>
      <c r="B13" s="22">
        <v>73</v>
      </c>
      <c r="C13" s="22">
        <v>58</v>
      </c>
      <c r="D13" s="22">
        <f t="shared" si="1"/>
        <v>15</v>
      </c>
      <c r="E13" s="22">
        <f t="shared" si="0"/>
        <v>1</v>
      </c>
      <c r="F13" s="23">
        <v>3</v>
      </c>
      <c r="G13" s="23">
        <v>16</v>
      </c>
      <c r="H13" s="23">
        <f t="shared" si="2"/>
        <v>-13</v>
      </c>
      <c r="I13" s="23">
        <f t="shared" si="3"/>
        <v>0</v>
      </c>
      <c r="J13" s="22">
        <v>7</v>
      </c>
      <c r="K13" s="22">
        <v>5</v>
      </c>
      <c r="L13" s="22">
        <f t="shared" si="4"/>
        <v>2</v>
      </c>
      <c r="M13" s="22">
        <f t="shared" si="5"/>
        <v>0</v>
      </c>
      <c r="N13" s="23">
        <v>73</v>
      </c>
      <c r="O13" s="23">
        <v>71</v>
      </c>
      <c r="P13" s="23">
        <f t="shared" si="6"/>
        <v>2</v>
      </c>
      <c r="Q13" s="23">
        <f t="shared" si="7"/>
        <v>1</v>
      </c>
      <c r="R13" s="22">
        <v>67</v>
      </c>
      <c r="S13" s="22">
        <v>49</v>
      </c>
      <c r="T13" s="22">
        <f t="shared" si="8"/>
        <v>18</v>
      </c>
      <c r="U13" s="22">
        <f t="shared" si="9"/>
        <v>1</v>
      </c>
      <c r="V13" s="23">
        <v>36</v>
      </c>
      <c r="W13" s="23">
        <v>50</v>
      </c>
      <c r="X13" s="23">
        <f t="shared" si="10"/>
        <v>-14</v>
      </c>
      <c r="Y13" s="23">
        <f t="shared" si="11"/>
        <v>0</v>
      </c>
    </row>
    <row r="14" spans="1:25" x14ac:dyDescent="0.2">
      <c r="A14" s="25" t="s">
        <v>179</v>
      </c>
      <c r="B14" s="22">
        <v>64</v>
      </c>
      <c r="C14" s="22">
        <v>61</v>
      </c>
      <c r="D14" s="22">
        <f t="shared" si="1"/>
        <v>3</v>
      </c>
      <c r="E14" s="22">
        <f t="shared" si="0"/>
        <v>1</v>
      </c>
      <c r="F14" s="23">
        <v>10</v>
      </c>
      <c r="G14" s="23">
        <v>9</v>
      </c>
      <c r="H14" s="23">
        <f t="shared" si="2"/>
        <v>1</v>
      </c>
      <c r="I14" s="23">
        <f t="shared" si="3"/>
        <v>1</v>
      </c>
      <c r="J14" s="22">
        <v>0</v>
      </c>
      <c r="K14" s="22">
        <v>1</v>
      </c>
      <c r="L14" s="22">
        <f t="shared" si="4"/>
        <v>-1</v>
      </c>
      <c r="M14" s="22">
        <f t="shared" si="5"/>
        <v>1</v>
      </c>
      <c r="N14" s="23">
        <v>78</v>
      </c>
      <c r="O14" s="23">
        <v>67</v>
      </c>
      <c r="P14" s="23">
        <f t="shared" si="6"/>
        <v>11</v>
      </c>
      <c r="Q14" s="23">
        <f t="shared" si="7"/>
        <v>1</v>
      </c>
      <c r="R14" s="22">
        <v>64</v>
      </c>
      <c r="S14" s="22">
        <v>49</v>
      </c>
      <c r="T14" s="22">
        <f t="shared" si="8"/>
        <v>15</v>
      </c>
      <c r="U14" s="22">
        <f t="shared" si="9"/>
        <v>1</v>
      </c>
      <c r="V14" s="23">
        <v>24</v>
      </c>
      <c r="W14" s="23">
        <v>50</v>
      </c>
      <c r="X14" s="23">
        <f t="shared" si="10"/>
        <v>-26</v>
      </c>
      <c r="Y14" s="23">
        <f t="shared" si="11"/>
        <v>0</v>
      </c>
    </row>
    <row r="15" spans="1:25" x14ac:dyDescent="0.2">
      <c r="A15" s="25" t="s">
        <v>179</v>
      </c>
      <c r="B15" s="22">
        <v>52</v>
      </c>
      <c r="C15" s="22">
        <v>61</v>
      </c>
      <c r="D15" s="22">
        <f t="shared" si="1"/>
        <v>-9</v>
      </c>
      <c r="E15" s="22">
        <f t="shared" si="0"/>
        <v>0</v>
      </c>
      <c r="F15" s="23">
        <v>10</v>
      </c>
      <c r="G15" s="23">
        <v>2</v>
      </c>
      <c r="H15" s="23">
        <f t="shared" si="2"/>
        <v>8</v>
      </c>
      <c r="I15" s="23">
        <f t="shared" si="3"/>
        <v>1</v>
      </c>
      <c r="J15" s="22">
        <v>4</v>
      </c>
      <c r="K15" s="22">
        <v>1</v>
      </c>
      <c r="L15" s="22">
        <f t="shared" si="4"/>
        <v>3</v>
      </c>
      <c r="M15" s="22">
        <f t="shared" si="5"/>
        <v>0</v>
      </c>
      <c r="N15" s="23">
        <v>78</v>
      </c>
      <c r="O15" s="23">
        <v>64</v>
      </c>
      <c r="P15" s="23">
        <f t="shared" si="6"/>
        <v>14</v>
      </c>
      <c r="Q15" s="23">
        <f t="shared" si="7"/>
        <v>1</v>
      </c>
      <c r="R15" s="22">
        <v>44</v>
      </c>
      <c r="S15" s="22">
        <v>50</v>
      </c>
      <c r="T15" s="22">
        <f t="shared" si="8"/>
        <v>-6</v>
      </c>
      <c r="U15" s="22">
        <f t="shared" si="9"/>
        <v>0</v>
      </c>
      <c r="V15" s="23">
        <v>38</v>
      </c>
      <c r="W15" s="23">
        <v>25</v>
      </c>
      <c r="X15" s="23">
        <f t="shared" si="10"/>
        <v>13</v>
      </c>
      <c r="Y15" s="23">
        <f t="shared" si="11"/>
        <v>1</v>
      </c>
    </row>
    <row r="16" spans="1:25" x14ac:dyDescent="0.2">
      <c r="A16" s="25" t="s">
        <v>179</v>
      </c>
      <c r="B16" s="22">
        <v>58</v>
      </c>
      <c r="C16" s="22">
        <v>73</v>
      </c>
      <c r="D16" s="22">
        <f t="shared" si="1"/>
        <v>-15</v>
      </c>
      <c r="E16" s="22">
        <f t="shared" si="0"/>
        <v>0</v>
      </c>
      <c r="F16" s="23">
        <v>17</v>
      </c>
      <c r="G16" s="23">
        <v>7</v>
      </c>
      <c r="H16" s="23">
        <f t="shared" si="2"/>
        <v>10</v>
      </c>
      <c r="I16" s="23">
        <f t="shared" si="3"/>
        <v>1</v>
      </c>
      <c r="J16" s="22">
        <v>5</v>
      </c>
      <c r="K16" s="22">
        <v>1</v>
      </c>
      <c r="L16" s="22">
        <f t="shared" si="4"/>
        <v>4</v>
      </c>
      <c r="M16" s="22">
        <f t="shared" si="5"/>
        <v>0</v>
      </c>
      <c r="N16" s="23">
        <v>72</v>
      </c>
      <c r="O16" s="23">
        <v>71</v>
      </c>
      <c r="P16" s="23">
        <f t="shared" si="6"/>
        <v>1</v>
      </c>
      <c r="Q16" s="23">
        <f t="shared" si="7"/>
        <v>1</v>
      </c>
      <c r="R16" s="22">
        <v>50</v>
      </c>
      <c r="S16" s="22">
        <v>59</v>
      </c>
      <c r="T16" s="22">
        <f t="shared" si="8"/>
        <v>-9</v>
      </c>
      <c r="U16" s="22">
        <f t="shared" si="9"/>
        <v>0</v>
      </c>
      <c r="V16" s="23">
        <v>50</v>
      </c>
      <c r="W16" s="23">
        <v>57</v>
      </c>
      <c r="X16" s="23">
        <f t="shared" si="10"/>
        <v>-7</v>
      </c>
      <c r="Y16" s="23">
        <f t="shared" si="11"/>
        <v>0</v>
      </c>
    </row>
    <row r="17" spans="1:25" x14ac:dyDescent="0.2">
      <c r="A17" s="19">
        <v>2013</v>
      </c>
      <c r="B17" s="22">
        <v>63</v>
      </c>
      <c r="C17" s="22">
        <v>60</v>
      </c>
      <c r="D17" s="22">
        <f t="shared" si="1"/>
        <v>3</v>
      </c>
      <c r="E17" s="22">
        <f t="shared" si="0"/>
        <v>1</v>
      </c>
      <c r="F17" s="23">
        <v>8</v>
      </c>
      <c r="G17" s="23">
        <v>7</v>
      </c>
      <c r="H17" s="23">
        <f t="shared" si="2"/>
        <v>1</v>
      </c>
      <c r="I17" s="23">
        <f t="shared" si="3"/>
        <v>1</v>
      </c>
      <c r="J17" s="22">
        <v>3</v>
      </c>
      <c r="K17" s="22">
        <v>5</v>
      </c>
      <c r="L17" s="22">
        <f t="shared" si="4"/>
        <v>-2</v>
      </c>
      <c r="M17" s="22">
        <f t="shared" si="5"/>
        <v>1</v>
      </c>
      <c r="N17" s="23">
        <v>75</v>
      </c>
      <c r="O17" s="23">
        <v>81</v>
      </c>
      <c r="P17" s="23">
        <f t="shared" si="6"/>
        <v>-6</v>
      </c>
      <c r="Q17" s="23">
        <f t="shared" si="7"/>
        <v>0</v>
      </c>
      <c r="R17" s="22">
        <v>66</v>
      </c>
      <c r="S17" s="22">
        <v>41</v>
      </c>
      <c r="T17" s="22">
        <f t="shared" si="8"/>
        <v>25</v>
      </c>
      <c r="U17" s="22">
        <f t="shared" si="9"/>
        <v>1</v>
      </c>
      <c r="V17" s="23">
        <v>27</v>
      </c>
      <c r="W17" s="23">
        <v>0</v>
      </c>
      <c r="X17" s="23">
        <f t="shared" si="10"/>
        <v>27</v>
      </c>
      <c r="Y17" s="23">
        <f t="shared" si="11"/>
        <v>1</v>
      </c>
    </row>
    <row r="18" spans="1:25" x14ac:dyDescent="0.2">
      <c r="A18" s="25" t="s">
        <v>178</v>
      </c>
      <c r="B18" s="22">
        <v>63</v>
      </c>
      <c r="C18" s="22">
        <v>60</v>
      </c>
      <c r="D18" s="22">
        <f t="shared" si="1"/>
        <v>3</v>
      </c>
      <c r="E18" s="22">
        <f t="shared" si="0"/>
        <v>1</v>
      </c>
      <c r="F18" s="23">
        <v>6</v>
      </c>
      <c r="G18" s="23">
        <v>1</v>
      </c>
      <c r="H18" s="23">
        <f t="shared" si="2"/>
        <v>5</v>
      </c>
      <c r="I18" s="23">
        <f t="shared" si="3"/>
        <v>1</v>
      </c>
      <c r="J18" s="22">
        <v>0</v>
      </c>
      <c r="K18" s="22">
        <v>3</v>
      </c>
      <c r="L18" s="22">
        <f t="shared" si="4"/>
        <v>-3</v>
      </c>
      <c r="M18" s="22">
        <f t="shared" si="5"/>
        <v>1</v>
      </c>
      <c r="N18" s="23">
        <v>91</v>
      </c>
      <c r="O18" s="23">
        <v>56</v>
      </c>
      <c r="P18" s="23">
        <f t="shared" si="6"/>
        <v>35</v>
      </c>
      <c r="Q18" s="23">
        <f t="shared" si="7"/>
        <v>1</v>
      </c>
      <c r="R18" s="22">
        <v>79</v>
      </c>
      <c r="S18" s="22">
        <v>30</v>
      </c>
      <c r="T18" s="22">
        <f t="shared" si="8"/>
        <v>49</v>
      </c>
      <c r="U18" s="22">
        <f t="shared" si="9"/>
        <v>1</v>
      </c>
      <c r="V18" s="23">
        <v>100</v>
      </c>
      <c r="W18" s="23">
        <v>0</v>
      </c>
      <c r="X18" s="23">
        <f t="shared" si="10"/>
        <v>100</v>
      </c>
      <c r="Y18" s="23">
        <f t="shared" si="11"/>
        <v>1</v>
      </c>
    </row>
    <row r="19" spans="1:25" x14ac:dyDescent="0.2">
      <c r="A19" s="25" t="s">
        <v>178</v>
      </c>
      <c r="B19" s="22">
        <v>64</v>
      </c>
      <c r="C19" s="22">
        <v>61</v>
      </c>
      <c r="D19" s="22">
        <f t="shared" si="1"/>
        <v>3</v>
      </c>
      <c r="E19" s="22">
        <f t="shared" si="0"/>
        <v>1</v>
      </c>
      <c r="F19" s="23">
        <v>21</v>
      </c>
      <c r="G19" s="23">
        <v>5</v>
      </c>
      <c r="H19" s="23">
        <f t="shared" si="2"/>
        <v>16</v>
      </c>
      <c r="I19" s="23">
        <f t="shared" si="3"/>
        <v>1</v>
      </c>
      <c r="J19" s="22">
        <v>0</v>
      </c>
      <c r="K19" s="22">
        <v>2</v>
      </c>
      <c r="L19" s="22">
        <f t="shared" si="4"/>
        <v>-2</v>
      </c>
      <c r="M19" s="22">
        <f t="shared" si="5"/>
        <v>1</v>
      </c>
      <c r="N19" s="23">
        <v>75</v>
      </c>
      <c r="O19" s="23">
        <v>73</v>
      </c>
      <c r="P19" s="23">
        <f t="shared" si="6"/>
        <v>2</v>
      </c>
      <c r="Q19" s="23">
        <f t="shared" si="7"/>
        <v>1</v>
      </c>
      <c r="R19" s="22">
        <v>63</v>
      </c>
      <c r="S19" s="22">
        <v>42</v>
      </c>
      <c r="T19" s="22">
        <f t="shared" si="8"/>
        <v>21</v>
      </c>
      <c r="U19" s="22">
        <f t="shared" si="9"/>
        <v>1</v>
      </c>
      <c r="V19" s="23">
        <v>38</v>
      </c>
      <c r="W19" s="23">
        <v>33</v>
      </c>
      <c r="X19" s="23">
        <f t="shared" si="10"/>
        <v>5</v>
      </c>
      <c r="Y19" s="23">
        <f t="shared" si="11"/>
        <v>1</v>
      </c>
    </row>
    <row r="20" spans="1:25" x14ac:dyDescent="0.2">
      <c r="A20" s="25" t="s">
        <v>179</v>
      </c>
      <c r="B20" s="22">
        <v>67</v>
      </c>
      <c r="C20" s="22">
        <v>60</v>
      </c>
      <c r="D20" s="22">
        <f t="shared" si="1"/>
        <v>7</v>
      </c>
      <c r="E20" s="22">
        <f t="shared" si="0"/>
        <v>1</v>
      </c>
      <c r="F20" s="23">
        <v>10</v>
      </c>
      <c r="G20" s="23">
        <v>8</v>
      </c>
      <c r="H20" s="23">
        <f t="shared" si="2"/>
        <v>2</v>
      </c>
      <c r="I20" s="23">
        <f t="shared" si="3"/>
        <v>1</v>
      </c>
      <c r="J20" s="22">
        <v>2</v>
      </c>
      <c r="K20" s="22">
        <v>5</v>
      </c>
      <c r="L20" s="22">
        <f t="shared" si="4"/>
        <v>-3</v>
      </c>
      <c r="M20" s="22">
        <f t="shared" si="5"/>
        <v>1</v>
      </c>
      <c r="N20" s="23">
        <v>78</v>
      </c>
      <c r="O20" s="23">
        <v>66</v>
      </c>
      <c r="P20" s="23">
        <f t="shared" si="6"/>
        <v>12</v>
      </c>
      <c r="Q20" s="23">
        <f t="shared" si="7"/>
        <v>1</v>
      </c>
      <c r="R20" s="22">
        <v>63</v>
      </c>
      <c r="S20" s="22">
        <v>42</v>
      </c>
      <c r="T20" s="22">
        <f t="shared" si="8"/>
        <v>21</v>
      </c>
      <c r="U20" s="22">
        <f t="shared" si="9"/>
        <v>1</v>
      </c>
      <c r="V20" s="23">
        <v>43</v>
      </c>
      <c r="W20" s="23">
        <v>25</v>
      </c>
      <c r="X20" s="23">
        <f t="shared" si="10"/>
        <v>18</v>
      </c>
      <c r="Y20" s="23">
        <f t="shared" si="11"/>
        <v>1</v>
      </c>
    </row>
    <row r="21" spans="1:25" x14ac:dyDescent="0.2">
      <c r="A21" s="25" t="s">
        <v>179</v>
      </c>
      <c r="B21" s="22">
        <v>69</v>
      </c>
      <c r="C21" s="22">
        <v>47</v>
      </c>
      <c r="D21" s="22">
        <f t="shared" si="1"/>
        <v>22</v>
      </c>
      <c r="E21" s="22">
        <f t="shared" si="0"/>
        <v>1</v>
      </c>
      <c r="F21" s="23">
        <v>16</v>
      </c>
      <c r="G21" s="23">
        <v>15</v>
      </c>
      <c r="H21" s="23">
        <f t="shared" si="2"/>
        <v>1</v>
      </c>
      <c r="I21" s="23">
        <f t="shared" si="3"/>
        <v>1</v>
      </c>
      <c r="J21" s="22">
        <v>0</v>
      </c>
      <c r="K21" s="22">
        <v>4</v>
      </c>
      <c r="L21" s="22">
        <f t="shared" si="4"/>
        <v>-4</v>
      </c>
      <c r="M21" s="22">
        <f t="shared" si="5"/>
        <v>1</v>
      </c>
      <c r="N21" s="23">
        <v>72</v>
      </c>
      <c r="O21" s="23">
        <v>73</v>
      </c>
      <c r="P21" s="23">
        <f t="shared" si="6"/>
        <v>-1</v>
      </c>
      <c r="Q21" s="23">
        <f t="shared" si="7"/>
        <v>0</v>
      </c>
      <c r="R21" s="22">
        <v>50</v>
      </c>
      <c r="S21" s="22">
        <v>47</v>
      </c>
      <c r="T21" s="22">
        <f t="shared" si="8"/>
        <v>3</v>
      </c>
      <c r="U21" s="22">
        <f t="shared" si="9"/>
        <v>1</v>
      </c>
      <c r="V21" s="23">
        <v>38</v>
      </c>
      <c r="W21" s="23">
        <v>58</v>
      </c>
      <c r="X21" s="23">
        <f t="shared" si="10"/>
        <v>-20</v>
      </c>
      <c r="Y21" s="23">
        <f t="shared" si="11"/>
        <v>0</v>
      </c>
    </row>
    <row r="22" spans="1:25" x14ac:dyDescent="0.2">
      <c r="A22" s="25" t="s">
        <v>179</v>
      </c>
      <c r="B22" s="22">
        <v>68</v>
      </c>
      <c r="C22" s="22">
        <v>68</v>
      </c>
      <c r="D22" s="22">
        <f t="shared" si="1"/>
        <v>0</v>
      </c>
      <c r="E22" s="22">
        <f>IF(B22&gt;=C22,1,0)</f>
        <v>1</v>
      </c>
      <c r="F22" s="23">
        <v>7</v>
      </c>
      <c r="G22" s="23">
        <v>6</v>
      </c>
      <c r="H22" s="23">
        <f t="shared" si="2"/>
        <v>1</v>
      </c>
      <c r="I22" s="23">
        <f t="shared" si="3"/>
        <v>1</v>
      </c>
      <c r="J22" s="22">
        <v>1</v>
      </c>
      <c r="K22" s="22">
        <v>3</v>
      </c>
      <c r="L22" s="22">
        <f t="shared" si="4"/>
        <v>-2</v>
      </c>
      <c r="M22" s="22">
        <f t="shared" si="5"/>
        <v>1</v>
      </c>
      <c r="N22" s="23">
        <v>80</v>
      </c>
      <c r="O22" s="23">
        <v>60</v>
      </c>
      <c r="P22" s="23">
        <f t="shared" si="6"/>
        <v>20</v>
      </c>
      <c r="Q22" s="23">
        <f t="shared" si="7"/>
        <v>1</v>
      </c>
      <c r="R22" s="22">
        <v>29</v>
      </c>
      <c r="S22" s="22">
        <v>20</v>
      </c>
      <c r="T22" s="22">
        <f t="shared" si="8"/>
        <v>9</v>
      </c>
      <c r="U22" s="22">
        <f t="shared" si="9"/>
        <v>1</v>
      </c>
      <c r="V22" s="23">
        <v>73</v>
      </c>
      <c r="W22" s="23">
        <v>40</v>
      </c>
      <c r="X22" s="23">
        <f t="shared" si="10"/>
        <v>33</v>
      </c>
      <c r="Y22" s="23">
        <f t="shared" si="11"/>
        <v>1</v>
      </c>
    </row>
    <row r="23" spans="1:25" x14ac:dyDescent="0.2">
      <c r="A23" s="25" t="s">
        <v>179</v>
      </c>
      <c r="B23" s="22">
        <v>61</v>
      </c>
      <c r="C23" s="22">
        <v>67</v>
      </c>
      <c r="D23" s="22">
        <f t="shared" si="1"/>
        <v>-6</v>
      </c>
      <c r="E23" s="22">
        <f t="shared" ref="E23:E86" si="12">IF(B23&gt;=C23,1,0)</f>
        <v>0</v>
      </c>
      <c r="F23" s="23">
        <v>6</v>
      </c>
      <c r="G23" s="23">
        <v>20</v>
      </c>
      <c r="H23" s="23">
        <f t="shared" si="2"/>
        <v>-14</v>
      </c>
      <c r="I23" s="23">
        <f t="shared" si="3"/>
        <v>0</v>
      </c>
      <c r="J23" s="22">
        <v>3</v>
      </c>
      <c r="K23" s="22">
        <v>1</v>
      </c>
      <c r="L23" s="22">
        <f t="shared" si="4"/>
        <v>2</v>
      </c>
      <c r="M23" s="22">
        <f t="shared" si="5"/>
        <v>0</v>
      </c>
      <c r="N23" s="23">
        <v>77</v>
      </c>
      <c r="O23" s="23">
        <v>75</v>
      </c>
      <c r="P23" s="23">
        <f t="shared" si="6"/>
        <v>2</v>
      </c>
      <c r="Q23" s="23">
        <f t="shared" si="7"/>
        <v>1</v>
      </c>
      <c r="R23" s="22">
        <v>56</v>
      </c>
      <c r="S23" s="22">
        <v>47</v>
      </c>
      <c r="T23" s="22">
        <f t="shared" si="8"/>
        <v>9</v>
      </c>
      <c r="U23" s="22">
        <f t="shared" si="9"/>
        <v>1</v>
      </c>
      <c r="V23" s="23">
        <v>22</v>
      </c>
      <c r="W23" s="23">
        <v>56</v>
      </c>
      <c r="X23" s="23">
        <f t="shared" si="10"/>
        <v>-34</v>
      </c>
      <c r="Y23" s="23">
        <f t="shared" si="11"/>
        <v>0</v>
      </c>
    </row>
    <row r="24" spans="1:25" x14ac:dyDescent="0.2">
      <c r="A24" s="19">
        <v>2012</v>
      </c>
      <c r="B24" s="22">
        <v>59</v>
      </c>
      <c r="C24" s="22">
        <v>67</v>
      </c>
      <c r="D24" s="22">
        <f t="shared" si="1"/>
        <v>-8</v>
      </c>
      <c r="E24" s="22">
        <f t="shared" si="12"/>
        <v>0</v>
      </c>
      <c r="F24" s="23">
        <v>9</v>
      </c>
      <c r="G24" s="23">
        <v>10</v>
      </c>
      <c r="H24" s="23">
        <f t="shared" si="2"/>
        <v>-1</v>
      </c>
      <c r="I24" s="23">
        <f t="shared" si="3"/>
        <v>0</v>
      </c>
      <c r="J24" s="22">
        <v>2</v>
      </c>
      <c r="K24" s="22">
        <v>4</v>
      </c>
      <c r="L24" s="22">
        <f t="shared" si="4"/>
        <v>-2</v>
      </c>
      <c r="M24" s="22">
        <f t="shared" si="5"/>
        <v>1</v>
      </c>
      <c r="N24" s="23">
        <v>68</v>
      </c>
      <c r="O24" s="23">
        <v>66</v>
      </c>
      <c r="P24" s="23">
        <f t="shared" si="6"/>
        <v>2</v>
      </c>
      <c r="Q24" s="23">
        <f t="shared" si="7"/>
        <v>1</v>
      </c>
      <c r="R24" s="22">
        <v>63</v>
      </c>
      <c r="S24" s="22">
        <v>45</v>
      </c>
      <c r="T24" s="22">
        <f t="shared" si="8"/>
        <v>18</v>
      </c>
      <c r="U24" s="22">
        <f t="shared" si="9"/>
        <v>1</v>
      </c>
      <c r="V24" s="23">
        <v>35</v>
      </c>
      <c r="W24" s="23">
        <v>67</v>
      </c>
      <c r="X24" s="23">
        <f t="shared" si="10"/>
        <v>-32</v>
      </c>
      <c r="Y24" s="23">
        <f t="shared" si="11"/>
        <v>0</v>
      </c>
    </row>
    <row r="25" spans="1:25" x14ac:dyDescent="0.2">
      <c r="A25" s="25" t="s">
        <v>178</v>
      </c>
      <c r="B25" s="22">
        <v>61</v>
      </c>
      <c r="C25" s="22">
        <v>63</v>
      </c>
      <c r="D25" s="22">
        <f t="shared" si="1"/>
        <v>-2</v>
      </c>
      <c r="E25" s="22">
        <f t="shared" si="12"/>
        <v>0</v>
      </c>
      <c r="F25" s="23">
        <v>11</v>
      </c>
      <c r="G25" s="23">
        <v>9</v>
      </c>
      <c r="H25" s="23">
        <f t="shared" si="2"/>
        <v>2</v>
      </c>
      <c r="I25" s="23">
        <f t="shared" si="3"/>
        <v>1</v>
      </c>
      <c r="J25" s="22">
        <v>6</v>
      </c>
      <c r="K25" s="22">
        <v>10</v>
      </c>
      <c r="L25" s="22">
        <f t="shared" si="4"/>
        <v>-4</v>
      </c>
      <c r="M25" s="22">
        <f t="shared" si="5"/>
        <v>1</v>
      </c>
      <c r="N25" s="23">
        <v>66</v>
      </c>
      <c r="O25" s="23">
        <v>64</v>
      </c>
      <c r="P25" s="23">
        <f t="shared" si="6"/>
        <v>2</v>
      </c>
      <c r="Q25" s="23">
        <f t="shared" si="7"/>
        <v>1</v>
      </c>
      <c r="R25" s="22">
        <v>45</v>
      </c>
      <c r="S25" s="22">
        <v>30</v>
      </c>
      <c r="T25" s="22">
        <f t="shared" si="8"/>
        <v>15</v>
      </c>
      <c r="U25" s="22">
        <f t="shared" si="9"/>
        <v>1</v>
      </c>
      <c r="V25" s="23">
        <v>42</v>
      </c>
      <c r="W25" s="23">
        <v>29</v>
      </c>
      <c r="X25" s="23">
        <f t="shared" si="10"/>
        <v>13</v>
      </c>
      <c r="Y25" s="23">
        <f t="shared" si="11"/>
        <v>1</v>
      </c>
    </row>
    <row r="26" spans="1:25" x14ac:dyDescent="0.2">
      <c r="A26" s="25" t="s">
        <v>178</v>
      </c>
      <c r="B26" s="22">
        <v>77</v>
      </c>
      <c r="C26" s="22">
        <v>64</v>
      </c>
      <c r="D26" s="22">
        <f t="shared" si="1"/>
        <v>13</v>
      </c>
      <c r="E26" s="22">
        <f t="shared" si="12"/>
        <v>1</v>
      </c>
      <c r="F26" s="23">
        <v>4</v>
      </c>
      <c r="G26" s="23">
        <v>11</v>
      </c>
      <c r="H26" s="23">
        <f t="shared" si="2"/>
        <v>-7</v>
      </c>
      <c r="I26" s="23">
        <f t="shared" si="3"/>
        <v>0</v>
      </c>
      <c r="J26" s="22">
        <v>1</v>
      </c>
      <c r="K26" s="22">
        <v>5</v>
      </c>
      <c r="L26" s="22">
        <f t="shared" si="4"/>
        <v>-4</v>
      </c>
      <c r="M26" s="22">
        <f t="shared" si="5"/>
        <v>1</v>
      </c>
      <c r="N26" s="23">
        <v>69</v>
      </c>
      <c r="O26" s="23">
        <v>66</v>
      </c>
      <c r="P26" s="23">
        <f t="shared" si="6"/>
        <v>3</v>
      </c>
      <c r="Q26" s="23">
        <f t="shared" si="7"/>
        <v>1</v>
      </c>
      <c r="R26" s="22">
        <v>63</v>
      </c>
      <c r="S26" s="22">
        <v>55</v>
      </c>
      <c r="T26" s="22">
        <f t="shared" si="8"/>
        <v>8</v>
      </c>
      <c r="U26" s="22">
        <f t="shared" si="9"/>
        <v>1</v>
      </c>
      <c r="V26" s="23">
        <v>38</v>
      </c>
      <c r="W26" s="23">
        <v>30</v>
      </c>
      <c r="X26" s="23">
        <f t="shared" si="10"/>
        <v>8</v>
      </c>
      <c r="Y26" s="23">
        <f t="shared" si="11"/>
        <v>1</v>
      </c>
    </row>
    <row r="27" spans="1:25" x14ac:dyDescent="0.2">
      <c r="A27" s="25" t="s">
        <v>179</v>
      </c>
      <c r="B27" s="22">
        <v>53</v>
      </c>
      <c r="C27" s="22">
        <v>65</v>
      </c>
      <c r="D27" s="22">
        <f t="shared" si="1"/>
        <v>-12</v>
      </c>
      <c r="E27" s="22">
        <f t="shared" si="12"/>
        <v>0</v>
      </c>
      <c r="F27" s="23">
        <v>3</v>
      </c>
      <c r="G27" s="23">
        <v>2</v>
      </c>
      <c r="H27" s="23">
        <f t="shared" si="2"/>
        <v>1</v>
      </c>
      <c r="I27" s="23">
        <f t="shared" si="3"/>
        <v>1</v>
      </c>
      <c r="J27" s="22">
        <v>0</v>
      </c>
      <c r="K27" s="22">
        <v>1</v>
      </c>
      <c r="L27" s="22">
        <f t="shared" si="4"/>
        <v>-1</v>
      </c>
      <c r="M27" s="22">
        <f t="shared" si="5"/>
        <v>1</v>
      </c>
      <c r="N27" s="23">
        <v>71</v>
      </c>
      <c r="O27" s="23">
        <v>61</v>
      </c>
      <c r="P27" s="23">
        <f t="shared" si="6"/>
        <v>10</v>
      </c>
      <c r="Q27" s="23">
        <f t="shared" si="7"/>
        <v>1</v>
      </c>
      <c r="R27" s="22">
        <v>67</v>
      </c>
      <c r="S27" s="22">
        <v>50</v>
      </c>
      <c r="T27" s="22">
        <f t="shared" si="8"/>
        <v>17</v>
      </c>
      <c r="U27" s="22">
        <f t="shared" si="9"/>
        <v>1</v>
      </c>
      <c r="V27" s="23">
        <v>42</v>
      </c>
      <c r="W27" s="23">
        <v>50</v>
      </c>
      <c r="X27" s="23">
        <f t="shared" si="10"/>
        <v>-8</v>
      </c>
      <c r="Y27" s="23">
        <f t="shared" si="11"/>
        <v>0</v>
      </c>
    </row>
    <row r="28" spans="1:25" x14ac:dyDescent="0.2">
      <c r="A28" s="25" t="s">
        <v>179</v>
      </c>
      <c r="B28" s="22">
        <v>44</v>
      </c>
      <c r="C28" s="22">
        <v>60</v>
      </c>
      <c r="D28" s="22">
        <f t="shared" si="1"/>
        <v>-16</v>
      </c>
      <c r="E28" s="22">
        <f t="shared" si="12"/>
        <v>0</v>
      </c>
      <c r="F28" s="23">
        <v>4</v>
      </c>
      <c r="G28" s="23">
        <v>1</v>
      </c>
      <c r="H28" s="23">
        <f t="shared" si="2"/>
        <v>3</v>
      </c>
      <c r="I28" s="23">
        <f t="shared" si="3"/>
        <v>1</v>
      </c>
      <c r="J28" s="22">
        <v>3</v>
      </c>
      <c r="K28" s="22">
        <v>2</v>
      </c>
      <c r="L28" s="22">
        <f t="shared" si="4"/>
        <v>1</v>
      </c>
      <c r="M28" s="22">
        <f t="shared" si="5"/>
        <v>0</v>
      </c>
      <c r="N28" s="23">
        <v>78</v>
      </c>
      <c r="O28" s="23">
        <v>54</v>
      </c>
      <c r="P28" s="23">
        <f t="shared" si="6"/>
        <v>24</v>
      </c>
      <c r="Q28" s="23">
        <f t="shared" si="7"/>
        <v>1</v>
      </c>
      <c r="R28" s="22">
        <v>58</v>
      </c>
      <c r="S28" s="22">
        <v>37</v>
      </c>
      <c r="T28" s="22">
        <f t="shared" si="8"/>
        <v>21</v>
      </c>
      <c r="U28" s="22">
        <f t="shared" si="9"/>
        <v>1</v>
      </c>
      <c r="V28" s="23">
        <v>39</v>
      </c>
      <c r="W28" s="23">
        <v>20</v>
      </c>
      <c r="X28" s="23">
        <f t="shared" si="10"/>
        <v>19</v>
      </c>
      <c r="Y28" s="23">
        <f t="shared" si="11"/>
        <v>1</v>
      </c>
    </row>
    <row r="29" spans="1:25" x14ac:dyDescent="0.2">
      <c r="A29" s="25" t="s">
        <v>179</v>
      </c>
      <c r="B29" s="22">
        <v>57</v>
      </c>
      <c r="C29" s="22">
        <v>67</v>
      </c>
      <c r="D29" s="22">
        <f t="shared" si="1"/>
        <v>-10</v>
      </c>
      <c r="E29" s="22">
        <f t="shared" si="12"/>
        <v>0</v>
      </c>
      <c r="F29" s="23">
        <v>5</v>
      </c>
      <c r="G29" s="23">
        <v>5</v>
      </c>
      <c r="H29" s="23">
        <f t="shared" si="2"/>
        <v>0</v>
      </c>
      <c r="I29" s="23">
        <f t="shared" si="3"/>
        <v>1</v>
      </c>
      <c r="J29" s="22">
        <v>1</v>
      </c>
      <c r="K29" s="22">
        <v>3</v>
      </c>
      <c r="L29" s="22">
        <f t="shared" si="4"/>
        <v>-2</v>
      </c>
      <c r="M29" s="22">
        <f t="shared" si="5"/>
        <v>1</v>
      </c>
      <c r="N29" s="23">
        <v>89</v>
      </c>
      <c r="O29" s="23">
        <v>57</v>
      </c>
      <c r="P29" s="23">
        <f t="shared" si="6"/>
        <v>32</v>
      </c>
      <c r="Q29" s="23">
        <f t="shared" si="7"/>
        <v>1</v>
      </c>
      <c r="R29" s="22">
        <v>58</v>
      </c>
      <c r="S29" s="22">
        <v>55</v>
      </c>
      <c r="T29" s="22">
        <f t="shared" si="8"/>
        <v>3</v>
      </c>
      <c r="U29" s="22">
        <f t="shared" si="9"/>
        <v>1</v>
      </c>
      <c r="V29" s="23">
        <v>63</v>
      </c>
      <c r="W29" s="23">
        <v>17</v>
      </c>
      <c r="X29" s="23">
        <f t="shared" si="10"/>
        <v>46</v>
      </c>
      <c r="Y29" s="23">
        <f t="shared" si="11"/>
        <v>1</v>
      </c>
    </row>
    <row r="30" spans="1:25" x14ac:dyDescent="0.2">
      <c r="A30" s="25" t="s">
        <v>179</v>
      </c>
      <c r="B30" s="22">
        <v>71</v>
      </c>
      <c r="C30" s="22">
        <v>62</v>
      </c>
      <c r="D30" s="22">
        <f t="shared" si="1"/>
        <v>9</v>
      </c>
      <c r="E30" s="22">
        <f t="shared" si="12"/>
        <v>1</v>
      </c>
      <c r="F30" s="23">
        <v>6</v>
      </c>
      <c r="G30" s="23">
        <v>17</v>
      </c>
      <c r="H30" s="23">
        <f t="shared" si="2"/>
        <v>-11</v>
      </c>
      <c r="I30" s="23">
        <f t="shared" si="3"/>
        <v>0</v>
      </c>
      <c r="J30" s="22">
        <v>2</v>
      </c>
      <c r="K30" s="22">
        <v>5</v>
      </c>
      <c r="L30" s="22">
        <f t="shared" si="4"/>
        <v>-3</v>
      </c>
      <c r="M30" s="22">
        <f t="shared" si="5"/>
        <v>1</v>
      </c>
      <c r="N30" s="23">
        <v>76</v>
      </c>
      <c r="O30" s="23">
        <v>74</v>
      </c>
      <c r="P30" s="23">
        <f t="shared" si="6"/>
        <v>2</v>
      </c>
      <c r="Q30" s="23">
        <f t="shared" si="7"/>
        <v>1</v>
      </c>
      <c r="R30" s="22">
        <v>49</v>
      </c>
      <c r="S30" s="22">
        <v>45</v>
      </c>
      <c r="T30" s="22">
        <f t="shared" si="8"/>
        <v>4</v>
      </c>
      <c r="U30" s="22">
        <f t="shared" si="9"/>
        <v>1</v>
      </c>
      <c r="V30" s="23">
        <v>38</v>
      </c>
      <c r="W30" s="23">
        <v>15</v>
      </c>
      <c r="X30" s="23">
        <f t="shared" si="10"/>
        <v>23</v>
      </c>
      <c r="Y30" s="23">
        <f t="shared" si="11"/>
        <v>1</v>
      </c>
    </row>
    <row r="31" spans="1:25" x14ac:dyDescent="0.2">
      <c r="A31" s="19" t="s">
        <v>197</v>
      </c>
      <c r="B31" s="22">
        <v>67</v>
      </c>
      <c r="C31" s="22">
        <v>65</v>
      </c>
      <c r="D31" s="22">
        <f t="shared" si="1"/>
        <v>2</v>
      </c>
      <c r="E31" s="22">
        <f t="shared" si="12"/>
        <v>1</v>
      </c>
      <c r="F31" s="23">
        <v>9</v>
      </c>
      <c r="G31" s="23">
        <v>6</v>
      </c>
      <c r="H31" s="23">
        <f t="shared" si="2"/>
        <v>3</v>
      </c>
      <c r="I31" s="23">
        <f t="shared" si="3"/>
        <v>1</v>
      </c>
      <c r="J31" s="22">
        <v>3</v>
      </c>
      <c r="K31" s="22">
        <v>0</v>
      </c>
      <c r="L31" s="22">
        <f t="shared" si="4"/>
        <v>3</v>
      </c>
      <c r="M31" s="22">
        <f t="shared" si="5"/>
        <v>0</v>
      </c>
      <c r="N31" s="23">
        <v>76</v>
      </c>
      <c r="O31" s="23">
        <v>63</v>
      </c>
      <c r="P31" s="23">
        <f t="shared" si="6"/>
        <v>13</v>
      </c>
      <c r="Q31" s="23">
        <f t="shared" si="7"/>
        <v>1</v>
      </c>
      <c r="R31" s="22">
        <v>50</v>
      </c>
      <c r="S31" s="22">
        <v>53</v>
      </c>
      <c r="T31" s="22">
        <f t="shared" si="8"/>
        <v>-3</v>
      </c>
      <c r="U31" s="22">
        <f t="shared" si="9"/>
        <v>0</v>
      </c>
      <c r="V31" s="23">
        <v>27</v>
      </c>
      <c r="W31" s="23">
        <v>20</v>
      </c>
      <c r="X31" s="23">
        <f t="shared" si="10"/>
        <v>7</v>
      </c>
      <c r="Y31" s="23">
        <f t="shared" si="11"/>
        <v>1</v>
      </c>
    </row>
    <row r="32" spans="1:25" x14ac:dyDescent="0.2">
      <c r="A32" s="25" t="s">
        <v>178</v>
      </c>
      <c r="B32" s="22">
        <v>70</v>
      </c>
      <c r="C32" s="22">
        <v>66</v>
      </c>
      <c r="D32" s="22">
        <f t="shared" si="1"/>
        <v>4</v>
      </c>
      <c r="E32" s="22">
        <f t="shared" si="12"/>
        <v>1</v>
      </c>
      <c r="F32" s="23">
        <v>8</v>
      </c>
      <c r="G32" s="23">
        <v>12</v>
      </c>
      <c r="H32" s="23">
        <f t="shared" si="2"/>
        <v>-4</v>
      </c>
      <c r="I32" s="23">
        <f t="shared" si="3"/>
        <v>0</v>
      </c>
      <c r="J32" s="22">
        <v>2</v>
      </c>
      <c r="K32" s="22">
        <v>1</v>
      </c>
      <c r="L32" s="22">
        <f t="shared" si="4"/>
        <v>1</v>
      </c>
      <c r="M32" s="22">
        <f t="shared" si="5"/>
        <v>0</v>
      </c>
      <c r="N32" s="23">
        <v>68</v>
      </c>
      <c r="O32" s="23">
        <v>64</v>
      </c>
      <c r="P32" s="23">
        <f t="shared" si="6"/>
        <v>4</v>
      </c>
      <c r="Q32" s="23">
        <f t="shared" si="7"/>
        <v>1</v>
      </c>
      <c r="R32" s="22">
        <v>67</v>
      </c>
      <c r="S32" s="22">
        <v>55</v>
      </c>
      <c r="T32" s="22">
        <f t="shared" si="8"/>
        <v>12</v>
      </c>
      <c r="U32" s="22">
        <f t="shared" si="9"/>
        <v>1</v>
      </c>
      <c r="V32" s="23">
        <v>32</v>
      </c>
      <c r="W32" s="23">
        <v>75</v>
      </c>
      <c r="X32" s="23">
        <f t="shared" si="10"/>
        <v>-43</v>
      </c>
      <c r="Y32" s="23">
        <f t="shared" si="11"/>
        <v>0</v>
      </c>
    </row>
    <row r="33" spans="1:25" x14ac:dyDescent="0.2">
      <c r="A33" s="25" t="s">
        <v>178</v>
      </c>
      <c r="B33" s="22">
        <v>52</v>
      </c>
      <c r="C33" s="22">
        <v>69</v>
      </c>
      <c r="D33" s="22">
        <f t="shared" si="1"/>
        <v>-17</v>
      </c>
      <c r="E33" s="22">
        <f t="shared" si="12"/>
        <v>0</v>
      </c>
      <c r="F33" s="23">
        <v>15</v>
      </c>
      <c r="G33" s="23">
        <v>8</v>
      </c>
      <c r="H33" s="23">
        <f t="shared" si="2"/>
        <v>7</v>
      </c>
      <c r="I33" s="23">
        <f t="shared" si="3"/>
        <v>1</v>
      </c>
      <c r="J33" s="22">
        <v>6</v>
      </c>
      <c r="K33" s="22">
        <v>2</v>
      </c>
      <c r="L33" s="22">
        <f t="shared" si="4"/>
        <v>4</v>
      </c>
      <c r="M33" s="22">
        <f t="shared" si="5"/>
        <v>0</v>
      </c>
      <c r="N33" s="23">
        <v>76</v>
      </c>
      <c r="O33" s="23">
        <v>72</v>
      </c>
      <c r="P33" s="23">
        <f t="shared" si="6"/>
        <v>4</v>
      </c>
      <c r="Q33" s="23">
        <f t="shared" si="7"/>
        <v>1</v>
      </c>
      <c r="R33" s="22">
        <v>59</v>
      </c>
      <c r="S33" s="22">
        <v>56</v>
      </c>
      <c r="T33" s="22">
        <f t="shared" si="8"/>
        <v>3</v>
      </c>
      <c r="U33" s="22">
        <f t="shared" si="9"/>
        <v>1</v>
      </c>
      <c r="V33" s="23">
        <v>20</v>
      </c>
      <c r="W33" s="23">
        <v>6</v>
      </c>
      <c r="X33" s="23">
        <f t="shared" si="10"/>
        <v>14</v>
      </c>
      <c r="Y33" s="23">
        <f t="shared" si="11"/>
        <v>1</v>
      </c>
    </row>
    <row r="34" spans="1:25" x14ac:dyDescent="0.2">
      <c r="A34" s="25" t="s">
        <v>179</v>
      </c>
      <c r="B34" s="22">
        <v>63</v>
      </c>
      <c r="C34" s="22">
        <v>60</v>
      </c>
      <c r="D34" s="22">
        <f t="shared" si="1"/>
        <v>3</v>
      </c>
      <c r="E34" s="22">
        <f t="shared" si="12"/>
        <v>1</v>
      </c>
      <c r="F34" s="23">
        <v>3</v>
      </c>
      <c r="G34" s="23">
        <v>3</v>
      </c>
      <c r="H34" s="23">
        <f t="shared" si="2"/>
        <v>0</v>
      </c>
      <c r="I34" s="23">
        <f t="shared" si="3"/>
        <v>1</v>
      </c>
      <c r="J34" s="22">
        <v>0</v>
      </c>
      <c r="K34" s="22">
        <v>2</v>
      </c>
      <c r="L34" s="22">
        <f t="shared" si="4"/>
        <v>-2</v>
      </c>
      <c r="M34" s="22">
        <f t="shared" si="5"/>
        <v>1</v>
      </c>
      <c r="N34" s="23">
        <v>76</v>
      </c>
      <c r="O34" s="23">
        <v>59</v>
      </c>
      <c r="P34" s="23">
        <f t="shared" si="6"/>
        <v>17</v>
      </c>
      <c r="Q34" s="23">
        <f t="shared" si="7"/>
        <v>1</v>
      </c>
      <c r="R34" s="22">
        <v>60</v>
      </c>
      <c r="S34" s="22">
        <v>38</v>
      </c>
      <c r="T34" s="22">
        <f t="shared" si="8"/>
        <v>22</v>
      </c>
      <c r="U34" s="22">
        <f t="shared" si="9"/>
        <v>1</v>
      </c>
      <c r="V34" s="23">
        <v>39</v>
      </c>
      <c r="W34" s="23">
        <v>40</v>
      </c>
      <c r="X34" s="23">
        <f t="shared" si="10"/>
        <v>-1</v>
      </c>
      <c r="Y34" s="23">
        <f t="shared" si="11"/>
        <v>0</v>
      </c>
    </row>
    <row r="35" spans="1:25" x14ac:dyDescent="0.2">
      <c r="A35" s="25" t="s">
        <v>179</v>
      </c>
      <c r="B35" s="22">
        <v>58</v>
      </c>
      <c r="C35" s="22">
        <v>56</v>
      </c>
      <c r="D35" s="22">
        <f t="shared" si="1"/>
        <v>2</v>
      </c>
      <c r="E35" s="22">
        <f t="shared" si="12"/>
        <v>1</v>
      </c>
      <c r="F35" s="23">
        <v>9</v>
      </c>
      <c r="G35" s="23">
        <v>2</v>
      </c>
      <c r="H35" s="23">
        <f t="shared" si="2"/>
        <v>7</v>
      </c>
      <c r="I35" s="23">
        <f t="shared" si="3"/>
        <v>1</v>
      </c>
      <c r="J35" s="22">
        <v>2</v>
      </c>
      <c r="K35" s="22">
        <v>11</v>
      </c>
      <c r="L35" s="22">
        <f t="shared" si="4"/>
        <v>-9</v>
      </c>
      <c r="M35" s="22">
        <f t="shared" si="5"/>
        <v>1</v>
      </c>
      <c r="N35" s="23">
        <v>78</v>
      </c>
      <c r="O35" s="23">
        <v>68</v>
      </c>
      <c r="P35" s="23">
        <f t="shared" si="6"/>
        <v>10</v>
      </c>
      <c r="Q35" s="23">
        <f t="shared" si="7"/>
        <v>1</v>
      </c>
      <c r="R35" s="22">
        <v>42</v>
      </c>
      <c r="S35" s="22">
        <v>35</v>
      </c>
      <c r="T35" s="22">
        <f t="shared" si="8"/>
        <v>7</v>
      </c>
      <c r="U35" s="22">
        <f t="shared" si="9"/>
        <v>1</v>
      </c>
      <c r="V35" s="23">
        <v>50</v>
      </c>
      <c r="W35" s="23">
        <v>45</v>
      </c>
      <c r="X35" s="23">
        <f t="shared" si="10"/>
        <v>5</v>
      </c>
      <c r="Y35" s="23">
        <f t="shared" si="11"/>
        <v>1</v>
      </c>
    </row>
    <row r="36" spans="1:25" x14ac:dyDescent="0.2">
      <c r="A36" s="25" t="s">
        <v>179</v>
      </c>
      <c r="B36" s="22">
        <v>61</v>
      </c>
      <c r="C36" s="22">
        <v>66</v>
      </c>
      <c r="D36" s="22">
        <f t="shared" si="1"/>
        <v>-5</v>
      </c>
      <c r="E36" s="22">
        <f t="shared" si="12"/>
        <v>0</v>
      </c>
      <c r="F36" s="23">
        <v>10</v>
      </c>
      <c r="G36" s="23">
        <v>5</v>
      </c>
      <c r="H36" s="23">
        <f t="shared" si="2"/>
        <v>5</v>
      </c>
      <c r="I36" s="23">
        <f t="shared" si="3"/>
        <v>1</v>
      </c>
      <c r="J36" s="22">
        <v>1</v>
      </c>
      <c r="K36" s="22">
        <v>6</v>
      </c>
      <c r="L36" s="22">
        <f t="shared" si="4"/>
        <v>-5</v>
      </c>
      <c r="M36" s="22">
        <f t="shared" si="5"/>
        <v>1</v>
      </c>
      <c r="N36" s="23">
        <v>83</v>
      </c>
      <c r="O36" s="23">
        <v>67</v>
      </c>
      <c r="P36" s="23">
        <f t="shared" si="6"/>
        <v>16</v>
      </c>
      <c r="Q36" s="23">
        <f t="shared" si="7"/>
        <v>1</v>
      </c>
      <c r="R36" s="22">
        <v>50</v>
      </c>
      <c r="S36" s="22">
        <v>43</v>
      </c>
      <c r="T36" s="22">
        <f t="shared" si="8"/>
        <v>7</v>
      </c>
      <c r="U36" s="22">
        <f t="shared" si="9"/>
        <v>1</v>
      </c>
      <c r="V36" s="23">
        <v>32</v>
      </c>
      <c r="W36" s="23">
        <v>57</v>
      </c>
      <c r="X36" s="23">
        <f t="shared" si="10"/>
        <v>-25</v>
      </c>
      <c r="Y36" s="23">
        <f t="shared" si="11"/>
        <v>0</v>
      </c>
    </row>
    <row r="37" spans="1:25" x14ac:dyDescent="0.2">
      <c r="A37" s="25" t="s">
        <v>179</v>
      </c>
      <c r="B37" s="22">
        <v>54</v>
      </c>
      <c r="C37" s="22">
        <v>63</v>
      </c>
      <c r="D37" s="22">
        <f t="shared" si="1"/>
        <v>-9</v>
      </c>
      <c r="E37" s="22">
        <f t="shared" si="12"/>
        <v>0</v>
      </c>
      <c r="F37" s="23">
        <v>4</v>
      </c>
      <c r="G37" s="23">
        <v>7</v>
      </c>
      <c r="H37" s="23">
        <f t="shared" si="2"/>
        <v>-3</v>
      </c>
      <c r="I37" s="23">
        <f t="shared" si="3"/>
        <v>0</v>
      </c>
      <c r="J37" s="22"/>
      <c r="K37" s="22"/>
      <c r="L37" s="22">
        <f t="shared" si="4"/>
        <v>0</v>
      </c>
      <c r="M37" s="22">
        <f t="shared" si="5"/>
        <v>1</v>
      </c>
      <c r="N37" s="23">
        <v>88</v>
      </c>
      <c r="O37" s="23">
        <v>68</v>
      </c>
      <c r="P37" s="23">
        <f t="shared" si="6"/>
        <v>20</v>
      </c>
      <c r="Q37" s="23">
        <f t="shared" si="7"/>
        <v>1</v>
      </c>
      <c r="R37" s="22">
        <v>62</v>
      </c>
      <c r="S37" s="22">
        <v>56</v>
      </c>
      <c r="T37" s="22">
        <f t="shared" si="8"/>
        <v>6</v>
      </c>
      <c r="U37" s="22">
        <f t="shared" si="9"/>
        <v>1</v>
      </c>
      <c r="V37" s="23">
        <v>38</v>
      </c>
      <c r="W37" s="23">
        <v>0</v>
      </c>
      <c r="X37" s="23">
        <f t="shared" si="10"/>
        <v>38</v>
      </c>
      <c r="Y37" s="23">
        <f t="shared" si="11"/>
        <v>1</v>
      </c>
    </row>
    <row r="38" spans="1:25" x14ac:dyDescent="0.2">
      <c r="A38" s="19">
        <v>2014</v>
      </c>
      <c r="B38" s="22">
        <v>70</v>
      </c>
      <c r="C38" s="22">
        <v>65</v>
      </c>
      <c r="D38" s="22">
        <f t="shared" si="1"/>
        <v>5</v>
      </c>
      <c r="E38" s="22">
        <f t="shared" si="12"/>
        <v>1</v>
      </c>
      <c r="F38" s="23">
        <v>3</v>
      </c>
      <c r="G38" s="23">
        <v>11</v>
      </c>
      <c r="H38" s="23">
        <f t="shared" si="2"/>
        <v>-8</v>
      </c>
      <c r="I38" s="23">
        <f t="shared" si="3"/>
        <v>0</v>
      </c>
      <c r="J38" s="22">
        <v>4</v>
      </c>
      <c r="K38" s="22">
        <v>3</v>
      </c>
      <c r="L38" s="22">
        <f t="shared" si="4"/>
        <v>1</v>
      </c>
      <c r="M38" s="22">
        <f t="shared" si="5"/>
        <v>0</v>
      </c>
      <c r="N38" s="23">
        <v>73</v>
      </c>
      <c r="O38" s="23">
        <v>72</v>
      </c>
      <c r="P38" s="23">
        <f t="shared" si="6"/>
        <v>1</v>
      </c>
      <c r="Q38" s="23">
        <f t="shared" si="7"/>
        <v>1</v>
      </c>
      <c r="R38" s="22">
        <v>50</v>
      </c>
      <c r="S38" s="22">
        <v>36</v>
      </c>
      <c r="T38" s="22">
        <f t="shared" si="8"/>
        <v>14</v>
      </c>
      <c r="U38" s="22">
        <f t="shared" si="9"/>
        <v>1</v>
      </c>
      <c r="V38" s="23">
        <v>60</v>
      </c>
      <c r="W38" s="23">
        <v>33</v>
      </c>
      <c r="X38" s="23">
        <f t="shared" si="10"/>
        <v>27</v>
      </c>
      <c r="Y38" s="23">
        <f t="shared" si="11"/>
        <v>1</v>
      </c>
    </row>
    <row r="39" spans="1:25" x14ac:dyDescent="0.2">
      <c r="A39" s="25" t="s">
        <v>178</v>
      </c>
      <c r="B39" s="22">
        <v>76</v>
      </c>
      <c r="C39" s="22">
        <v>52</v>
      </c>
      <c r="D39" s="22">
        <f t="shared" si="1"/>
        <v>24</v>
      </c>
      <c r="E39" s="22">
        <f t="shared" si="12"/>
        <v>1</v>
      </c>
      <c r="F39" s="23">
        <v>2</v>
      </c>
      <c r="G39" s="23">
        <v>2</v>
      </c>
      <c r="H39" s="23">
        <f t="shared" si="2"/>
        <v>0</v>
      </c>
      <c r="I39" s="23">
        <f t="shared" si="3"/>
        <v>1</v>
      </c>
      <c r="J39" s="22">
        <v>2</v>
      </c>
      <c r="K39" s="22">
        <v>3</v>
      </c>
      <c r="L39" s="22">
        <f t="shared" si="4"/>
        <v>-1</v>
      </c>
      <c r="M39" s="22">
        <f t="shared" si="5"/>
        <v>1</v>
      </c>
      <c r="N39" s="23">
        <v>91</v>
      </c>
      <c r="O39" s="23">
        <v>63</v>
      </c>
      <c r="P39" s="23">
        <f t="shared" si="6"/>
        <v>28</v>
      </c>
      <c r="Q39" s="23">
        <f t="shared" si="7"/>
        <v>1</v>
      </c>
      <c r="R39" s="22">
        <v>57</v>
      </c>
      <c r="S39" s="22">
        <v>34</v>
      </c>
      <c r="T39" s="22">
        <f t="shared" si="8"/>
        <v>23</v>
      </c>
      <c r="U39" s="22">
        <f t="shared" si="9"/>
        <v>1</v>
      </c>
      <c r="V39" s="23">
        <v>100</v>
      </c>
      <c r="W39" s="23">
        <v>0</v>
      </c>
      <c r="X39" s="23">
        <f t="shared" si="10"/>
        <v>100</v>
      </c>
      <c r="Y39" s="23">
        <f t="shared" si="11"/>
        <v>1</v>
      </c>
    </row>
    <row r="40" spans="1:25" x14ac:dyDescent="0.2">
      <c r="A40" s="25" t="s">
        <v>178</v>
      </c>
      <c r="B40" s="22">
        <v>67</v>
      </c>
      <c r="C40" s="22">
        <v>57</v>
      </c>
      <c r="D40" s="22">
        <f t="shared" si="1"/>
        <v>10</v>
      </c>
      <c r="E40" s="22">
        <f t="shared" si="12"/>
        <v>1</v>
      </c>
      <c r="F40" s="23">
        <v>9</v>
      </c>
      <c r="G40" s="23">
        <v>13</v>
      </c>
      <c r="H40" s="23">
        <f t="shared" si="2"/>
        <v>-4</v>
      </c>
      <c r="I40" s="23">
        <f t="shared" si="3"/>
        <v>0</v>
      </c>
      <c r="J40" s="22">
        <v>1</v>
      </c>
      <c r="K40" s="22">
        <v>5</v>
      </c>
      <c r="L40" s="22">
        <f t="shared" si="4"/>
        <v>-4</v>
      </c>
      <c r="M40" s="22">
        <f t="shared" si="5"/>
        <v>1</v>
      </c>
      <c r="N40" s="23">
        <v>80</v>
      </c>
      <c r="O40" s="23">
        <v>70</v>
      </c>
      <c r="P40" s="23">
        <f t="shared" si="6"/>
        <v>10</v>
      </c>
      <c r="Q40" s="23">
        <f t="shared" si="7"/>
        <v>1</v>
      </c>
      <c r="R40" s="22">
        <v>43</v>
      </c>
      <c r="S40" s="22">
        <v>53</v>
      </c>
      <c r="T40" s="22">
        <f t="shared" si="8"/>
        <v>-10</v>
      </c>
      <c r="U40" s="22">
        <f t="shared" si="9"/>
        <v>0</v>
      </c>
      <c r="V40" s="23">
        <v>50</v>
      </c>
      <c r="W40" s="23">
        <v>29</v>
      </c>
      <c r="X40" s="23">
        <f t="shared" si="10"/>
        <v>21</v>
      </c>
      <c r="Y40" s="23">
        <f t="shared" si="11"/>
        <v>1</v>
      </c>
    </row>
    <row r="41" spans="1:25" x14ac:dyDescent="0.2">
      <c r="A41" s="25" t="s">
        <v>179</v>
      </c>
      <c r="B41" s="22">
        <v>62</v>
      </c>
      <c r="C41" s="22">
        <v>63</v>
      </c>
      <c r="D41" s="22">
        <f t="shared" si="1"/>
        <v>-1</v>
      </c>
      <c r="E41" s="22">
        <f t="shared" si="12"/>
        <v>0</v>
      </c>
      <c r="F41" s="23">
        <v>1</v>
      </c>
      <c r="G41" s="23">
        <v>2</v>
      </c>
      <c r="H41" s="23">
        <f t="shared" si="2"/>
        <v>-1</v>
      </c>
      <c r="I41" s="23">
        <f t="shared" si="3"/>
        <v>0</v>
      </c>
      <c r="J41" s="22">
        <v>1</v>
      </c>
      <c r="K41" s="22">
        <v>1</v>
      </c>
      <c r="L41" s="22">
        <f t="shared" si="4"/>
        <v>0</v>
      </c>
      <c r="M41" s="22">
        <f t="shared" si="5"/>
        <v>1</v>
      </c>
      <c r="N41" s="23">
        <v>68</v>
      </c>
      <c r="O41" s="23">
        <v>53</v>
      </c>
      <c r="P41" s="23">
        <f t="shared" si="6"/>
        <v>15</v>
      </c>
      <c r="Q41" s="23">
        <f t="shared" si="7"/>
        <v>1</v>
      </c>
      <c r="R41" s="22">
        <v>56</v>
      </c>
      <c r="S41" s="22">
        <v>43</v>
      </c>
      <c r="T41" s="22">
        <f t="shared" si="8"/>
        <v>13</v>
      </c>
      <c r="U41" s="22">
        <f t="shared" si="9"/>
        <v>1</v>
      </c>
      <c r="V41" s="23">
        <v>64</v>
      </c>
      <c r="W41" s="23">
        <v>21</v>
      </c>
      <c r="X41" s="23">
        <f t="shared" si="10"/>
        <v>43</v>
      </c>
      <c r="Y41" s="23">
        <f t="shared" si="11"/>
        <v>1</v>
      </c>
    </row>
    <row r="42" spans="1:25" x14ac:dyDescent="0.2">
      <c r="A42" s="25" t="s">
        <v>179</v>
      </c>
      <c r="B42" s="22">
        <v>62</v>
      </c>
      <c r="C42" s="22">
        <v>76</v>
      </c>
      <c r="D42" s="22">
        <f t="shared" si="1"/>
        <v>-14</v>
      </c>
      <c r="E42" s="22">
        <f t="shared" si="12"/>
        <v>0</v>
      </c>
      <c r="F42" s="23">
        <v>1</v>
      </c>
      <c r="G42" s="23">
        <v>4</v>
      </c>
      <c r="H42" s="23">
        <f t="shared" si="2"/>
        <v>-3</v>
      </c>
      <c r="I42" s="23">
        <f t="shared" si="3"/>
        <v>0</v>
      </c>
      <c r="J42" s="22">
        <v>2</v>
      </c>
      <c r="K42" s="22">
        <v>5</v>
      </c>
      <c r="L42" s="22">
        <f t="shared" si="4"/>
        <v>-3</v>
      </c>
      <c r="M42" s="22">
        <f t="shared" si="5"/>
        <v>1</v>
      </c>
      <c r="N42" s="23">
        <v>65</v>
      </c>
      <c r="O42" s="23">
        <v>60</v>
      </c>
      <c r="P42" s="23">
        <f t="shared" si="6"/>
        <v>5</v>
      </c>
      <c r="Q42" s="23">
        <f t="shared" si="7"/>
        <v>1</v>
      </c>
      <c r="R42" s="22">
        <v>61</v>
      </c>
      <c r="S42" s="22">
        <v>41</v>
      </c>
      <c r="T42" s="22">
        <f t="shared" si="8"/>
        <v>20</v>
      </c>
      <c r="U42" s="22">
        <f t="shared" si="9"/>
        <v>1</v>
      </c>
      <c r="V42" s="23">
        <v>39</v>
      </c>
      <c r="W42" s="23">
        <v>31</v>
      </c>
      <c r="X42" s="23">
        <f t="shared" si="10"/>
        <v>8</v>
      </c>
      <c r="Y42" s="23">
        <f t="shared" si="11"/>
        <v>1</v>
      </c>
    </row>
    <row r="43" spans="1:25" x14ac:dyDescent="0.2">
      <c r="A43" s="25" t="s">
        <v>179</v>
      </c>
      <c r="B43" s="22">
        <v>59</v>
      </c>
      <c r="C43" s="22">
        <v>50</v>
      </c>
      <c r="D43" s="22">
        <f t="shared" si="1"/>
        <v>9</v>
      </c>
      <c r="E43" s="22">
        <f t="shared" si="12"/>
        <v>1</v>
      </c>
      <c r="F43" s="23">
        <v>10</v>
      </c>
      <c r="G43" s="23">
        <v>3</v>
      </c>
      <c r="H43" s="23">
        <f t="shared" si="2"/>
        <v>7</v>
      </c>
      <c r="I43" s="23">
        <f t="shared" si="3"/>
        <v>1</v>
      </c>
      <c r="J43" s="22">
        <v>1</v>
      </c>
      <c r="K43" s="22">
        <v>2</v>
      </c>
      <c r="L43" s="22">
        <f t="shared" si="4"/>
        <v>-1</v>
      </c>
      <c r="M43" s="22">
        <f t="shared" si="5"/>
        <v>1</v>
      </c>
      <c r="N43" s="23">
        <v>81</v>
      </c>
      <c r="O43" s="23">
        <v>69</v>
      </c>
      <c r="P43" s="23">
        <f t="shared" si="6"/>
        <v>12</v>
      </c>
      <c r="Q43" s="23">
        <f t="shared" si="7"/>
        <v>1</v>
      </c>
      <c r="R43" s="22">
        <v>59</v>
      </c>
      <c r="S43" s="22">
        <v>44</v>
      </c>
      <c r="T43" s="22">
        <f t="shared" si="8"/>
        <v>15</v>
      </c>
      <c r="U43" s="22">
        <f t="shared" si="9"/>
        <v>1</v>
      </c>
      <c r="V43" s="23">
        <v>63</v>
      </c>
      <c r="W43" s="23">
        <v>33</v>
      </c>
      <c r="X43" s="23">
        <f t="shared" si="10"/>
        <v>30</v>
      </c>
      <c r="Y43" s="23">
        <f t="shared" si="11"/>
        <v>1</v>
      </c>
    </row>
    <row r="44" spans="1:25" x14ac:dyDescent="0.2">
      <c r="A44" s="25" t="s">
        <v>179</v>
      </c>
      <c r="B44" s="22">
        <v>68</v>
      </c>
      <c r="C44" s="22">
        <v>70</v>
      </c>
      <c r="D44" s="22">
        <f t="shared" si="1"/>
        <v>-2</v>
      </c>
      <c r="E44" s="22">
        <f t="shared" si="12"/>
        <v>0</v>
      </c>
      <c r="F44" s="23">
        <v>4</v>
      </c>
      <c r="G44" s="23">
        <v>21</v>
      </c>
      <c r="H44" s="23">
        <f t="shared" si="2"/>
        <v>-17</v>
      </c>
      <c r="I44" s="23">
        <f t="shared" si="3"/>
        <v>0</v>
      </c>
      <c r="J44" s="22">
        <v>1</v>
      </c>
      <c r="K44" s="22">
        <v>4</v>
      </c>
      <c r="L44" s="22">
        <f t="shared" si="4"/>
        <v>-3</v>
      </c>
      <c r="M44" s="22">
        <f t="shared" si="5"/>
        <v>1</v>
      </c>
      <c r="N44" s="23">
        <v>75</v>
      </c>
      <c r="O44" s="23">
        <v>79</v>
      </c>
      <c r="P44" s="23">
        <f t="shared" si="6"/>
        <v>-4</v>
      </c>
      <c r="Q44" s="23">
        <f t="shared" si="7"/>
        <v>0</v>
      </c>
      <c r="R44" s="22">
        <v>74</v>
      </c>
      <c r="S44" s="22">
        <v>29</v>
      </c>
      <c r="T44" s="22">
        <f t="shared" si="8"/>
        <v>45</v>
      </c>
      <c r="U44" s="22">
        <f t="shared" si="9"/>
        <v>1</v>
      </c>
      <c r="V44" s="23">
        <v>33</v>
      </c>
      <c r="W44" s="23">
        <v>50</v>
      </c>
      <c r="X44" s="23">
        <f t="shared" si="10"/>
        <v>-17</v>
      </c>
      <c r="Y44" s="23">
        <f t="shared" si="11"/>
        <v>0</v>
      </c>
    </row>
    <row r="45" spans="1:25" x14ac:dyDescent="0.2">
      <c r="A45" s="19">
        <v>2013</v>
      </c>
      <c r="B45" s="22">
        <v>70</v>
      </c>
      <c r="C45" s="22">
        <v>62</v>
      </c>
      <c r="D45" s="22">
        <f t="shared" si="1"/>
        <v>8</v>
      </c>
      <c r="E45" s="22">
        <f t="shared" si="12"/>
        <v>1</v>
      </c>
      <c r="F45" s="23">
        <v>5</v>
      </c>
      <c r="G45" s="23">
        <v>1</v>
      </c>
      <c r="H45" s="23">
        <f t="shared" si="2"/>
        <v>4</v>
      </c>
      <c r="I45" s="23">
        <f t="shared" si="3"/>
        <v>1</v>
      </c>
      <c r="J45" s="22">
        <v>2</v>
      </c>
      <c r="K45" s="22">
        <v>5</v>
      </c>
      <c r="L45" s="22">
        <f t="shared" si="4"/>
        <v>-3</v>
      </c>
      <c r="M45" s="22">
        <f t="shared" si="5"/>
        <v>1</v>
      </c>
      <c r="N45" s="23">
        <v>70</v>
      </c>
      <c r="O45" s="23">
        <v>58</v>
      </c>
      <c r="P45" s="23">
        <f t="shared" si="6"/>
        <v>12</v>
      </c>
      <c r="Q45" s="23">
        <f t="shared" si="7"/>
        <v>1</v>
      </c>
      <c r="R45" s="22">
        <v>42</v>
      </c>
      <c r="S45" s="22">
        <v>25</v>
      </c>
      <c r="T45" s="22">
        <f t="shared" si="8"/>
        <v>17</v>
      </c>
      <c r="U45" s="22">
        <f t="shared" si="9"/>
        <v>1</v>
      </c>
      <c r="V45" s="23">
        <v>50</v>
      </c>
      <c r="W45" s="23">
        <v>25</v>
      </c>
      <c r="X45" s="23">
        <f t="shared" si="10"/>
        <v>25</v>
      </c>
      <c r="Y45" s="23">
        <f t="shared" si="11"/>
        <v>1</v>
      </c>
    </row>
    <row r="46" spans="1:25" x14ac:dyDescent="0.2">
      <c r="A46" s="25" t="s">
        <v>178</v>
      </c>
      <c r="B46" s="22">
        <v>64</v>
      </c>
      <c r="C46" s="22">
        <v>67</v>
      </c>
      <c r="D46" s="22">
        <f t="shared" si="1"/>
        <v>-3</v>
      </c>
      <c r="E46" s="22">
        <f t="shared" si="12"/>
        <v>0</v>
      </c>
      <c r="F46" s="23">
        <v>6</v>
      </c>
      <c r="G46" s="23">
        <v>5</v>
      </c>
      <c r="H46" s="23">
        <f t="shared" si="2"/>
        <v>1</v>
      </c>
      <c r="I46" s="23">
        <f t="shared" si="3"/>
        <v>1</v>
      </c>
      <c r="J46" s="22">
        <v>3</v>
      </c>
      <c r="K46" s="22">
        <v>2</v>
      </c>
      <c r="L46" s="22">
        <f t="shared" si="4"/>
        <v>1</v>
      </c>
      <c r="M46" s="22">
        <f t="shared" si="5"/>
        <v>0</v>
      </c>
      <c r="N46" s="23">
        <v>72</v>
      </c>
      <c r="O46" s="23">
        <v>64</v>
      </c>
      <c r="P46" s="23">
        <f t="shared" si="6"/>
        <v>8</v>
      </c>
      <c r="Q46" s="23">
        <f t="shared" si="7"/>
        <v>1</v>
      </c>
      <c r="R46" s="22">
        <v>60</v>
      </c>
      <c r="S46" s="22">
        <v>53</v>
      </c>
      <c r="T46" s="22">
        <f t="shared" si="8"/>
        <v>7</v>
      </c>
      <c r="U46" s="22">
        <f t="shared" si="9"/>
        <v>1</v>
      </c>
      <c r="V46" s="23">
        <v>50</v>
      </c>
      <c r="W46" s="23">
        <v>56</v>
      </c>
      <c r="X46" s="23">
        <f t="shared" si="10"/>
        <v>-6</v>
      </c>
      <c r="Y46" s="23">
        <f t="shared" si="11"/>
        <v>0</v>
      </c>
    </row>
    <row r="47" spans="1:25" x14ac:dyDescent="0.2">
      <c r="A47" s="25" t="s">
        <v>178</v>
      </c>
      <c r="B47" s="22">
        <v>60</v>
      </c>
      <c r="C47" s="22">
        <v>58</v>
      </c>
      <c r="D47" s="22">
        <f t="shared" si="1"/>
        <v>2</v>
      </c>
      <c r="E47" s="22">
        <f t="shared" si="12"/>
        <v>1</v>
      </c>
      <c r="F47" s="23">
        <v>3</v>
      </c>
      <c r="G47" s="23">
        <v>6</v>
      </c>
      <c r="H47" s="23">
        <f t="shared" si="2"/>
        <v>-3</v>
      </c>
      <c r="I47" s="23">
        <f t="shared" si="3"/>
        <v>0</v>
      </c>
      <c r="J47" s="22">
        <v>1</v>
      </c>
      <c r="K47" s="22">
        <v>3</v>
      </c>
      <c r="L47" s="22">
        <f t="shared" si="4"/>
        <v>-2</v>
      </c>
      <c r="M47" s="22">
        <f t="shared" si="5"/>
        <v>1</v>
      </c>
      <c r="N47" s="23">
        <v>66</v>
      </c>
      <c r="O47" s="23">
        <v>62</v>
      </c>
      <c r="P47" s="23">
        <f t="shared" si="6"/>
        <v>4</v>
      </c>
      <c r="Q47" s="23">
        <f t="shared" si="7"/>
        <v>1</v>
      </c>
      <c r="R47" s="22">
        <v>66</v>
      </c>
      <c r="S47" s="22">
        <v>40</v>
      </c>
      <c r="T47" s="22">
        <f t="shared" si="8"/>
        <v>26</v>
      </c>
      <c r="U47" s="22">
        <f t="shared" si="9"/>
        <v>1</v>
      </c>
      <c r="V47" s="23">
        <v>35</v>
      </c>
      <c r="W47" s="23">
        <v>40</v>
      </c>
      <c r="X47" s="23">
        <f t="shared" si="10"/>
        <v>-5</v>
      </c>
      <c r="Y47" s="23">
        <f t="shared" si="11"/>
        <v>0</v>
      </c>
    </row>
    <row r="48" spans="1:25" x14ac:dyDescent="0.2">
      <c r="A48" s="25" t="s">
        <v>179</v>
      </c>
      <c r="B48" s="22">
        <v>64</v>
      </c>
      <c r="C48" s="22">
        <v>60</v>
      </c>
      <c r="D48" s="22">
        <f t="shared" si="1"/>
        <v>4</v>
      </c>
      <c r="E48" s="22">
        <f t="shared" si="12"/>
        <v>1</v>
      </c>
      <c r="F48" s="23">
        <v>11</v>
      </c>
      <c r="G48" s="23">
        <v>4</v>
      </c>
      <c r="H48" s="23">
        <f t="shared" si="2"/>
        <v>7</v>
      </c>
      <c r="I48" s="23">
        <f t="shared" si="3"/>
        <v>1</v>
      </c>
      <c r="J48" s="22">
        <v>0</v>
      </c>
      <c r="K48" s="22">
        <v>5</v>
      </c>
      <c r="L48" s="22">
        <f t="shared" si="4"/>
        <v>-5</v>
      </c>
      <c r="M48" s="22">
        <f t="shared" si="5"/>
        <v>1</v>
      </c>
      <c r="N48" s="23">
        <v>82</v>
      </c>
      <c r="O48" s="23">
        <v>66</v>
      </c>
      <c r="P48" s="23">
        <f t="shared" si="6"/>
        <v>16</v>
      </c>
      <c r="Q48" s="23">
        <f t="shared" si="7"/>
        <v>1</v>
      </c>
      <c r="R48" s="22">
        <v>79</v>
      </c>
      <c r="S48" s="22">
        <v>43</v>
      </c>
      <c r="T48" s="22">
        <f t="shared" si="8"/>
        <v>36</v>
      </c>
      <c r="U48" s="22">
        <f t="shared" si="9"/>
        <v>1</v>
      </c>
      <c r="V48" s="23">
        <v>42</v>
      </c>
      <c r="W48" s="23">
        <v>100</v>
      </c>
      <c r="X48" s="23">
        <f t="shared" si="10"/>
        <v>-58</v>
      </c>
      <c r="Y48" s="23">
        <f t="shared" si="11"/>
        <v>0</v>
      </c>
    </row>
    <row r="49" spans="1:25" x14ac:dyDescent="0.2">
      <c r="A49" s="25" t="s">
        <v>179</v>
      </c>
      <c r="B49" s="22">
        <v>75</v>
      </c>
      <c r="C49" s="22">
        <v>60</v>
      </c>
      <c r="D49" s="22">
        <f t="shared" si="1"/>
        <v>15</v>
      </c>
      <c r="E49" s="22">
        <f t="shared" si="12"/>
        <v>1</v>
      </c>
      <c r="F49" s="23">
        <v>5</v>
      </c>
      <c r="G49" s="23">
        <v>3</v>
      </c>
      <c r="H49" s="23">
        <f t="shared" si="2"/>
        <v>2</v>
      </c>
      <c r="I49" s="23">
        <f t="shared" si="3"/>
        <v>1</v>
      </c>
      <c r="J49" s="22">
        <v>0</v>
      </c>
      <c r="K49" s="22">
        <v>4</v>
      </c>
      <c r="L49" s="22">
        <f t="shared" si="4"/>
        <v>-4</v>
      </c>
      <c r="M49" s="22">
        <f t="shared" si="5"/>
        <v>1</v>
      </c>
      <c r="N49" s="23">
        <v>73</v>
      </c>
      <c r="O49" s="23">
        <v>58</v>
      </c>
      <c r="P49" s="23">
        <f t="shared" si="6"/>
        <v>15</v>
      </c>
      <c r="Q49" s="23">
        <f t="shared" si="7"/>
        <v>1</v>
      </c>
      <c r="R49" s="22">
        <v>61</v>
      </c>
      <c r="S49" s="22">
        <v>34</v>
      </c>
      <c r="T49" s="22">
        <f t="shared" si="8"/>
        <v>27</v>
      </c>
      <c r="U49" s="22">
        <f t="shared" si="9"/>
        <v>1</v>
      </c>
      <c r="V49" s="23">
        <v>58</v>
      </c>
      <c r="W49" s="23">
        <v>20</v>
      </c>
      <c r="X49" s="23">
        <f t="shared" si="10"/>
        <v>38</v>
      </c>
      <c r="Y49" s="23">
        <f t="shared" si="11"/>
        <v>1</v>
      </c>
    </row>
    <row r="50" spans="1:25" x14ac:dyDescent="0.2">
      <c r="A50" s="25" t="s">
        <v>179</v>
      </c>
      <c r="B50" s="22">
        <v>47</v>
      </c>
      <c r="C50" s="22">
        <v>59</v>
      </c>
      <c r="D50" s="22">
        <f t="shared" si="1"/>
        <v>-12</v>
      </c>
      <c r="E50" s="22">
        <f t="shared" si="12"/>
        <v>0</v>
      </c>
      <c r="F50" s="23">
        <v>1</v>
      </c>
      <c r="G50" s="23">
        <v>2</v>
      </c>
      <c r="H50" s="23">
        <f t="shared" si="2"/>
        <v>-1</v>
      </c>
      <c r="I50" s="23">
        <f t="shared" si="3"/>
        <v>0</v>
      </c>
      <c r="J50" s="22">
        <v>3</v>
      </c>
      <c r="K50" s="22">
        <v>2</v>
      </c>
      <c r="L50" s="22">
        <f t="shared" si="4"/>
        <v>1</v>
      </c>
      <c r="M50" s="22">
        <f t="shared" si="5"/>
        <v>0</v>
      </c>
      <c r="N50" s="23">
        <v>86</v>
      </c>
      <c r="O50" s="23">
        <v>55</v>
      </c>
      <c r="P50" s="23">
        <f t="shared" si="6"/>
        <v>31</v>
      </c>
      <c r="Q50" s="23">
        <f t="shared" si="7"/>
        <v>1</v>
      </c>
      <c r="R50" s="22">
        <v>67</v>
      </c>
      <c r="S50" s="22">
        <v>32</v>
      </c>
      <c r="T50" s="22">
        <f t="shared" si="8"/>
        <v>35</v>
      </c>
      <c r="U50" s="22">
        <f t="shared" si="9"/>
        <v>1</v>
      </c>
      <c r="V50" s="23">
        <v>58</v>
      </c>
      <c r="W50" s="23">
        <v>0</v>
      </c>
      <c r="X50" s="23">
        <f t="shared" si="10"/>
        <v>58</v>
      </c>
      <c r="Y50" s="23">
        <f t="shared" si="11"/>
        <v>1</v>
      </c>
    </row>
    <row r="51" spans="1:25" x14ac:dyDescent="0.2">
      <c r="A51" s="25" t="s">
        <v>179</v>
      </c>
      <c r="B51" s="22">
        <v>75</v>
      </c>
      <c r="C51" s="22">
        <v>67</v>
      </c>
      <c r="D51" s="22">
        <f t="shared" si="1"/>
        <v>8</v>
      </c>
      <c r="E51" s="22">
        <f t="shared" si="12"/>
        <v>1</v>
      </c>
      <c r="F51" s="23">
        <v>2</v>
      </c>
      <c r="G51" s="23">
        <v>0</v>
      </c>
      <c r="H51" s="23">
        <f t="shared" si="2"/>
        <v>2</v>
      </c>
      <c r="I51" s="23">
        <f t="shared" si="3"/>
        <v>1</v>
      </c>
      <c r="J51" s="22">
        <v>0</v>
      </c>
      <c r="K51" s="22">
        <v>3</v>
      </c>
      <c r="L51" s="22">
        <f t="shared" si="4"/>
        <v>-3</v>
      </c>
      <c r="M51" s="22">
        <f t="shared" si="5"/>
        <v>1</v>
      </c>
      <c r="N51" s="23">
        <v>81</v>
      </c>
      <c r="O51" s="23">
        <v>58</v>
      </c>
      <c r="P51" s="23">
        <f t="shared" si="6"/>
        <v>23</v>
      </c>
      <c r="Q51" s="23">
        <f t="shared" si="7"/>
        <v>1</v>
      </c>
      <c r="R51" s="22">
        <v>53</v>
      </c>
      <c r="S51" s="22">
        <v>42</v>
      </c>
      <c r="T51" s="22">
        <f t="shared" si="8"/>
        <v>11</v>
      </c>
      <c r="U51" s="22">
        <f t="shared" si="9"/>
        <v>1</v>
      </c>
      <c r="V51" s="23">
        <v>43</v>
      </c>
      <c r="W51" s="23">
        <v>67</v>
      </c>
      <c r="X51" s="23">
        <f t="shared" si="10"/>
        <v>-24</v>
      </c>
      <c r="Y51" s="23">
        <f t="shared" si="11"/>
        <v>0</v>
      </c>
    </row>
    <row r="52" spans="1:25" x14ac:dyDescent="0.2">
      <c r="A52" s="19">
        <v>2012</v>
      </c>
      <c r="B52" s="22">
        <v>62</v>
      </c>
      <c r="C52" s="22">
        <v>59</v>
      </c>
      <c r="D52" s="22">
        <f t="shared" si="1"/>
        <v>3</v>
      </c>
      <c r="E52" s="22">
        <f t="shared" si="12"/>
        <v>1</v>
      </c>
      <c r="F52" s="23">
        <v>4</v>
      </c>
      <c r="G52" s="23">
        <v>3</v>
      </c>
      <c r="H52" s="23">
        <f t="shared" si="2"/>
        <v>1</v>
      </c>
      <c r="I52" s="23">
        <f t="shared" si="3"/>
        <v>1</v>
      </c>
      <c r="J52" s="22">
        <v>4</v>
      </c>
      <c r="K52" s="22">
        <v>4</v>
      </c>
      <c r="L52" s="22">
        <f t="shared" si="4"/>
        <v>0</v>
      </c>
      <c r="M52" s="22">
        <f t="shared" si="5"/>
        <v>1</v>
      </c>
      <c r="N52" s="23">
        <v>62</v>
      </c>
      <c r="O52" s="23">
        <v>62</v>
      </c>
      <c r="P52" s="23">
        <f t="shared" si="6"/>
        <v>0</v>
      </c>
      <c r="Q52" s="23">
        <f t="shared" si="7"/>
        <v>1</v>
      </c>
      <c r="R52" s="22">
        <v>53</v>
      </c>
      <c r="S52" s="22">
        <v>44</v>
      </c>
      <c r="T52" s="22">
        <f t="shared" si="8"/>
        <v>9</v>
      </c>
      <c r="U52" s="22">
        <f t="shared" si="9"/>
        <v>1</v>
      </c>
      <c r="V52" s="23">
        <v>53</v>
      </c>
      <c r="W52" s="23">
        <v>70</v>
      </c>
      <c r="X52" s="23">
        <f t="shared" si="10"/>
        <v>-17</v>
      </c>
      <c r="Y52" s="23">
        <f t="shared" si="11"/>
        <v>0</v>
      </c>
    </row>
    <row r="53" spans="1:25" x14ac:dyDescent="0.2">
      <c r="A53" s="25" t="s">
        <v>178</v>
      </c>
      <c r="B53" s="22">
        <v>68</v>
      </c>
      <c r="C53" s="22">
        <v>56</v>
      </c>
      <c r="D53" s="22">
        <f t="shared" si="1"/>
        <v>12</v>
      </c>
      <c r="E53" s="22">
        <f t="shared" si="12"/>
        <v>1</v>
      </c>
      <c r="F53" s="23">
        <v>6</v>
      </c>
      <c r="G53" s="23">
        <v>9</v>
      </c>
      <c r="H53" s="23">
        <f t="shared" si="2"/>
        <v>-3</v>
      </c>
      <c r="I53" s="23">
        <f t="shared" si="3"/>
        <v>0</v>
      </c>
      <c r="J53" s="22">
        <v>2</v>
      </c>
      <c r="K53" s="22">
        <v>3</v>
      </c>
      <c r="L53" s="22">
        <f t="shared" si="4"/>
        <v>-1</v>
      </c>
      <c r="M53" s="22">
        <f t="shared" si="5"/>
        <v>1</v>
      </c>
      <c r="N53" s="23">
        <v>73</v>
      </c>
      <c r="O53" s="23">
        <v>56</v>
      </c>
      <c r="P53" s="23">
        <f t="shared" si="6"/>
        <v>17</v>
      </c>
      <c r="Q53" s="23">
        <f t="shared" si="7"/>
        <v>1</v>
      </c>
      <c r="R53" s="22">
        <v>48</v>
      </c>
      <c r="S53" s="22">
        <v>45</v>
      </c>
      <c r="T53" s="22">
        <f t="shared" si="8"/>
        <v>3</v>
      </c>
      <c r="U53" s="22">
        <f t="shared" si="9"/>
        <v>1</v>
      </c>
      <c r="V53" s="23">
        <v>70</v>
      </c>
      <c r="W53" s="23">
        <v>50</v>
      </c>
      <c r="X53" s="23">
        <f t="shared" si="10"/>
        <v>20</v>
      </c>
      <c r="Y53" s="23">
        <f t="shared" si="11"/>
        <v>1</v>
      </c>
    </row>
    <row r="54" spans="1:25" x14ac:dyDescent="0.2">
      <c r="A54" s="25" t="s">
        <v>178</v>
      </c>
      <c r="B54" s="22">
        <v>60</v>
      </c>
      <c r="C54" s="22">
        <v>56</v>
      </c>
      <c r="D54" s="22">
        <f t="shared" si="1"/>
        <v>4</v>
      </c>
      <c r="E54" s="22">
        <f t="shared" si="12"/>
        <v>1</v>
      </c>
      <c r="F54" s="23">
        <v>2</v>
      </c>
      <c r="G54" s="23">
        <v>1</v>
      </c>
      <c r="H54" s="23">
        <f t="shared" si="2"/>
        <v>1</v>
      </c>
      <c r="I54" s="23">
        <f t="shared" si="3"/>
        <v>1</v>
      </c>
      <c r="J54" s="22">
        <v>1</v>
      </c>
      <c r="K54" s="22">
        <v>3</v>
      </c>
      <c r="L54" s="22">
        <f t="shared" si="4"/>
        <v>-2</v>
      </c>
      <c r="M54" s="22">
        <f t="shared" si="5"/>
        <v>1</v>
      </c>
      <c r="N54" s="23">
        <v>85</v>
      </c>
      <c r="O54" s="23">
        <v>51</v>
      </c>
      <c r="P54" s="23">
        <f t="shared" si="6"/>
        <v>34</v>
      </c>
      <c r="Q54" s="23">
        <f t="shared" si="7"/>
        <v>1</v>
      </c>
      <c r="R54" s="22">
        <v>58</v>
      </c>
      <c r="S54" s="22">
        <v>41</v>
      </c>
      <c r="T54" s="22">
        <f t="shared" si="8"/>
        <v>17</v>
      </c>
      <c r="U54" s="22">
        <f t="shared" si="9"/>
        <v>1</v>
      </c>
      <c r="V54" s="23">
        <v>70</v>
      </c>
      <c r="W54" s="23">
        <v>0</v>
      </c>
      <c r="X54" s="23">
        <f t="shared" si="10"/>
        <v>70</v>
      </c>
      <c r="Y54" s="23">
        <f t="shared" si="11"/>
        <v>1</v>
      </c>
    </row>
    <row r="55" spans="1:25" x14ac:dyDescent="0.2">
      <c r="A55" s="25" t="s">
        <v>179</v>
      </c>
      <c r="B55" s="22">
        <v>67</v>
      </c>
      <c r="C55" s="22">
        <v>68</v>
      </c>
      <c r="D55" s="22">
        <f t="shared" si="1"/>
        <v>-1</v>
      </c>
      <c r="E55" s="22">
        <f t="shared" si="12"/>
        <v>0</v>
      </c>
      <c r="F55" s="23">
        <v>7</v>
      </c>
      <c r="G55" s="23">
        <v>6</v>
      </c>
      <c r="H55" s="23">
        <f t="shared" si="2"/>
        <v>1</v>
      </c>
      <c r="I55" s="23">
        <f t="shared" si="3"/>
        <v>1</v>
      </c>
      <c r="J55" s="22">
        <v>2</v>
      </c>
      <c r="K55" s="22">
        <v>3</v>
      </c>
      <c r="L55" s="22">
        <f t="shared" si="4"/>
        <v>-1</v>
      </c>
      <c r="M55" s="22">
        <f t="shared" si="5"/>
        <v>1</v>
      </c>
      <c r="N55" s="23">
        <v>71</v>
      </c>
      <c r="O55" s="23">
        <v>65</v>
      </c>
      <c r="P55" s="23">
        <f t="shared" si="6"/>
        <v>6</v>
      </c>
      <c r="Q55" s="23">
        <f t="shared" si="7"/>
        <v>1</v>
      </c>
      <c r="R55" s="22">
        <v>53</v>
      </c>
      <c r="S55" s="22">
        <v>42</v>
      </c>
      <c r="T55" s="22">
        <f t="shared" si="8"/>
        <v>11</v>
      </c>
      <c r="U55" s="22">
        <f t="shared" si="9"/>
        <v>1</v>
      </c>
      <c r="V55" s="23">
        <v>46</v>
      </c>
      <c r="W55" s="23">
        <v>36</v>
      </c>
      <c r="X55" s="23">
        <f t="shared" si="10"/>
        <v>10</v>
      </c>
      <c r="Y55" s="23">
        <f t="shared" si="11"/>
        <v>1</v>
      </c>
    </row>
    <row r="56" spans="1:25" x14ac:dyDescent="0.2">
      <c r="A56" s="25" t="s">
        <v>179</v>
      </c>
      <c r="B56" s="22">
        <v>58</v>
      </c>
      <c r="C56" s="22">
        <v>59</v>
      </c>
      <c r="D56" s="22">
        <f t="shared" si="1"/>
        <v>-1</v>
      </c>
      <c r="E56" s="22">
        <f t="shared" si="12"/>
        <v>0</v>
      </c>
      <c r="F56" s="23">
        <v>11</v>
      </c>
      <c r="G56" s="23">
        <v>6</v>
      </c>
      <c r="H56" s="23">
        <f t="shared" si="2"/>
        <v>5</v>
      </c>
      <c r="I56" s="23">
        <f t="shared" si="3"/>
        <v>1</v>
      </c>
      <c r="J56" s="22">
        <v>1</v>
      </c>
      <c r="K56" s="22">
        <v>4</v>
      </c>
      <c r="L56" s="22">
        <f t="shared" si="4"/>
        <v>-3</v>
      </c>
      <c r="M56" s="22">
        <f t="shared" si="5"/>
        <v>1</v>
      </c>
      <c r="N56" s="23">
        <v>69</v>
      </c>
      <c r="O56" s="23">
        <v>74</v>
      </c>
      <c r="P56" s="23">
        <f t="shared" si="6"/>
        <v>-5</v>
      </c>
      <c r="Q56" s="23">
        <f t="shared" si="7"/>
        <v>0</v>
      </c>
      <c r="R56" s="22">
        <v>60</v>
      </c>
      <c r="S56" s="22">
        <v>31</v>
      </c>
      <c r="T56" s="22">
        <f t="shared" si="8"/>
        <v>29</v>
      </c>
      <c r="U56" s="22">
        <f t="shared" si="9"/>
        <v>1</v>
      </c>
      <c r="V56" s="23">
        <v>44</v>
      </c>
      <c r="W56" s="23">
        <v>40</v>
      </c>
      <c r="X56" s="23">
        <f t="shared" si="10"/>
        <v>4</v>
      </c>
      <c r="Y56" s="23">
        <f t="shared" si="11"/>
        <v>1</v>
      </c>
    </row>
    <row r="57" spans="1:25" x14ac:dyDescent="0.2">
      <c r="A57" s="25" t="s">
        <v>179</v>
      </c>
      <c r="B57" s="22">
        <v>64</v>
      </c>
      <c r="C57" s="22">
        <v>53</v>
      </c>
      <c r="D57" s="22">
        <f t="shared" si="1"/>
        <v>11</v>
      </c>
      <c r="E57" s="22">
        <f t="shared" si="12"/>
        <v>1</v>
      </c>
      <c r="F57" s="23">
        <v>3</v>
      </c>
      <c r="G57" s="23">
        <v>3</v>
      </c>
      <c r="H57" s="23">
        <f t="shared" si="2"/>
        <v>0</v>
      </c>
      <c r="I57" s="23">
        <f t="shared" si="3"/>
        <v>1</v>
      </c>
      <c r="J57" s="22">
        <v>5</v>
      </c>
      <c r="K57" s="22">
        <v>1</v>
      </c>
      <c r="L57" s="22">
        <f t="shared" si="4"/>
        <v>4</v>
      </c>
      <c r="M57" s="22">
        <f t="shared" si="5"/>
        <v>0</v>
      </c>
      <c r="N57" s="23">
        <v>68</v>
      </c>
      <c r="O57" s="23">
        <v>60</v>
      </c>
      <c r="P57" s="23">
        <f t="shared" si="6"/>
        <v>8</v>
      </c>
      <c r="Q57" s="23">
        <f t="shared" si="7"/>
        <v>1</v>
      </c>
      <c r="R57" s="22">
        <v>39</v>
      </c>
      <c r="S57" s="22">
        <v>39</v>
      </c>
      <c r="T57" s="22">
        <f t="shared" si="8"/>
        <v>0</v>
      </c>
      <c r="U57" s="22">
        <f t="shared" si="9"/>
        <v>1</v>
      </c>
      <c r="V57" s="23">
        <v>53</v>
      </c>
      <c r="W57" s="23">
        <v>33</v>
      </c>
      <c r="X57" s="23">
        <f t="shared" si="10"/>
        <v>20</v>
      </c>
      <c r="Y57" s="23">
        <f t="shared" si="11"/>
        <v>1</v>
      </c>
    </row>
    <row r="58" spans="1:25" x14ac:dyDescent="0.2">
      <c r="A58" s="25" t="s">
        <v>179</v>
      </c>
      <c r="B58" s="22">
        <v>66</v>
      </c>
      <c r="C58" s="22">
        <v>63</v>
      </c>
      <c r="D58" s="22">
        <f t="shared" si="1"/>
        <v>3</v>
      </c>
      <c r="E58" s="22">
        <f t="shared" si="12"/>
        <v>1</v>
      </c>
      <c r="F58" s="23">
        <v>10</v>
      </c>
      <c r="G58" s="23">
        <v>4</v>
      </c>
      <c r="H58" s="23">
        <f t="shared" si="2"/>
        <v>6</v>
      </c>
      <c r="I58" s="23">
        <f t="shared" si="3"/>
        <v>1</v>
      </c>
      <c r="J58" s="22">
        <v>1</v>
      </c>
      <c r="K58" s="22">
        <v>1</v>
      </c>
      <c r="L58" s="22">
        <f t="shared" si="4"/>
        <v>0</v>
      </c>
      <c r="M58" s="22">
        <f t="shared" si="5"/>
        <v>1</v>
      </c>
      <c r="N58" s="23">
        <v>84</v>
      </c>
      <c r="O58" s="23">
        <v>70</v>
      </c>
      <c r="P58" s="23">
        <f t="shared" si="6"/>
        <v>14</v>
      </c>
      <c r="Q58" s="23">
        <f t="shared" si="7"/>
        <v>1</v>
      </c>
      <c r="R58" s="22">
        <v>50</v>
      </c>
      <c r="S58" s="22">
        <v>45</v>
      </c>
      <c r="T58" s="22">
        <f t="shared" si="8"/>
        <v>5</v>
      </c>
      <c r="U58" s="22">
        <f t="shared" si="9"/>
        <v>1</v>
      </c>
      <c r="V58" s="23">
        <v>50</v>
      </c>
      <c r="W58" s="23">
        <v>0</v>
      </c>
      <c r="X58" s="23">
        <f t="shared" si="10"/>
        <v>50</v>
      </c>
      <c r="Y58" s="23">
        <f t="shared" si="11"/>
        <v>1</v>
      </c>
    </row>
    <row r="59" spans="1:25" x14ac:dyDescent="0.2">
      <c r="A59" s="19" t="s">
        <v>198</v>
      </c>
      <c r="B59" s="22">
        <v>66</v>
      </c>
      <c r="C59" s="22">
        <v>67</v>
      </c>
      <c r="D59" s="22">
        <f t="shared" si="1"/>
        <v>-1</v>
      </c>
      <c r="E59" s="22">
        <f t="shared" si="12"/>
        <v>0</v>
      </c>
      <c r="F59" s="23">
        <v>13</v>
      </c>
      <c r="G59" s="23">
        <v>14</v>
      </c>
      <c r="H59" s="23">
        <f t="shared" si="2"/>
        <v>-1</v>
      </c>
      <c r="I59" s="23">
        <f t="shared" si="3"/>
        <v>0</v>
      </c>
      <c r="J59" s="22">
        <v>1</v>
      </c>
      <c r="K59" s="22">
        <v>3</v>
      </c>
      <c r="L59" s="22">
        <f t="shared" si="4"/>
        <v>-2</v>
      </c>
      <c r="M59" s="22">
        <f t="shared" si="5"/>
        <v>1</v>
      </c>
      <c r="N59" s="23">
        <v>74</v>
      </c>
      <c r="O59" s="23">
        <v>74</v>
      </c>
      <c r="P59" s="23">
        <f t="shared" si="6"/>
        <v>0</v>
      </c>
      <c r="Q59" s="23">
        <f t="shared" si="7"/>
        <v>1</v>
      </c>
      <c r="R59" s="22">
        <v>60</v>
      </c>
      <c r="S59" s="22">
        <v>49</v>
      </c>
      <c r="T59" s="22">
        <f t="shared" si="8"/>
        <v>11</v>
      </c>
      <c r="U59" s="22">
        <f t="shared" si="9"/>
        <v>1</v>
      </c>
      <c r="V59" s="23">
        <v>40</v>
      </c>
      <c r="W59" s="23">
        <v>14</v>
      </c>
      <c r="X59" s="23">
        <f t="shared" si="10"/>
        <v>26</v>
      </c>
      <c r="Y59" s="23">
        <f t="shared" si="11"/>
        <v>1</v>
      </c>
    </row>
    <row r="60" spans="1:25" x14ac:dyDescent="0.2">
      <c r="A60" s="25" t="s">
        <v>178</v>
      </c>
      <c r="B60" s="22">
        <v>76</v>
      </c>
      <c r="C60" s="22">
        <v>51</v>
      </c>
      <c r="D60" s="22">
        <f t="shared" si="1"/>
        <v>25</v>
      </c>
      <c r="E60" s="22">
        <f t="shared" si="12"/>
        <v>1</v>
      </c>
      <c r="F60" s="23">
        <v>12</v>
      </c>
      <c r="G60" s="23">
        <v>6</v>
      </c>
      <c r="H60" s="23">
        <f t="shared" si="2"/>
        <v>6</v>
      </c>
      <c r="I60" s="23">
        <f t="shared" si="3"/>
        <v>1</v>
      </c>
      <c r="J60" s="22">
        <v>2</v>
      </c>
      <c r="K60" s="22">
        <v>6</v>
      </c>
      <c r="L60" s="22">
        <f t="shared" si="4"/>
        <v>-4</v>
      </c>
      <c r="M60" s="22">
        <f t="shared" si="5"/>
        <v>1</v>
      </c>
      <c r="N60" s="23">
        <v>78</v>
      </c>
      <c r="O60" s="23">
        <v>66</v>
      </c>
      <c r="P60" s="23">
        <f t="shared" si="6"/>
        <v>12</v>
      </c>
      <c r="Q60" s="23">
        <f t="shared" si="7"/>
        <v>1</v>
      </c>
      <c r="R60" s="22">
        <v>46</v>
      </c>
      <c r="S60" s="22">
        <v>55</v>
      </c>
      <c r="T60" s="22">
        <f t="shared" si="8"/>
        <v>-9</v>
      </c>
      <c r="U60" s="22">
        <f t="shared" si="9"/>
        <v>0</v>
      </c>
      <c r="V60" s="23">
        <v>38</v>
      </c>
      <c r="W60" s="23">
        <v>25</v>
      </c>
      <c r="X60" s="23">
        <f t="shared" si="10"/>
        <v>13</v>
      </c>
      <c r="Y60" s="23">
        <f t="shared" si="11"/>
        <v>1</v>
      </c>
    </row>
    <row r="61" spans="1:25" x14ac:dyDescent="0.2">
      <c r="A61" s="25" t="s">
        <v>178</v>
      </c>
      <c r="B61" s="22">
        <v>76</v>
      </c>
      <c r="C61" s="22">
        <v>74</v>
      </c>
      <c r="D61" s="22">
        <f t="shared" si="1"/>
        <v>2</v>
      </c>
      <c r="E61" s="22">
        <f t="shared" si="12"/>
        <v>1</v>
      </c>
      <c r="F61" s="23">
        <v>20</v>
      </c>
      <c r="G61" s="23">
        <v>12</v>
      </c>
      <c r="H61" s="23">
        <f t="shared" si="2"/>
        <v>8</v>
      </c>
      <c r="I61" s="23">
        <f t="shared" si="3"/>
        <v>1</v>
      </c>
      <c r="J61" s="22">
        <v>1</v>
      </c>
      <c r="K61" s="22">
        <v>1</v>
      </c>
      <c r="L61" s="22">
        <f t="shared" si="4"/>
        <v>0</v>
      </c>
      <c r="M61" s="22">
        <f t="shared" si="5"/>
        <v>1</v>
      </c>
      <c r="N61" s="23">
        <v>84</v>
      </c>
      <c r="O61" s="23">
        <v>71</v>
      </c>
      <c r="P61" s="23">
        <f t="shared" si="6"/>
        <v>13</v>
      </c>
      <c r="Q61" s="23">
        <f t="shared" si="7"/>
        <v>1</v>
      </c>
      <c r="R61" s="22">
        <v>55</v>
      </c>
      <c r="S61" s="22">
        <v>50</v>
      </c>
      <c r="T61" s="22">
        <f t="shared" si="8"/>
        <v>5</v>
      </c>
      <c r="U61" s="22">
        <f t="shared" si="9"/>
        <v>1</v>
      </c>
      <c r="V61" s="23">
        <v>30</v>
      </c>
      <c r="W61" s="23">
        <v>0</v>
      </c>
      <c r="X61" s="23">
        <f t="shared" si="10"/>
        <v>30</v>
      </c>
      <c r="Y61" s="23">
        <f t="shared" si="11"/>
        <v>1</v>
      </c>
    </row>
    <row r="62" spans="1:25" x14ac:dyDescent="0.2">
      <c r="A62" s="25" t="s">
        <v>179</v>
      </c>
      <c r="B62" s="22">
        <v>72</v>
      </c>
      <c r="C62" s="22">
        <v>55</v>
      </c>
      <c r="D62" s="22">
        <f t="shared" si="1"/>
        <v>17</v>
      </c>
      <c r="E62" s="22">
        <f t="shared" si="12"/>
        <v>1</v>
      </c>
      <c r="F62" s="23">
        <v>4</v>
      </c>
      <c r="G62" s="23">
        <v>8</v>
      </c>
      <c r="H62" s="23">
        <f t="shared" si="2"/>
        <v>-4</v>
      </c>
      <c r="I62" s="23">
        <f t="shared" si="3"/>
        <v>0</v>
      </c>
      <c r="J62" s="22">
        <v>1</v>
      </c>
      <c r="K62" s="22">
        <v>0</v>
      </c>
      <c r="L62" s="22">
        <f t="shared" si="4"/>
        <v>1</v>
      </c>
      <c r="M62" s="22">
        <f t="shared" si="5"/>
        <v>0</v>
      </c>
      <c r="N62" s="23">
        <v>79</v>
      </c>
      <c r="O62" s="23">
        <v>76</v>
      </c>
      <c r="P62" s="23">
        <f t="shared" si="6"/>
        <v>3</v>
      </c>
      <c r="Q62" s="23">
        <f t="shared" si="7"/>
        <v>1</v>
      </c>
      <c r="R62" s="22">
        <v>74</v>
      </c>
      <c r="S62" s="22">
        <v>49</v>
      </c>
      <c r="T62" s="22">
        <f t="shared" si="8"/>
        <v>25</v>
      </c>
      <c r="U62" s="22">
        <f t="shared" si="9"/>
        <v>1</v>
      </c>
      <c r="V62" s="23">
        <v>60</v>
      </c>
      <c r="W62" s="23">
        <v>0</v>
      </c>
      <c r="X62" s="23">
        <f t="shared" si="10"/>
        <v>60</v>
      </c>
      <c r="Y62" s="23">
        <f t="shared" si="11"/>
        <v>1</v>
      </c>
    </row>
    <row r="63" spans="1:25" x14ac:dyDescent="0.2">
      <c r="A63" s="25" t="s">
        <v>179</v>
      </c>
      <c r="B63" s="22">
        <v>67</v>
      </c>
      <c r="C63" s="22">
        <v>61</v>
      </c>
      <c r="D63" s="22">
        <f t="shared" si="1"/>
        <v>6</v>
      </c>
      <c r="E63" s="22">
        <f t="shared" si="12"/>
        <v>1</v>
      </c>
      <c r="F63" s="23">
        <v>6</v>
      </c>
      <c r="G63" s="23">
        <v>22</v>
      </c>
      <c r="H63" s="23">
        <f t="shared" si="2"/>
        <v>-16</v>
      </c>
      <c r="I63" s="23">
        <f t="shared" si="3"/>
        <v>0</v>
      </c>
      <c r="J63" s="22">
        <v>4</v>
      </c>
      <c r="K63" s="22">
        <v>1</v>
      </c>
      <c r="L63" s="22">
        <f t="shared" si="4"/>
        <v>3</v>
      </c>
      <c r="M63" s="22">
        <f t="shared" si="5"/>
        <v>0</v>
      </c>
      <c r="N63" s="23">
        <v>74</v>
      </c>
      <c r="O63" s="23">
        <v>78</v>
      </c>
      <c r="P63" s="23">
        <f t="shared" si="6"/>
        <v>-4</v>
      </c>
      <c r="Q63" s="23">
        <f t="shared" si="7"/>
        <v>0</v>
      </c>
      <c r="R63" s="22">
        <v>66</v>
      </c>
      <c r="S63" s="22">
        <v>55</v>
      </c>
      <c r="T63" s="22">
        <f t="shared" si="8"/>
        <v>11</v>
      </c>
      <c r="U63" s="22">
        <f t="shared" si="9"/>
        <v>1</v>
      </c>
      <c r="V63" s="23">
        <v>56</v>
      </c>
      <c r="W63" s="23">
        <v>44</v>
      </c>
      <c r="X63" s="23">
        <f t="shared" si="10"/>
        <v>12</v>
      </c>
      <c r="Y63" s="23">
        <f t="shared" si="11"/>
        <v>1</v>
      </c>
    </row>
    <row r="64" spans="1:25" x14ac:dyDescent="0.2">
      <c r="A64" s="25" t="s">
        <v>179</v>
      </c>
      <c r="B64" s="22">
        <v>64</v>
      </c>
      <c r="C64" s="22">
        <v>59</v>
      </c>
      <c r="D64" s="22">
        <f t="shared" si="1"/>
        <v>5</v>
      </c>
      <c r="E64" s="22">
        <f t="shared" si="12"/>
        <v>1</v>
      </c>
      <c r="F64" s="23">
        <v>4</v>
      </c>
      <c r="G64" s="23">
        <v>9</v>
      </c>
      <c r="H64" s="23">
        <f t="shared" si="2"/>
        <v>-5</v>
      </c>
      <c r="I64" s="23">
        <f t="shared" si="3"/>
        <v>0</v>
      </c>
      <c r="J64" s="22">
        <v>3</v>
      </c>
      <c r="K64" s="22">
        <v>3</v>
      </c>
      <c r="L64" s="22">
        <f t="shared" si="4"/>
        <v>0</v>
      </c>
      <c r="M64" s="22">
        <f t="shared" si="5"/>
        <v>1</v>
      </c>
      <c r="N64" s="23">
        <v>84</v>
      </c>
      <c r="O64" s="23">
        <v>80</v>
      </c>
      <c r="P64" s="23">
        <f t="shared" si="6"/>
        <v>4</v>
      </c>
      <c r="Q64" s="23">
        <f t="shared" si="7"/>
        <v>1</v>
      </c>
      <c r="R64" s="22">
        <v>56</v>
      </c>
      <c r="S64" s="22">
        <v>47</v>
      </c>
      <c r="T64" s="22">
        <f t="shared" si="8"/>
        <v>9</v>
      </c>
      <c r="U64" s="22">
        <f t="shared" si="9"/>
        <v>1</v>
      </c>
      <c r="V64" s="23">
        <v>38</v>
      </c>
      <c r="W64" s="23">
        <v>0</v>
      </c>
      <c r="X64" s="23">
        <f t="shared" si="10"/>
        <v>38</v>
      </c>
      <c r="Y64" s="23">
        <f t="shared" si="11"/>
        <v>1</v>
      </c>
    </row>
    <row r="65" spans="1:25" x14ac:dyDescent="0.2">
      <c r="A65" s="25" t="s">
        <v>179</v>
      </c>
      <c r="B65" s="22">
        <v>73</v>
      </c>
      <c r="C65" s="22">
        <v>58</v>
      </c>
      <c r="D65" s="22">
        <f t="shared" si="1"/>
        <v>15</v>
      </c>
      <c r="E65" s="22">
        <f t="shared" si="12"/>
        <v>1</v>
      </c>
      <c r="F65" s="23">
        <v>11</v>
      </c>
      <c r="G65" s="23">
        <v>1</v>
      </c>
      <c r="H65" s="23">
        <f t="shared" si="2"/>
        <v>10</v>
      </c>
      <c r="I65" s="23">
        <f t="shared" si="3"/>
        <v>1</v>
      </c>
      <c r="J65" s="22">
        <v>1</v>
      </c>
      <c r="K65" s="22">
        <v>2</v>
      </c>
      <c r="L65" s="22">
        <f t="shared" si="4"/>
        <v>-1</v>
      </c>
      <c r="M65" s="22">
        <f t="shared" si="5"/>
        <v>1</v>
      </c>
      <c r="N65" s="23">
        <v>80</v>
      </c>
      <c r="O65" s="23">
        <v>60</v>
      </c>
      <c r="P65" s="23">
        <f t="shared" si="6"/>
        <v>20</v>
      </c>
      <c r="Q65" s="23">
        <f t="shared" si="7"/>
        <v>1</v>
      </c>
      <c r="R65" s="22">
        <v>60</v>
      </c>
      <c r="S65" s="22">
        <v>54</v>
      </c>
      <c r="T65" s="22">
        <f t="shared" si="8"/>
        <v>6</v>
      </c>
      <c r="U65" s="22">
        <f t="shared" si="9"/>
        <v>1</v>
      </c>
      <c r="V65" s="23">
        <v>63</v>
      </c>
      <c r="W65" s="23">
        <v>100</v>
      </c>
      <c r="X65" s="23">
        <f t="shared" si="10"/>
        <v>-37</v>
      </c>
      <c r="Y65" s="23">
        <f t="shared" si="11"/>
        <v>0</v>
      </c>
    </row>
    <row r="66" spans="1:25" x14ac:dyDescent="0.2">
      <c r="A66" s="19">
        <v>2014</v>
      </c>
      <c r="B66" s="22">
        <v>62</v>
      </c>
      <c r="C66" s="22">
        <v>69</v>
      </c>
      <c r="D66" s="22">
        <f t="shared" si="1"/>
        <v>-7</v>
      </c>
      <c r="E66" s="22">
        <f t="shared" si="12"/>
        <v>0</v>
      </c>
      <c r="F66" s="23">
        <v>13</v>
      </c>
      <c r="G66" s="23">
        <v>29</v>
      </c>
      <c r="H66" s="23">
        <f t="shared" si="2"/>
        <v>-16</v>
      </c>
      <c r="I66" s="23">
        <f t="shared" si="3"/>
        <v>0</v>
      </c>
      <c r="J66" s="22">
        <v>3</v>
      </c>
      <c r="K66" s="22">
        <v>5</v>
      </c>
      <c r="L66" s="22">
        <f t="shared" si="4"/>
        <v>-2</v>
      </c>
      <c r="M66" s="22">
        <f t="shared" si="5"/>
        <v>1</v>
      </c>
      <c r="N66" s="23">
        <v>73</v>
      </c>
      <c r="O66" s="23">
        <v>77</v>
      </c>
      <c r="P66" s="23">
        <f t="shared" si="6"/>
        <v>-4</v>
      </c>
      <c r="Q66" s="23">
        <f t="shared" si="7"/>
        <v>0</v>
      </c>
      <c r="R66" s="22">
        <v>65</v>
      </c>
      <c r="S66" s="22">
        <v>44</v>
      </c>
      <c r="T66" s="22">
        <f t="shared" si="8"/>
        <v>21</v>
      </c>
      <c r="U66" s="22">
        <f t="shared" si="9"/>
        <v>1</v>
      </c>
      <c r="V66" s="23">
        <v>27</v>
      </c>
      <c r="W66" s="23">
        <v>43</v>
      </c>
      <c r="X66" s="23">
        <f t="shared" si="10"/>
        <v>-16</v>
      </c>
      <c r="Y66" s="23">
        <f t="shared" si="11"/>
        <v>0</v>
      </c>
    </row>
    <row r="67" spans="1:25" x14ac:dyDescent="0.2">
      <c r="A67" s="25" t="s">
        <v>178</v>
      </c>
      <c r="B67" s="22">
        <v>70</v>
      </c>
      <c r="C67" s="22">
        <v>63</v>
      </c>
      <c r="D67" s="22">
        <f t="shared" si="1"/>
        <v>7</v>
      </c>
      <c r="E67" s="22">
        <f t="shared" si="12"/>
        <v>1</v>
      </c>
      <c r="F67" s="23">
        <v>17</v>
      </c>
      <c r="G67" s="23">
        <v>15</v>
      </c>
      <c r="H67" s="23">
        <f t="shared" si="2"/>
        <v>2</v>
      </c>
      <c r="I67" s="23">
        <f t="shared" si="3"/>
        <v>1</v>
      </c>
      <c r="J67" s="22">
        <v>2</v>
      </c>
      <c r="K67" s="22">
        <v>8</v>
      </c>
      <c r="L67" s="22">
        <f t="shared" si="4"/>
        <v>-6</v>
      </c>
      <c r="M67" s="22">
        <f t="shared" si="5"/>
        <v>1</v>
      </c>
      <c r="N67" s="23">
        <v>73</v>
      </c>
      <c r="O67" s="23">
        <v>82</v>
      </c>
      <c r="P67" s="23">
        <f t="shared" si="6"/>
        <v>-9</v>
      </c>
      <c r="Q67" s="23">
        <f t="shared" si="7"/>
        <v>0</v>
      </c>
      <c r="R67" s="22">
        <v>56</v>
      </c>
      <c r="S67" s="22">
        <v>45</v>
      </c>
      <c r="T67" s="22">
        <f t="shared" si="8"/>
        <v>11</v>
      </c>
      <c r="U67" s="22">
        <f t="shared" si="9"/>
        <v>1</v>
      </c>
      <c r="V67" s="23">
        <v>50</v>
      </c>
      <c r="W67" s="23">
        <v>27</v>
      </c>
      <c r="X67" s="23">
        <f t="shared" si="10"/>
        <v>23</v>
      </c>
      <c r="Y67" s="23">
        <f t="shared" si="11"/>
        <v>1</v>
      </c>
    </row>
    <row r="68" spans="1:25" x14ac:dyDescent="0.2">
      <c r="A68" s="25" t="s">
        <v>178</v>
      </c>
      <c r="B68" s="22">
        <v>65</v>
      </c>
      <c r="C68" s="22">
        <v>55</v>
      </c>
      <c r="D68" s="22">
        <f t="shared" ref="D68:D114" si="13">B68-C68</f>
        <v>10</v>
      </c>
      <c r="E68" s="22">
        <f t="shared" si="12"/>
        <v>1</v>
      </c>
      <c r="F68" s="23">
        <v>6</v>
      </c>
      <c r="G68" s="23">
        <v>17</v>
      </c>
      <c r="H68" s="23">
        <f t="shared" ref="H68:H114" si="14">F68-G68</f>
        <v>-11</v>
      </c>
      <c r="I68" s="23">
        <f t="shared" ref="I68:I114" si="15">IF(F68&gt;=G68,1,0)</f>
        <v>0</v>
      </c>
      <c r="J68" s="22">
        <v>1</v>
      </c>
      <c r="K68" s="22">
        <v>4</v>
      </c>
      <c r="L68" s="22">
        <f t="shared" ref="L68:L114" si="16">J68-K68</f>
        <v>-3</v>
      </c>
      <c r="M68" s="22">
        <f t="shared" ref="M68:M114" si="17">IF(J68&lt;=K68,1,0)</f>
        <v>1</v>
      </c>
      <c r="N68" s="23">
        <v>81</v>
      </c>
      <c r="O68" s="23">
        <v>80</v>
      </c>
      <c r="P68" s="23">
        <f t="shared" ref="P68:P114" si="18">N68-O68</f>
        <v>1</v>
      </c>
      <c r="Q68" s="23">
        <f t="shared" ref="Q68:Q114" si="19">IF(N68&gt;=O68,1,0)</f>
        <v>1</v>
      </c>
      <c r="R68" s="22">
        <v>68</v>
      </c>
      <c r="S68" s="22">
        <v>50</v>
      </c>
      <c r="T68" s="22">
        <f t="shared" ref="T68:T114" si="20">R68-S68</f>
        <v>18</v>
      </c>
      <c r="U68" s="22">
        <f t="shared" ref="U68:U114" si="21">IF(R68&gt;=S68,1,0)</f>
        <v>1</v>
      </c>
      <c r="V68" s="23">
        <v>43</v>
      </c>
      <c r="W68" s="23">
        <v>0</v>
      </c>
      <c r="X68" s="23">
        <f t="shared" ref="X68:X114" si="22">V68-W68</f>
        <v>43</v>
      </c>
      <c r="Y68" s="23">
        <f t="shared" ref="Y68:Y114" si="23">IF(V68&gt;=W68,1,0)</f>
        <v>1</v>
      </c>
    </row>
    <row r="69" spans="1:25" x14ac:dyDescent="0.2">
      <c r="A69" s="25" t="s">
        <v>179</v>
      </c>
      <c r="B69" s="22">
        <v>70</v>
      </c>
      <c r="C69" s="22">
        <v>56</v>
      </c>
      <c r="D69" s="22">
        <f t="shared" si="13"/>
        <v>14</v>
      </c>
      <c r="E69" s="22">
        <f t="shared" si="12"/>
        <v>1</v>
      </c>
      <c r="F69" s="23">
        <v>10</v>
      </c>
      <c r="G69" s="23">
        <v>10</v>
      </c>
      <c r="H69" s="23">
        <f t="shared" si="14"/>
        <v>0</v>
      </c>
      <c r="I69" s="23">
        <f t="shared" si="15"/>
        <v>1</v>
      </c>
      <c r="J69" s="22">
        <v>3</v>
      </c>
      <c r="K69" s="22">
        <v>6</v>
      </c>
      <c r="L69" s="22">
        <f t="shared" si="16"/>
        <v>-3</v>
      </c>
      <c r="M69" s="22">
        <f t="shared" si="17"/>
        <v>1</v>
      </c>
      <c r="N69" s="23">
        <v>74</v>
      </c>
      <c r="O69" s="23">
        <v>69</v>
      </c>
      <c r="P69" s="23">
        <f t="shared" si="18"/>
        <v>5</v>
      </c>
      <c r="Q69" s="23">
        <f t="shared" si="19"/>
        <v>1</v>
      </c>
      <c r="R69" s="22">
        <v>57</v>
      </c>
      <c r="S69" s="22">
        <v>41</v>
      </c>
      <c r="T69" s="22">
        <f t="shared" si="20"/>
        <v>16</v>
      </c>
      <c r="U69" s="22">
        <f t="shared" si="21"/>
        <v>1</v>
      </c>
      <c r="V69" s="23">
        <v>37</v>
      </c>
      <c r="W69" s="23">
        <v>50</v>
      </c>
      <c r="X69" s="23">
        <f t="shared" si="22"/>
        <v>-13</v>
      </c>
      <c r="Y69" s="23">
        <f t="shared" si="23"/>
        <v>0</v>
      </c>
    </row>
    <row r="70" spans="1:25" x14ac:dyDescent="0.2">
      <c r="A70" s="25" t="s">
        <v>179</v>
      </c>
      <c r="B70" s="22">
        <v>63</v>
      </c>
      <c r="C70" s="22">
        <v>61</v>
      </c>
      <c r="D70" s="22">
        <f t="shared" si="13"/>
        <v>2</v>
      </c>
      <c r="E70" s="22">
        <f t="shared" si="12"/>
        <v>1</v>
      </c>
      <c r="F70" s="23">
        <v>10</v>
      </c>
      <c r="G70" s="23">
        <v>5</v>
      </c>
      <c r="H70" s="23">
        <f t="shared" si="14"/>
        <v>5</v>
      </c>
      <c r="I70" s="23">
        <f t="shared" si="15"/>
        <v>1</v>
      </c>
      <c r="J70" s="22">
        <v>3</v>
      </c>
      <c r="K70" s="22">
        <v>5</v>
      </c>
      <c r="L70" s="22">
        <f t="shared" si="16"/>
        <v>-2</v>
      </c>
      <c r="M70" s="22">
        <f t="shared" si="17"/>
        <v>1</v>
      </c>
      <c r="N70" s="23">
        <v>77</v>
      </c>
      <c r="O70" s="23">
        <v>72</v>
      </c>
      <c r="P70" s="23">
        <f t="shared" si="18"/>
        <v>5</v>
      </c>
      <c r="Q70" s="23">
        <f t="shared" si="19"/>
        <v>1</v>
      </c>
      <c r="R70" s="22">
        <v>59</v>
      </c>
      <c r="S70" s="22">
        <v>31</v>
      </c>
      <c r="T70" s="22">
        <f t="shared" si="20"/>
        <v>28</v>
      </c>
      <c r="U70" s="22">
        <f t="shared" si="21"/>
        <v>1</v>
      </c>
      <c r="V70" s="23">
        <v>56</v>
      </c>
      <c r="W70" s="23">
        <v>50</v>
      </c>
      <c r="X70" s="23">
        <f t="shared" si="22"/>
        <v>6</v>
      </c>
      <c r="Y70" s="23">
        <f t="shared" si="23"/>
        <v>1</v>
      </c>
    </row>
    <row r="71" spans="1:25" x14ac:dyDescent="0.2">
      <c r="A71" s="25" t="s">
        <v>179</v>
      </c>
      <c r="B71" s="22">
        <v>65</v>
      </c>
      <c r="C71" s="22">
        <v>60</v>
      </c>
      <c r="D71" s="22">
        <f t="shared" si="13"/>
        <v>5</v>
      </c>
      <c r="E71" s="22">
        <f t="shared" si="12"/>
        <v>1</v>
      </c>
      <c r="F71" s="23">
        <v>10</v>
      </c>
      <c r="G71" s="23">
        <v>9</v>
      </c>
      <c r="H71" s="23">
        <f t="shared" si="14"/>
        <v>1</v>
      </c>
      <c r="I71" s="23">
        <f t="shared" si="15"/>
        <v>1</v>
      </c>
      <c r="J71" s="22">
        <v>1</v>
      </c>
      <c r="K71" s="22">
        <v>1</v>
      </c>
      <c r="L71" s="22">
        <f t="shared" si="16"/>
        <v>0</v>
      </c>
      <c r="M71" s="22">
        <f t="shared" si="17"/>
        <v>1</v>
      </c>
      <c r="N71" s="23">
        <v>79</v>
      </c>
      <c r="O71" s="23">
        <v>77</v>
      </c>
      <c r="P71" s="23">
        <f t="shared" si="18"/>
        <v>2</v>
      </c>
      <c r="Q71" s="23">
        <f t="shared" si="19"/>
        <v>1</v>
      </c>
      <c r="R71" s="22">
        <v>69</v>
      </c>
      <c r="S71" s="22">
        <v>62</v>
      </c>
      <c r="T71" s="22">
        <f t="shared" si="20"/>
        <v>7</v>
      </c>
      <c r="U71" s="22">
        <f t="shared" si="21"/>
        <v>1</v>
      </c>
      <c r="V71" s="23">
        <v>29</v>
      </c>
      <c r="W71" s="23">
        <v>25</v>
      </c>
      <c r="X71" s="23">
        <f t="shared" si="22"/>
        <v>4</v>
      </c>
      <c r="Y71" s="23">
        <f t="shared" si="23"/>
        <v>1</v>
      </c>
    </row>
    <row r="72" spans="1:25" x14ac:dyDescent="0.2">
      <c r="A72" s="25" t="s">
        <v>179</v>
      </c>
      <c r="B72" s="22">
        <v>70</v>
      </c>
      <c r="C72" s="22">
        <v>72</v>
      </c>
      <c r="D72" s="22">
        <f t="shared" si="13"/>
        <v>-2</v>
      </c>
      <c r="E72" s="22">
        <f t="shared" si="12"/>
        <v>0</v>
      </c>
      <c r="F72" s="23">
        <v>39</v>
      </c>
      <c r="G72" s="23">
        <v>15</v>
      </c>
      <c r="H72" s="23">
        <f t="shared" si="14"/>
        <v>24</v>
      </c>
      <c r="I72" s="23">
        <f t="shared" si="15"/>
        <v>1</v>
      </c>
      <c r="J72" s="22">
        <v>2</v>
      </c>
      <c r="K72" s="22">
        <v>1</v>
      </c>
      <c r="L72" s="22">
        <f t="shared" si="16"/>
        <v>1</v>
      </c>
      <c r="M72" s="22">
        <f t="shared" si="17"/>
        <v>0</v>
      </c>
      <c r="N72" s="23">
        <v>88</v>
      </c>
      <c r="O72" s="23">
        <v>67</v>
      </c>
      <c r="P72" s="23">
        <f t="shared" si="18"/>
        <v>21</v>
      </c>
      <c r="Q72" s="23">
        <f t="shared" si="19"/>
        <v>1</v>
      </c>
      <c r="R72" s="22">
        <v>67</v>
      </c>
      <c r="S72" s="22">
        <v>54</v>
      </c>
      <c r="T72" s="22">
        <f t="shared" si="20"/>
        <v>13</v>
      </c>
      <c r="U72" s="22">
        <f t="shared" si="21"/>
        <v>1</v>
      </c>
      <c r="V72" s="23">
        <v>44</v>
      </c>
      <c r="W72" s="23">
        <v>100</v>
      </c>
      <c r="X72" s="23">
        <f t="shared" si="22"/>
        <v>-56</v>
      </c>
      <c r="Y72" s="23">
        <f t="shared" si="23"/>
        <v>0</v>
      </c>
    </row>
    <row r="73" spans="1:25" x14ac:dyDescent="0.2">
      <c r="A73" s="19">
        <v>2013</v>
      </c>
      <c r="B73" s="22">
        <v>64</v>
      </c>
      <c r="C73" s="22">
        <v>65</v>
      </c>
      <c r="D73" s="22">
        <f t="shared" si="13"/>
        <v>-1</v>
      </c>
      <c r="E73" s="22">
        <f t="shared" si="12"/>
        <v>0</v>
      </c>
      <c r="F73" s="23">
        <v>9</v>
      </c>
      <c r="G73" s="23">
        <v>4</v>
      </c>
      <c r="H73" s="23">
        <f t="shared" si="14"/>
        <v>5</v>
      </c>
      <c r="I73" s="23">
        <f t="shared" si="15"/>
        <v>1</v>
      </c>
      <c r="J73" s="22">
        <v>2</v>
      </c>
      <c r="K73" s="22">
        <v>4</v>
      </c>
      <c r="L73" s="22">
        <f t="shared" si="16"/>
        <v>-2</v>
      </c>
      <c r="M73" s="22">
        <f t="shared" si="17"/>
        <v>1</v>
      </c>
      <c r="N73" s="23">
        <v>72</v>
      </c>
      <c r="O73" s="23">
        <v>59</v>
      </c>
      <c r="P73" s="23">
        <f t="shared" si="18"/>
        <v>13</v>
      </c>
      <c r="Q73" s="23">
        <f t="shared" si="19"/>
        <v>1</v>
      </c>
      <c r="R73" s="22">
        <v>42</v>
      </c>
      <c r="S73" s="22">
        <v>41</v>
      </c>
      <c r="T73" s="22">
        <f t="shared" si="20"/>
        <v>1</v>
      </c>
      <c r="U73" s="22">
        <f t="shared" si="21"/>
        <v>1</v>
      </c>
      <c r="V73" s="23">
        <v>41</v>
      </c>
      <c r="W73" s="23">
        <v>31</v>
      </c>
      <c r="X73" s="23">
        <f t="shared" si="22"/>
        <v>10</v>
      </c>
      <c r="Y73" s="23">
        <f t="shared" si="23"/>
        <v>1</v>
      </c>
    </row>
    <row r="74" spans="1:25" x14ac:dyDescent="0.2">
      <c r="A74" s="25" t="s">
        <v>178</v>
      </c>
      <c r="B74" s="22">
        <v>69</v>
      </c>
      <c r="C74" s="22">
        <v>60</v>
      </c>
      <c r="D74" s="22">
        <f t="shared" si="13"/>
        <v>9</v>
      </c>
      <c r="E74" s="22">
        <f t="shared" si="12"/>
        <v>1</v>
      </c>
      <c r="F74" s="23">
        <v>22</v>
      </c>
      <c r="G74" s="23">
        <v>4</v>
      </c>
      <c r="H74" s="23">
        <f t="shared" si="14"/>
        <v>18</v>
      </c>
      <c r="I74" s="23">
        <f t="shared" si="15"/>
        <v>1</v>
      </c>
      <c r="J74" s="22">
        <v>2</v>
      </c>
      <c r="K74" s="22">
        <v>4</v>
      </c>
      <c r="L74" s="22">
        <f t="shared" si="16"/>
        <v>-2</v>
      </c>
      <c r="M74" s="22">
        <f t="shared" si="17"/>
        <v>1</v>
      </c>
      <c r="N74" s="23">
        <v>83</v>
      </c>
      <c r="O74" s="23">
        <v>72</v>
      </c>
      <c r="P74" s="23">
        <f t="shared" si="18"/>
        <v>11</v>
      </c>
      <c r="Q74" s="23">
        <f t="shared" si="19"/>
        <v>1</v>
      </c>
      <c r="R74" s="22">
        <v>39</v>
      </c>
      <c r="S74" s="22">
        <v>55</v>
      </c>
      <c r="T74" s="22">
        <f t="shared" si="20"/>
        <v>-16</v>
      </c>
      <c r="U74" s="22">
        <f t="shared" si="21"/>
        <v>0</v>
      </c>
      <c r="V74" s="23">
        <v>20</v>
      </c>
      <c r="W74" s="23">
        <v>29</v>
      </c>
      <c r="X74" s="23">
        <f t="shared" si="22"/>
        <v>-9</v>
      </c>
      <c r="Y74" s="23">
        <f t="shared" si="23"/>
        <v>0</v>
      </c>
    </row>
    <row r="75" spans="1:25" x14ac:dyDescent="0.2">
      <c r="A75" s="25" t="s">
        <v>178</v>
      </c>
      <c r="B75" s="22">
        <v>70</v>
      </c>
      <c r="C75" s="22">
        <v>55</v>
      </c>
      <c r="D75" s="22">
        <f t="shared" si="13"/>
        <v>15</v>
      </c>
      <c r="E75" s="22">
        <f t="shared" si="12"/>
        <v>1</v>
      </c>
      <c r="F75" s="23">
        <v>20</v>
      </c>
      <c r="G75" s="23">
        <v>9</v>
      </c>
      <c r="H75" s="23">
        <f t="shared" si="14"/>
        <v>11</v>
      </c>
      <c r="I75" s="23">
        <f t="shared" si="15"/>
        <v>1</v>
      </c>
      <c r="J75" s="22">
        <v>1</v>
      </c>
      <c r="K75" s="22">
        <v>11</v>
      </c>
      <c r="L75" s="22">
        <f t="shared" si="16"/>
        <v>-10</v>
      </c>
      <c r="M75" s="22">
        <f t="shared" si="17"/>
        <v>1</v>
      </c>
      <c r="N75" s="23">
        <v>76</v>
      </c>
      <c r="O75" s="23">
        <v>75</v>
      </c>
      <c r="P75" s="23">
        <f t="shared" si="18"/>
        <v>1</v>
      </c>
      <c r="Q75" s="23">
        <f t="shared" si="19"/>
        <v>1</v>
      </c>
      <c r="R75" s="22">
        <v>71</v>
      </c>
      <c r="S75" s="22">
        <v>47</v>
      </c>
      <c r="T75" s="22">
        <f t="shared" si="20"/>
        <v>24</v>
      </c>
      <c r="U75" s="22">
        <f t="shared" si="21"/>
        <v>1</v>
      </c>
      <c r="V75" s="23">
        <v>38</v>
      </c>
      <c r="W75" s="23">
        <v>14</v>
      </c>
      <c r="X75" s="23">
        <f t="shared" si="22"/>
        <v>24</v>
      </c>
      <c r="Y75" s="23">
        <f t="shared" si="23"/>
        <v>1</v>
      </c>
    </row>
    <row r="76" spans="1:25" x14ac:dyDescent="0.2">
      <c r="A76" s="25" t="s">
        <v>179</v>
      </c>
      <c r="B76" s="22">
        <v>61</v>
      </c>
      <c r="C76" s="22">
        <v>53</v>
      </c>
      <c r="D76" s="22">
        <f t="shared" si="13"/>
        <v>8</v>
      </c>
      <c r="E76" s="22">
        <f t="shared" si="12"/>
        <v>1</v>
      </c>
      <c r="F76" s="23">
        <v>16</v>
      </c>
      <c r="G76" s="23">
        <v>6</v>
      </c>
      <c r="H76" s="23">
        <f t="shared" si="14"/>
        <v>10</v>
      </c>
      <c r="I76" s="23">
        <f t="shared" si="15"/>
        <v>1</v>
      </c>
      <c r="J76" s="22">
        <v>1</v>
      </c>
      <c r="K76" s="22">
        <v>4</v>
      </c>
      <c r="L76" s="22">
        <f t="shared" si="16"/>
        <v>-3</v>
      </c>
      <c r="M76" s="22">
        <f t="shared" si="17"/>
        <v>1</v>
      </c>
      <c r="N76" s="23">
        <v>78</v>
      </c>
      <c r="O76" s="23">
        <v>63</v>
      </c>
      <c r="P76" s="23">
        <f t="shared" si="18"/>
        <v>15</v>
      </c>
      <c r="Q76" s="23">
        <f t="shared" si="19"/>
        <v>1</v>
      </c>
      <c r="R76" s="22">
        <v>60</v>
      </c>
      <c r="S76" s="22">
        <v>57</v>
      </c>
      <c r="T76" s="22">
        <f t="shared" si="20"/>
        <v>3</v>
      </c>
      <c r="U76" s="22">
        <f t="shared" si="21"/>
        <v>1</v>
      </c>
      <c r="V76" s="23">
        <v>40</v>
      </c>
      <c r="W76" s="23">
        <v>100</v>
      </c>
      <c r="X76" s="23">
        <f t="shared" si="22"/>
        <v>-60</v>
      </c>
      <c r="Y76" s="23">
        <f t="shared" si="23"/>
        <v>0</v>
      </c>
    </row>
    <row r="77" spans="1:25" x14ac:dyDescent="0.2">
      <c r="A77" s="25" t="s">
        <v>179</v>
      </c>
      <c r="B77" s="22">
        <v>72</v>
      </c>
      <c r="C77" s="22">
        <v>68</v>
      </c>
      <c r="D77" s="22">
        <f t="shared" si="13"/>
        <v>4</v>
      </c>
      <c r="E77" s="22">
        <f t="shared" si="12"/>
        <v>1</v>
      </c>
      <c r="F77" s="23">
        <v>12</v>
      </c>
      <c r="G77" s="23">
        <v>8</v>
      </c>
      <c r="H77" s="23">
        <f t="shared" si="14"/>
        <v>4</v>
      </c>
      <c r="I77" s="23">
        <f t="shared" si="15"/>
        <v>1</v>
      </c>
      <c r="J77" s="22">
        <v>0</v>
      </c>
      <c r="K77" s="22">
        <v>2</v>
      </c>
      <c r="L77" s="22">
        <f t="shared" si="16"/>
        <v>-2</v>
      </c>
      <c r="M77" s="22">
        <f t="shared" si="17"/>
        <v>1</v>
      </c>
      <c r="N77" s="23">
        <v>87</v>
      </c>
      <c r="O77" s="23">
        <v>64</v>
      </c>
      <c r="P77" s="23">
        <f t="shared" si="18"/>
        <v>23</v>
      </c>
      <c r="Q77" s="23">
        <f t="shared" si="19"/>
        <v>1</v>
      </c>
      <c r="R77" s="22">
        <v>46</v>
      </c>
      <c r="S77" s="22">
        <v>52</v>
      </c>
      <c r="T77" s="22">
        <f t="shared" si="20"/>
        <v>-6</v>
      </c>
      <c r="U77" s="22">
        <f t="shared" si="21"/>
        <v>0</v>
      </c>
      <c r="V77" s="23">
        <v>38</v>
      </c>
      <c r="W77" s="23">
        <v>0</v>
      </c>
      <c r="X77" s="23">
        <f t="shared" si="22"/>
        <v>38</v>
      </c>
      <c r="Y77" s="23">
        <f t="shared" si="23"/>
        <v>1</v>
      </c>
    </row>
    <row r="78" spans="1:25" x14ac:dyDescent="0.2">
      <c r="A78" s="25" t="s">
        <v>179</v>
      </c>
      <c r="B78" s="22">
        <v>68</v>
      </c>
      <c r="C78" s="22">
        <v>57</v>
      </c>
      <c r="D78" s="22">
        <f t="shared" si="13"/>
        <v>11</v>
      </c>
      <c r="E78" s="22">
        <f t="shared" si="12"/>
        <v>1</v>
      </c>
      <c r="F78" s="23">
        <v>30</v>
      </c>
      <c r="G78" s="23">
        <v>9</v>
      </c>
      <c r="H78" s="23">
        <f t="shared" si="14"/>
        <v>21</v>
      </c>
      <c r="I78" s="23">
        <f t="shared" si="15"/>
        <v>1</v>
      </c>
      <c r="J78" s="22">
        <v>9</v>
      </c>
      <c r="K78" s="22">
        <v>3</v>
      </c>
      <c r="L78" s="22">
        <f t="shared" si="16"/>
        <v>6</v>
      </c>
      <c r="M78" s="22">
        <f t="shared" si="17"/>
        <v>0</v>
      </c>
      <c r="N78" s="23">
        <v>90</v>
      </c>
      <c r="O78" s="23">
        <v>77</v>
      </c>
      <c r="P78" s="23">
        <f t="shared" si="18"/>
        <v>13</v>
      </c>
      <c r="Q78" s="23">
        <f t="shared" si="19"/>
        <v>1</v>
      </c>
      <c r="R78" s="22">
        <v>36</v>
      </c>
      <c r="S78" s="22">
        <v>47</v>
      </c>
      <c r="T78" s="22">
        <f t="shared" si="20"/>
        <v>-11</v>
      </c>
      <c r="U78" s="22">
        <f t="shared" si="21"/>
        <v>0</v>
      </c>
      <c r="V78" s="23">
        <v>30</v>
      </c>
      <c r="W78" s="23">
        <v>0</v>
      </c>
      <c r="X78" s="23">
        <f t="shared" si="22"/>
        <v>30</v>
      </c>
      <c r="Y78" s="23">
        <f t="shared" si="23"/>
        <v>1</v>
      </c>
    </row>
    <row r="79" spans="1:25" x14ac:dyDescent="0.2">
      <c r="A79" s="25" t="s">
        <v>179</v>
      </c>
      <c r="B79" s="22">
        <v>69</v>
      </c>
      <c r="C79" s="22">
        <v>59</v>
      </c>
      <c r="D79" s="22">
        <f t="shared" si="13"/>
        <v>10</v>
      </c>
      <c r="E79" s="22">
        <f t="shared" si="12"/>
        <v>1</v>
      </c>
      <c r="F79" s="23">
        <v>14</v>
      </c>
      <c r="G79" s="23">
        <v>11</v>
      </c>
      <c r="H79" s="23">
        <f t="shared" si="14"/>
        <v>3</v>
      </c>
      <c r="I79" s="23">
        <f t="shared" si="15"/>
        <v>1</v>
      </c>
      <c r="J79" s="22">
        <v>3</v>
      </c>
      <c r="K79" s="22">
        <v>9</v>
      </c>
      <c r="L79" s="22">
        <f t="shared" si="16"/>
        <v>-6</v>
      </c>
      <c r="M79" s="22">
        <f t="shared" si="17"/>
        <v>1</v>
      </c>
      <c r="N79" s="23">
        <v>77</v>
      </c>
      <c r="O79" s="23">
        <v>72</v>
      </c>
      <c r="P79" s="23">
        <f t="shared" si="18"/>
        <v>5</v>
      </c>
      <c r="Q79" s="23">
        <f t="shared" si="19"/>
        <v>1</v>
      </c>
      <c r="R79" s="22">
        <v>55</v>
      </c>
      <c r="S79" s="22">
        <v>48</v>
      </c>
      <c r="T79" s="22">
        <f t="shared" si="20"/>
        <v>7</v>
      </c>
      <c r="U79" s="22">
        <f t="shared" si="21"/>
        <v>1</v>
      </c>
      <c r="V79" s="23">
        <v>45</v>
      </c>
      <c r="W79" s="23">
        <v>43</v>
      </c>
      <c r="X79" s="23">
        <f t="shared" si="22"/>
        <v>2</v>
      </c>
      <c r="Y79" s="23">
        <f t="shared" si="23"/>
        <v>1</v>
      </c>
    </row>
    <row r="80" spans="1:25" x14ac:dyDescent="0.2">
      <c r="A80" s="19">
        <v>2012</v>
      </c>
      <c r="B80" s="22">
        <v>69</v>
      </c>
      <c r="C80" s="22">
        <v>56</v>
      </c>
      <c r="D80" s="22">
        <f t="shared" si="13"/>
        <v>13</v>
      </c>
      <c r="E80" s="22">
        <f t="shared" si="12"/>
        <v>1</v>
      </c>
      <c r="F80" s="23">
        <v>12</v>
      </c>
      <c r="G80" s="23">
        <v>16</v>
      </c>
      <c r="H80" s="23">
        <f t="shared" si="14"/>
        <v>-4</v>
      </c>
      <c r="I80" s="23">
        <f t="shared" si="15"/>
        <v>0</v>
      </c>
      <c r="J80" s="22">
        <v>3</v>
      </c>
      <c r="K80" s="22">
        <v>1</v>
      </c>
      <c r="L80" s="22">
        <f t="shared" si="16"/>
        <v>2</v>
      </c>
      <c r="M80" s="22">
        <f t="shared" si="17"/>
        <v>0</v>
      </c>
      <c r="N80" s="23">
        <v>76</v>
      </c>
      <c r="O80" s="23">
        <v>69</v>
      </c>
      <c r="P80" s="23">
        <f t="shared" si="18"/>
        <v>7</v>
      </c>
      <c r="Q80" s="23">
        <f t="shared" si="19"/>
        <v>1</v>
      </c>
      <c r="R80" s="22">
        <v>49</v>
      </c>
      <c r="S80" s="22">
        <v>48</v>
      </c>
      <c r="T80" s="22">
        <f t="shared" si="20"/>
        <v>1</v>
      </c>
      <c r="U80" s="22">
        <f t="shared" si="21"/>
        <v>1</v>
      </c>
      <c r="V80" s="23">
        <v>33</v>
      </c>
      <c r="W80" s="23">
        <v>29</v>
      </c>
      <c r="X80" s="23">
        <f t="shared" si="22"/>
        <v>4</v>
      </c>
      <c r="Y80" s="23">
        <f t="shared" si="23"/>
        <v>1</v>
      </c>
    </row>
    <row r="81" spans="1:25" x14ac:dyDescent="0.2">
      <c r="A81" s="25" t="s">
        <v>178</v>
      </c>
      <c r="B81" s="22">
        <v>64</v>
      </c>
      <c r="C81" s="22">
        <v>63</v>
      </c>
      <c r="D81" s="22">
        <f t="shared" si="13"/>
        <v>1</v>
      </c>
      <c r="E81" s="22">
        <f t="shared" si="12"/>
        <v>1</v>
      </c>
      <c r="F81" s="23">
        <v>12</v>
      </c>
      <c r="G81" s="23">
        <v>9</v>
      </c>
      <c r="H81" s="23">
        <f t="shared" si="14"/>
        <v>3</v>
      </c>
      <c r="I81" s="23">
        <f t="shared" si="15"/>
        <v>1</v>
      </c>
      <c r="J81" s="22">
        <v>0</v>
      </c>
      <c r="K81" s="22">
        <v>2</v>
      </c>
      <c r="L81" s="22">
        <f t="shared" si="16"/>
        <v>-2</v>
      </c>
      <c r="M81" s="22">
        <f t="shared" si="17"/>
        <v>1</v>
      </c>
      <c r="N81" s="23">
        <v>75</v>
      </c>
      <c r="O81" s="23">
        <v>71</v>
      </c>
      <c r="P81" s="23">
        <f t="shared" si="18"/>
        <v>4</v>
      </c>
      <c r="Q81" s="23">
        <f t="shared" si="19"/>
        <v>1</v>
      </c>
      <c r="R81" s="22">
        <v>72</v>
      </c>
      <c r="S81" s="22">
        <v>57</v>
      </c>
      <c r="T81" s="22">
        <f t="shared" si="20"/>
        <v>15</v>
      </c>
      <c r="U81" s="22">
        <f t="shared" si="21"/>
        <v>1</v>
      </c>
      <c r="V81" s="23">
        <v>27</v>
      </c>
      <c r="W81" s="23">
        <v>33</v>
      </c>
      <c r="X81" s="23">
        <f t="shared" si="22"/>
        <v>-6</v>
      </c>
      <c r="Y81" s="23">
        <f t="shared" si="23"/>
        <v>0</v>
      </c>
    </row>
    <row r="82" spans="1:25" x14ac:dyDescent="0.2">
      <c r="A82" s="25" t="s">
        <v>178</v>
      </c>
      <c r="B82" s="22">
        <v>60</v>
      </c>
      <c r="C82" s="22">
        <v>63</v>
      </c>
      <c r="D82" s="22">
        <f t="shared" si="13"/>
        <v>-3</v>
      </c>
      <c r="E82" s="22">
        <f t="shared" si="12"/>
        <v>0</v>
      </c>
      <c r="F82" s="23">
        <v>9</v>
      </c>
      <c r="G82" s="23">
        <v>11</v>
      </c>
      <c r="H82" s="23">
        <f t="shared" si="14"/>
        <v>-2</v>
      </c>
      <c r="I82" s="23">
        <f t="shared" si="15"/>
        <v>0</v>
      </c>
      <c r="J82" s="22">
        <v>2</v>
      </c>
      <c r="K82" s="22">
        <v>2</v>
      </c>
      <c r="L82" s="22">
        <f t="shared" si="16"/>
        <v>0</v>
      </c>
      <c r="M82" s="22">
        <f t="shared" si="17"/>
        <v>1</v>
      </c>
      <c r="N82" s="23">
        <v>75</v>
      </c>
      <c r="O82" s="23">
        <v>75</v>
      </c>
      <c r="P82" s="23">
        <f t="shared" si="18"/>
        <v>0</v>
      </c>
      <c r="Q82" s="23">
        <f t="shared" si="19"/>
        <v>1</v>
      </c>
      <c r="R82" s="22">
        <v>64</v>
      </c>
      <c r="S82" s="22">
        <v>32</v>
      </c>
      <c r="T82" s="22">
        <f t="shared" si="20"/>
        <v>32</v>
      </c>
      <c r="U82" s="22">
        <f t="shared" si="21"/>
        <v>1</v>
      </c>
      <c r="V82" s="23">
        <v>33</v>
      </c>
      <c r="W82" s="23">
        <v>25</v>
      </c>
      <c r="X82" s="23">
        <f t="shared" si="22"/>
        <v>8</v>
      </c>
      <c r="Y82" s="23">
        <f t="shared" si="23"/>
        <v>1</v>
      </c>
    </row>
    <row r="83" spans="1:25" x14ac:dyDescent="0.2">
      <c r="A83" s="25" t="s">
        <v>179</v>
      </c>
      <c r="B83" s="22">
        <v>65</v>
      </c>
      <c r="C83" s="22">
        <v>57</v>
      </c>
      <c r="D83" s="22">
        <f t="shared" si="13"/>
        <v>8</v>
      </c>
      <c r="E83" s="22">
        <f t="shared" si="12"/>
        <v>1</v>
      </c>
      <c r="F83" s="23">
        <v>7</v>
      </c>
      <c r="G83" s="23">
        <v>2</v>
      </c>
      <c r="H83" s="23">
        <f t="shared" si="14"/>
        <v>5</v>
      </c>
      <c r="I83" s="23">
        <f t="shared" si="15"/>
        <v>1</v>
      </c>
      <c r="J83" s="22">
        <v>3</v>
      </c>
      <c r="K83" s="22">
        <v>1</v>
      </c>
      <c r="L83" s="22">
        <f t="shared" si="16"/>
        <v>2</v>
      </c>
      <c r="M83" s="22">
        <f t="shared" si="17"/>
        <v>0</v>
      </c>
      <c r="N83" s="23">
        <v>76</v>
      </c>
      <c r="O83" s="23">
        <v>61</v>
      </c>
      <c r="P83" s="23">
        <f t="shared" si="18"/>
        <v>15</v>
      </c>
      <c r="Q83" s="23">
        <f t="shared" si="19"/>
        <v>1</v>
      </c>
      <c r="R83" s="22">
        <v>59</v>
      </c>
      <c r="S83" s="22">
        <v>45</v>
      </c>
      <c r="T83" s="22">
        <f t="shared" si="20"/>
        <v>14</v>
      </c>
      <c r="U83" s="22">
        <f t="shared" si="21"/>
        <v>1</v>
      </c>
      <c r="V83" s="23">
        <v>56</v>
      </c>
      <c r="W83" s="23">
        <v>13</v>
      </c>
      <c r="X83" s="23">
        <f t="shared" si="22"/>
        <v>43</v>
      </c>
      <c r="Y83" s="23">
        <f t="shared" si="23"/>
        <v>1</v>
      </c>
    </row>
    <row r="84" spans="1:25" x14ac:dyDescent="0.2">
      <c r="A84" s="25" t="s">
        <v>179</v>
      </c>
      <c r="B84" s="22">
        <v>62</v>
      </c>
      <c r="C84" s="22">
        <v>65</v>
      </c>
      <c r="D84" s="22">
        <f t="shared" si="13"/>
        <v>-3</v>
      </c>
      <c r="E84" s="22">
        <f t="shared" si="12"/>
        <v>0</v>
      </c>
      <c r="F84" s="23">
        <v>2</v>
      </c>
      <c r="G84" s="23">
        <v>3</v>
      </c>
      <c r="H84" s="23">
        <f t="shared" si="14"/>
        <v>-1</v>
      </c>
      <c r="I84" s="23">
        <f t="shared" si="15"/>
        <v>0</v>
      </c>
      <c r="J84" s="22">
        <v>0</v>
      </c>
      <c r="K84" s="22">
        <v>2</v>
      </c>
      <c r="L84" s="22">
        <f t="shared" si="16"/>
        <v>-2</v>
      </c>
      <c r="M84" s="22">
        <f t="shared" si="17"/>
        <v>1</v>
      </c>
      <c r="N84" s="23">
        <v>88</v>
      </c>
      <c r="O84" s="23">
        <v>51</v>
      </c>
      <c r="P84" s="23">
        <f t="shared" si="18"/>
        <v>37</v>
      </c>
      <c r="Q84" s="23">
        <f t="shared" si="19"/>
        <v>1</v>
      </c>
      <c r="R84" s="22">
        <v>52</v>
      </c>
      <c r="S84" s="22">
        <v>52</v>
      </c>
      <c r="T84" s="22">
        <f t="shared" si="20"/>
        <v>0</v>
      </c>
      <c r="U84" s="22">
        <f t="shared" si="21"/>
        <v>1</v>
      </c>
      <c r="V84" s="23">
        <v>30</v>
      </c>
      <c r="W84" s="23">
        <v>0</v>
      </c>
      <c r="X84" s="23">
        <f t="shared" si="22"/>
        <v>30</v>
      </c>
      <c r="Y84" s="23">
        <f t="shared" si="23"/>
        <v>1</v>
      </c>
    </row>
    <row r="85" spans="1:25" x14ac:dyDescent="0.2">
      <c r="A85" s="25" t="s">
        <v>179</v>
      </c>
      <c r="B85" s="22">
        <v>61</v>
      </c>
      <c r="C85" s="22">
        <v>68</v>
      </c>
      <c r="D85" s="22">
        <f t="shared" si="13"/>
        <v>-7</v>
      </c>
      <c r="E85" s="22">
        <f t="shared" si="12"/>
        <v>0</v>
      </c>
      <c r="F85" s="23">
        <v>18</v>
      </c>
      <c r="G85" s="23">
        <v>6</v>
      </c>
      <c r="H85" s="23">
        <f t="shared" si="14"/>
        <v>12</v>
      </c>
      <c r="I85" s="23">
        <f t="shared" si="15"/>
        <v>1</v>
      </c>
      <c r="J85" s="22">
        <v>3</v>
      </c>
      <c r="K85" s="22">
        <v>0</v>
      </c>
      <c r="L85" s="22">
        <f t="shared" si="16"/>
        <v>3</v>
      </c>
      <c r="M85" s="22">
        <f t="shared" si="17"/>
        <v>0</v>
      </c>
      <c r="N85" s="23">
        <v>80</v>
      </c>
      <c r="O85" s="23">
        <v>71</v>
      </c>
      <c r="P85" s="23">
        <f t="shared" si="18"/>
        <v>9</v>
      </c>
      <c r="Q85" s="23">
        <f t="shared" si="19"/>
        <v>1</v>
      </c>
      <c r="R85" s="22">
        <v>59</v>
      </c>
      <c r="S85" s="22">
        <v>53</v>
      </c>
      <c r="T85" s="22">
        <f t="shared" si="20"/>
        <v>6</v>
      </c>
      <c r="U85" s="22">
        <f t="shared" si="21"/>
        <v>1</v>
      </c>
      <c r="V85" s="23">
        <v>33</v>
      </c>
      <c r="W85" s="23">
        <v>17</v>
      </c>
      <c r="X85" s="23">
        <f t="shared" si="22"/>
        <v>16</v>
      </c>
      <c r="Y85" s="23">
        <f t="shared" si="23"/>
        <v>1</v>
      </c>
    </row>
    <row r="86" spans="1:25" x14ac:dyDescent="0.2">
      <c r="A86" s="25" t="s">
        <v>179</v>
      </c>
      <c r="B86" s="22">
        <v>63</v>
      </c>
      <c r="C86" s="22">
        <v>63</v>
      </c>
      <c r="D86" s="22">
        <f t="shared" si="13"/>
        <v>0</v>
      </c>
      <c r="E86" s="22">
        <f t="shared" si="12"/>
        <v>1</v>
      </c>
      <c r="F86" s="23">
        <v>17</v>
      </c>
      <c r="G86" s="23">
        <v>10</v>
      </c>
      <c r="H86" s="23">
        <f t="shared" si="14"/>
        <v>7</v>
      </c>
      <c r="I86" s="23">
        <f t="shared" si="15"/>
        <v>1</v>
      </c>
      <c r="J86" s="22">
        <v>0</v>
      </c>
      <c r="K86" s="22">
        <v>4</v>
      </c>
      <c r="L86" s="22">
        <f t="shared" si="16"/>
        <v>-4</v>
      </c>
      <c r="M86" s="22">
        <f t="shared" si="17"/>
        <v>1</v>
      </c>
      <c r="N86" s="23">
        <v>80</v>
      </c>
      <c r="O86" s="23">
        <v>71</v>
      </c>
      <c r="P86" s="23">
        <f t="shared" si="18"/>
        <v>9</v>
      </c>
      <c r="Q86" s="23">
        <f t="shared" si="19"/>
        <v>1</v>
      </c>
      <c r="R86" s="22">
        <v>59</v>
      </c>
      <c r="S86" s="22">
        <v>57</v>
      </c>
      <c r="T86" s="22">
        <f t="shared" si="20"/>
        <v>2</v>
      </c>
      <c r="U86" s="22">
        <f t="shared" si="21"/>
        <v>1</v>
      </c>
      <c r="V86" s="23">
        <v>30</v>
      </c>
      <c r="W86" s="23">
        <v>40</v>
      </c>
      <c r="X86" s="23">
        <f t="shared" si="22"/>
        <v>-10</v>
      </c>
      <c r="Y86" s="23">
        <f t="shared" si="23"/>
        <v>0</v>
      </c>
    </row>
    <row r="87" spans="1:25" x14ac:dyDescent="0.2">
      <c r="A87" s="19" t="s">
        <v>199</v>
      </c>
      <c r="B87" s="22">
        <v>52</v>
      </c>
      <c r="C87" s="22">
        <v>51</v>
      </c>
      <c r="D87" s="22">
        <f t="shared" si="13"/>
        <v>1</v>
      </c>
      <c r="E87" s="22">
        <f t="shared" ref="E87:E114" si="24">IF(B87&gt;=C87,1,0)</f>
        <v>1</v>
      </c>
      <c r="F87" s="23">
        <v>17</v>
      </c>
      <c r="G87" s="23">
        <v>2</v>
      </c>
      <c r="H87" s="23">
        <f t="shared" si="14"/>
        <v>15</v>
      </c>
      <c r="I87" s="23">
        <f t="shared" si="15"/>
        <v>1</v>
      </c>
      <c r="J87" s="22">
        <v>3</v>
      </c>
      <c r="K87" s="22">
        <v>1</v>
      </c>
      <c r="L87" s="22">
        <f t="shared" si="16"/>
        <v>2</v>
      </c>
      <c r="M87" s="22">
        <f t="shared" si="17"/>
        <v>0</v>
      </c>
      <c r="N87" s="23">
        <v>80</v>
      </c>
      <c r="O87" s="23">
        <v>55</v>
      </c>
      <c r="P87" s="23">
        <f t="shared" si="18"/>
        <v>25</v>
      </c>
      <c r="Q87" s="23">
        <f t="shared" si="19"/>
        <v>1</v>
      </c>
      <c r="R87" s="22">
        <v>61</v>
      </c>
      <c r="S87" s="22">
        <v>59</v>
      </c>
      <c r="T87" s="22">
        <f t="shared" si="20"/>
        <v>2</v>
      </c>
      <c r="U87" s="22">
        <f t="shared" si="21"/>
        <v>1</v>
      </c>
      <c r="V87" s="23">
        <v>45</v>
      </c>
      <c r="W87" s="23">
        <v>11</v>
      </c>
      <c r="X87" s="23">
        <f t="shared" si="22"/>
        <v>34</v>
      </c>
      <c r="Y87" s="23">
        <f t="shared" si="23"/>
        <v>1</v>
      </c>
    </row>
    <row r="88" spans="1:25" x14ac:dyDescent="0.2">
      <c r="A88" s="25" t="s">
        <v>178</v>
      </c>
      <c r="B88" s="22">
        <v>58</v>
      </c>
      <c r="C88" s="22">
        <v>59</v>
      </c>
      <c r="D88" s="22">
        <f t="shared" si="13"/>
        <v>-1</v>
      </c>
      <c r="E88" s="22">
        <f t="shared" si="24"/>
        <v>0</v>
      </c>
      <c r="F88" s="23">
        <v>5</v>
      </c>
      <c r="G88" s="23">
        <v>13</v>
      </c>
      <c r="H88" s="23">
        <f t="shared" si="14"/>
        <v>-8</v>
      </c>
      <c r="I88" s="23">
        <f t="shared" si="15"/>
        <v>0</v>
      </c>
      <c r="J88" s="22">
        <v>4</v>
      </c>
      <c r="K88" s="22">
        <v>4</v>
      </c>
      <c r="L88" s="22">
        <f t="shared" si="16"/>
        <v>0</v>
      </c>
      <c r="M88" s="22">
        <f t="shared" si="17"/>
        <v>1</v>
      </c>
      <c r="N88" s="23">
        <v>67</v>
      </c>
      <c r="O88" s="23">
        <v>80</v>
      </c>
      <c r="P88" s="23">
        <f t="shared" si="18"/>
        <v>-13</v>
      </c>
      <c r="Q88" s="23">
        <f t="shared" si="19"/>
        <v>0</v>
      </c>
      <c r="R88" s="22">
        <v>50</v>
      </c>
      <c r="S88" s="22">
        <v>30</v>
      </c>
      <c r="T88" s="22">
        <f t="shared" si="20"/>
        <v>20</v>
      </c>
      <c r="U88" s="22">
        <f t="shared" si="21"/>
        <v>1</v>
      </c>
      <c r="V88" s="23">
        <v>71</v>
      </c>
      <c r="W88" s="23">
        <v>31</v>
      </c>
      <c r="X88" s="23">
        <f t="shared" si="22"/>
        <v>40</v>
      </c>
      <c r="Y88" s="23">
        <f t="shared" si="23"/>
        <v>1</v>
      </c>
    </row>
    <row r="89" spans="1:25" x14ac:dyDescent="0.2">
      <c r="A89" s="25" t="s">
        <v>178</v>
      </c>
      <c r="B89" s="22">
        <v>56</v>
      </c>
      <c r="C89" s="22">
        <v>62</v>
      </c>
      <c r="D89" s="22">
        <f t="shared" si="13"/>
        <v>-6</v>
      </c>
      <c r="E89" s="22">
        <f t="shared" si="24"/>
        <v>0</v>
      </c>
      <c r="F89" s="23">
        <v>13</v>
      </c>
      <c r="G89" s="23">
        <v>12</v>
      </c>
      <c r="H89" s="23">
        <f t="shared" si="14"/>
        <v>1</v>
      </c>
      <c r="I89" s="23">
        <f t="shared" si="15"/>
        <v>1</v>
      </c>
      <c r="J89" s="22">
        <v>1</v>
      </c>
      <c r="K89" s="22">
        <v>1</v>
      </c>
      <c r="L89" s="22">
        <f t="shared" si="16"/>
        <v>0</v>
      </c>
      <c r="M89" s="22">
        <f t="shared" si="17"/>
        <v>1</v>
      </c>
      <c r="N89" s="23">
        <v>87</v>
      </c>
      <c r="O89" s="23">
        <v>71</v>
      </c>
      <c r="P89" s="23">
        <f t="shared" si="18"/>
        <v>16</v>
      </c>
      <c r="Q89" s="23">
        <f t="shared" si="19"/>
        <v>1</v>
      </c>
      <c r="R89" s="22">
        <v>56</v>
      </c>
      <c r="S89" s="22">
        <v>48</v>
      </c>
      <c r="T89" s="22">
        <f t="shared" si="20"/>
        <v>8</v>
      </c>
      <c r="U89" s="22">
        <f t="shared" si="21"/>
        <v>1</v>
      </c>
      <c r="V89" s="23">
        <v>50</v>
      </c>
      <c r="W89" s="23">
        <v>50</v>
      </c>
      <c r="X89" s="23">
        <f t="shared" si="22"/>
        <v>0</v>
      </c>
      <c r="Y89" s="23">
        <f t="shared" si="23"/>
        <v>1</v>
      </c>
    </row>
    <row r="90" spans="1:25" x14ac:dyDescent="0.2">
      <c r="A90" s="25" t="s">
        <v>179</v>
      </c>
      <c r="B90" s="22">
        <v>63</v>
      </c>
      <c r="C90" s="22">
        <v>56</v>
      </c>
      <c r="D90" s="22">
        <f t="shared" si="13"/>
        <v>7</v>
      </c>
      <c r="E90" s="22">
        <f t="shared" si="24"/>
        <v>1</v>
      </c>
      <c r="F90" s="23">
        <v>8</v>
      </c>
      <c r="G90" s="23">
        <v>9</v>
      </c>
      <c r="H90" s="23">
        <f t="shared" si="14"/>
        <v>-1</v>
      </c>
      <c r="I90" s="23">
        <f t="shared" si="15"/>
        <v>0</v>
      </c>
      <c r="J90" s="22">
        <v>3</v>
      </c>
      <c r="K90" s="22">
        <v>4</v>
      </c>
      <c r="L90" s="22">
        <f t="shared" si="16"/>
        <v>-1</v>
      </c>
      <c r="M90" s="22">
        <f t="shared" si="17"/>
        <v>1</v>
      </c>
      <c r="N90" s="23">
        <v>67</v>
      </c>
      <c r="O90" s="23">
        <v>65</v>
      </c>
      <c r="P90" s="23">
        <f t="shared" si="18"/>
        <v>2</v>
      </c>
      <c r="Q90" s="23">
        <f t="shared" si="19"/>
        <v>1</v>
      </c>
      <c r="R90" s="22">
        <v>52</v>
      </c>
      <c r="S90" s="22">
        <v>47</v>
      </c>
      <c r="T90" s="22">
        <f t="shared" si="20"/>
        <v>5</v>
      </c>
      <c r="U90" s="22">
        <f t="shared" si="21"/>
        <v>1</v>
      </c>
      <c r="V90" s="23">
        <v>70</v>
      </c>
      <c r="W90" s="23">
        <v>25</v>
      </c>
      <c r="X90" s="23">
        <f t="shared" si="22"/>
        <v>45</v>
      </c>
      <c r="Y90" s="23">
        <f t="shared" si="23"/>
        <v>1</v>
      </c>
    </row>
    <row r="91" spans="1:25" x14ac:dyDescent="0.2">
      <c r="A91" s="25" t="s">
        <v>179</v>
      </c>
      <c r="B91" s="22">
        <v>57</v>
      </c>
      <c r="C91" s="22">
        <v>63</v>
      </c>
      <c r="D91" s="22">
        <f t="shared" si="13"/>
        <v>-6</v>
      </c>
      <c r="E91" s="22">
        <f t="shared" si="24"/>
        <v>0</v>
      </c>
      <c r="F91" s="23">
        <v>5</v>
      </c>
      <c r="G91" s="23">
        <v>6</v>
      </c>
      <c r="H91" s="23">
        <f t="shared" si="14"/>
        <v>-1</v>
      </c>
      <c r="I91" s="23">
        <f t="shared" si="15"/>
        <v>0</v>
      </c>
      <c r="J91" s="22">
        <v>2</v>
      </c>
      <c r="K91" s="22">
        <v>10</v>
      </c>
      <c r="L91" s="22">
        <f t="shared" si="16"/>
        <v>-8</v>
      </c>
      <c r="M91" s="22">
        <f t="shared" si="17"/>
        <v>1</v>
      </c>
      <c r="N91" s="23">
        <v>76</v>
      </c>
      <c r="O91" s="23">
        <v>65</v>
      </c>
      <c r="P91" s="23">
        <f t="shared" si="18"/>
        <v>11</v>
      </c>
      <c r="Q91" s="23">
        <f t="shared" si="19"/>
        <v>1</v>
      </c>
      <c r="R91" s="22">
        <v>75</v>
      </c>
      <c r="S91" s="22">
        <v>51</v>
      </c>
      <c r="T91" s="22">
        <f t="shared" si="20"/>
        <v>24</v>
      </c>
      <c r="U91" s="22">
        <f t="shared" si="21"/>
        <v>1</v>
      </c>
      <c r="V91" s="23">
        <v>46</v>
      </c>
      <c r="W91" s="23">
        <v>33</v>
      </c>
      <c r="X91" s="23">
        <f t="shared" si="22"/>
        <v>13</v>
      </c>
      <c r="Y91" s="23">
        <f t="shared" si="23"/>
        <v>1</v>
      </c>
    </row>
    <row r="92" spans="1:25" x14ac:dyDescent="0.2">
      <c r="A92" s="25" t="s">
        <v>179</v>
      </c>
      <c r="B92" s="22">
        <v>59</v>
      </c>
      <c r="C92" s="22">
        <v>56</v>
      </c>
      <c r="D92" s="22">
        <f t="shared" si="13"/>
        <v>3</v>
      </c>
      <c r="E92" s="22">
        <f t="shared" si="24"/>
        <v>1</v>
      </c>
      <c r="F92" s="23">
        <v>3</v>
      </c>
      <c r="G92" s="23">
        <v>18</v>
      </c>
      <c r="H92" s="23">
        <f t="shared" si="14"/>
        <v>-15</v>
      </c>
      <c r="I92" s="23">
        <f t="shared" si="15"/>
        <v>0</v>
      </c>
      <c r="J92" s="22">
        <v>5</v>
      </c>
      <c r="K92" s="22">
        <v>8</v>
      </c>
      <c r="L92" s="22">
        <f t="shared" si="16"/>
        <v>-3</v>
      </c>
      <c r="M92" s="22">
        <f t="shared" si="17"/>
        <v>1</v>
      </c>
      <c r="N92" s="23">
        <v>76</v>
      </c>
      <c r="O92" s="23">
        <v>84</v>
      </c>
      <c r="P92" s="23">
        <f t="shared" si="18"/>
        <v>-8</v>
      </c>
      <c r="Q92" s="23">
        <f t="shared" si="19"/>
        <v>0</v>
      </c>
      <c r="R92" s="22">
        <v>53</v>
      </c>
      <c r="S92" s="22">
        <v>51</v>
      </c>
      <c r="T92" s="22">
        <f t="shared" si="20"/>
        <v>2</v>
      </c>
      <c r="U92" s="22">
        <f t="shared" si="21"/>
        <v>1</v>
      </c>
      <c r="V92" s="23">
        <v>30</v>
      </c>
      <c r="W92" s="23">
        <v>20</v>
      </c>
      <c r="X92" s="23">
        <f t="shared" si="22"/>
        <v>10</v>
      </c>
      <c r="Y92" s="23">
        <f t="shared" si="23"/>
        <v>1</v>
      </c>
    </row>
    <row r="93" spans="1:25" x14ac:dyDescent="0.2">
      <c r="A93" s="25" t="s">
        <v>179</v>
      </c>
      <c r="B93" s="22">
        <v>63</v>
      </c>
      <c r="C93" s="22">
        <v>50</v>
      </c>
      <c r="D93" s="22">
        <f t="shared" si="13"/>
        <v>13</v>
      </c>
      <c r="E93" s="22">
        <f t="shared" si="24"/>
        <v>1</v>
      </c>
      <c r="F93" s="23">
        <v>19</v>
      </c>
      <c r="G93" s="23">
        <v>4</v>
      </c>
      <c r="H93" s="23">
        <f t="shared" si="14"/>
        <v>15</v>
      </c>
      <c r="I93" s="23">
        <f t="shared" si="15"/>
        <v>1</v>
      </c>
      <c r="J93" s="22">
        <v>5</v>
      </c>
      <c r="K93" s="22">
        <v>5</v>
      </c>
      <c r="L93" s="22">
        <f t="shared" si="16"/>
        <v>0</v>
      </c>
      <c r="M93" s="22">
        <f t="shared" si="17"/>
        <v>1</v>
      </c>
      <c r="N93" s="23">
        <v>84</v>
      </c>
      <c r="O93" s="23">
        <v>72</v>
      </c>
      <c r="P93" s="23">
        <f t="shared" si="18"/>
        <v>12</v>
      </c>
      <c r="Q93" s="23">
        <f t="shared" si="19"/>
        <v>1</v>
      </c>
      <c r="R93" s="22">
        <v>45</v>
      </c>
      <c r="S93" s="22">
        <v>41</v>
      </c>
      <c r="T93" s="22">
        <f t="shared" si="20"/>
        <v>4</v>
      </c>
      <c r="U93" s="22">
        <f t="shared" si="21"/>
        <v>1</v>
      </c>
      <c r="V93" s="23">
        <v>63</v>
      </c>
      <c r="W93" s="23">
        <v>50</v>
      </c>
      <c r="X93" s="23">
        <f t="shared" si="22"/>
        <v>13</v>
      </c>
      <c r="Y93" s="23">
        <f t="shared" si="23"/>
        <v>1</v>
      </c>
    </row>
    <row r="94" spans="1:25" x14ac:dyDescent="0.2">
      <c r="A94" s="19">
        <v>2013</v>
      </c>
      <c r="B94" s="22">
        <v>64</v>
      </c>
      <c r="C94" s="22">
        <v>68</v>
      </c>
      <c r="D94" s="22">
        <f t="shared" si="13"/>
        <v>-4</v>
      </c>
      <c r="E94" s="22">
        <f t="shared" si="24"/>
        <v>0</v>
      </c>
      <c r="F94" s="23">
        <v>1</v>
      </c>
      <c r="G94" s="23">
        <v>6</v>
      </c>
      <c r="H94" s="23">
        <f t="shared" si="14"/>
        <v>-5</v>
      </c>
      <c r="I94" s="23">
        <f t="shared" si="15"/>
        <v>0</v>
      </c>
      <c r="J94" s="22">
        <v>1</v>
      </c>
      <c r="K94" s="22">
        <v>2</v>
      </c>
      <c r="L94" s="22">
        <f t="shared" si="16"/>
        <v>-1</v>
      </c>
      <c r="M94" s="22">
        <f t="shared" si="17"/>
        <v>1</v>
      </c>
      <c r="N94" s="23">
        <v>65</v>
      </c>
      <c r="O94" s="23">
        <v>58</v>
      </c>
      <c r="P94" s="23">
        <f t="shared" si="18"/>
        <v>7</v>
      </c>
      <c r="Q94" s="23">
        <f t="shared" si="19"/>
        <v>1</v>
      </c>
      <c r="R94" s="22">
        <v>56</v>
      </c>
      <c r="S94" s="22">
        <v>48</v>
      </c>
      <c r="T94" s="22">
        <f t="shared" si="20"/>
        <v>8</v>
      </c>
      <c r="U94" s="22">
        <f t="shared" si="21"/>
        <v>1</v>
      </c>
      <c r="V94" s="23">
        <v>58</v>
      </c>
      <c r="W94" s="23">
        <v>27</v>
      </c>
      <c r="X94" s="23">
        <f t="shared" si="22"/>
        <v>31</v>
      </c>
      <c r="Y94" s="23">
        <f t="shared" si="23"/>
        <v>1</v>
      </c>
    </row>
    <row r="95" spans="1:25" x14ac:dyDescent="0.2">
      <c r="A95" s="25" t="s">
        <v>178</v>
      </c>
      <c r="B95" s="22">
        <v>67</v>
      </c>
      <c r="C95" s="22">
        <v>50</v>
      </c>
      <c r="D95" s="22">
        <f t="shared" si="13"/>
        <v>17</v>
      </c>
      <c r="E95" s="22">
        <f t="shared" si="24"/>
        <v>1</v>
      </c>
      <c r="F95" s="23">
        <v>9</v>
      </c>
      <c r="G95" s="23">
        <v>8</v>
      </c>
      <c r="H95" s="23">
        <f t="shared" si="14"/>
        <v>1</v>
      </c>
      <c r="I95" s="23">
        <f t="shared" si="15"/>
        <v>1</v>
      </c>
      <c r="J95" s="22">
        <v>6</v>
      </c>
      <c r="K95" s="22">
        <v>7</v>
      </c>
      <c r="L95" s="22">
        <f t="shared" si="16"/>
        <v>-1</v>
      </c>
      <c r="M95" s="22">
        <f t="shared" si="17"/>
        <v>1</v>
      </c>
      <c r="N95" s="23">
        <v>69</v>
      </c>
      <c r="O95" s="23">
        <v>71</v>
      </c>
      <c r="P95" s="23">
        <f t="shared" si="18"/>
        <v>-2</v>
      </c>
      <c r="Q95" s="23">
        <f t="shared" si="19"/>
        <v>0</v>
      </c>
      <c r="R95" s="22">
        <v>56</v>
      </c>
      <c r="S95" s="22">
        <v>50</v>
      </c>
      <c r="T95" s="22">
        <f t="shared" si="20"/>
        <v>6</v>
      </c>
      <c r="U95" s="22">
        <f t="shared" si="21"/>
        <v>1</v>
      </c>
      <c r="V95" s="23">
        <v>21</v>
      </c>
      <c r="W95" s="23">
        <v>56</v>
      </c>
      <c r="X95" s="23">
        <f t="shared" si="22"/>
        <v>-35</v>
      </c>
      <c r="Y95" s="23">
        <f t="shared" si="23"/>
        <v>0</v>
      </c>
    </row>
    <row r="96" spans="1:25" x14ac:dyDescent="0.2">
      <c r="A96" s="25" t="s">
        <v>178</v>
      </c>
      <c r="B96" s="22">
        <v>71</v>
      </c>
      <c r="C96" s="22">
        <v>64</v>
      </c>
      <c r="D96" s="22">
        <f t="shared" si="13"/>
        <v>7</v>
      </c>
      <c r="E96" s="22">
        <f t="shared" si="24"/>
        <v>1</v>
      </c>
      <c r="F96" s="23">
        <v>3</v>
      </c>
      <c r="G96" s="23">
        <v>6</v>
      </c>
      <c r="H96" s="23">
        <f t="shared" si="14"/>
        <v>-3</v>
      </c>
      <c r="I96" s="23">
        <f t="shared" si="15"/>
        <v>0</v>
      </c>
      <c r="J96" s="22">
        <v>1</v>
      </c>
      <c r="K96" s="22">
        <v>4</v>
      </c>
      <c r="L96" s="22">
        <f t="shared" si="16"/>
        <v>-3</v>
      </c>
      <c r="M96" s="22">
        <f t="shared" si="17"/>
        <v>1</v>
      </c>
      <c r="N96" s="23">
        <v>76</v>
      </c>
      <c r="O96" s="23">
        <v>71</v>
      </c>
      <c r="P96" s="23">
        <f t="shared" si="18"/>
        <v>5</v>
      </c>
      <c r="Q96" s="23">
        <f t="shared" si="19"/>
        <v>1</v>
      </c>
      <c r="R96" s="22">
        <v>57</v>
      </c>
      <c r="S96" s="22">
        <v>45</v>
      </c>
      <c r="T96" s="22">
        <f t="shared" si="20"/>
        <v>12</v>
      </c>
      <c r="U96" s="22">
        <f t="shared" si="21"/>
        <v>1</v>
      </c>
      <c r="V96" s="23">
        <v>100</v>
      </c>
      <c r="W96" s="23">
        <v>17</v>
      </c>
      <c r="X96" s="23">
        <f t="shared" si="22"/>
        <v>83</v>
      </c>
      <c r="Y96" s="23">
        <f t="shared" si="23"/>
        <v>1</v>
      </c>
    </row>
    <row r="97" spans="1:25" x14ac:dyDescent="0.2">
      <c r="A97" s="25" t="s">
        <v>179</v>
      </c>
      <c r="B97" s="22">
        <v>68</v>
      </c>
      <c r="C97" s="22">
        <v>56</v>
      </c>
      <c r="D97" s="22">
        <f t="shared" si="13"/>
        <v>12</v>
      </c>
      <c r="E97" s="22">
        <f t="shared" si="24"/>
        <v>1</v>
      </c>
      <c r="F97" s="23">
        <v>5</v>
      </c>
      <c r="G97" s="23">
        <v>2</v>
      </c>
      <c r="H97" s="23">
        <f t="shared" si="14"/>
        <v>3</v>
      </c>
      <c r="I97" s="23">
        <f t="shared" si="15"/>
        <v>1</v>
      </c>
      <c r="J97" s="22">
        <v>1</v>
      </c>
      <c r="K97" s="22">
        <v>4</v>
      </c>
      <c r="L97" s="22">
        <f t="shared" si="16"/>
        <v>-3</v>
      </c>
      <c r="M97" s="22">
        <f t="shared" si="17"/>
        <v>1</v>
      </c>
      <c r="N97" s="23">
        <v>70</v>
      </c>
      <c r="O97" s="23">
        <v>53</v>
      </c>
      <c r="P97" s="23">
        <f t="shared" si="18"/>
        <v>17</v>
      </c>
      <c r="Q97" s="23">
        <f t="shared" si="19"/>
        <v>1</v>
      </c>
      <c r="R97" s="22">
        <v>58</v>
      </c>
      <c r="S97" s="22">
        <v>52</v>
      </c>
      <c r="T97" s="22">
        <f t="shared" si="20"/>
        <v>6</v>
      </c>
      <c r="U97" s="22">
        <f t="shared" si="21"/>
        <v>1</v>
      </c>
      <c r="V97" s="23">
        <v>58</v>
      </c>
      <c r="W97" s="23">
        <v>20</v>
      </c>
      <c r="X97" s="23">
        <f t="shared" si="22"/>
        <v>38</v>
      </c>
      <c r="Y97" s="23">
        <f t="shared" si="23"/>
        <v>1</v>
      </c>
    </row>
    <row r="98" spans="1:25" x14ac:dyDescent="0.2">
      <c r="A98" s="25" t="s">
        <v>179</v>
      </c>
      <c r="B98" s="22">
        <v>61</v>
      </c>
      <c r="C98" s="22">
        <v>52</v>
      </c>
      <c r="D98" s="22">
        <f t="shared" si="13"/>
        <v>9</v>
      </c>
      <c r="E98" s="22">
        <f t="shared" si="24"/>
        <v>1</v>
      </c>
      <c r="F98" s="23">
        <v>2</v>
      </c>
      <c r="G98" s="23">
        <v>3</v>
      </c>
      <c r="H98" s="23">
        <f t="shared" si="14"/>
        <v>-1</v>
      </c>
      <c r="I98" s="23">
        <f t="shared" si="15"/>
        <v>0</v>
      </c>
      <c r="J98" s="22">
        <v>0</v>
      </c>
      <c r="K98" s="22">
        <v>4</v>
      </c>
      <c r="L98" s="22">
        <f t="shared" si="16"/>
        <v>-4</v>
      </c>
      <c r="M98" s="22">
        <f t="shared" si="17"/>
        <v>1</v>
      </c>
      <c r="N98" s="23">
        <v>86</v>
      </c>
      <c r="O98" s="23">
        <v>59</v>
      </c>
      <c r="P98" s="23">
        <f t="shared" si="18"/>
        <v>27</v>
      </c>
      <c r="Q98" s="23">
        <f t="shared" si="19"/>
        <v>1</v>
      </c>
      <c r="R98" s="22">
        <v>61</v>
      </c>
      <c r="S98" s="22">
        <v>28</v>
      </c>
      <c r="T98" s="22">
        <f t="shared" si="20"/>
        <v>33</v>
      </c>
      <c r="U98" s="22">
        <f t="shared" si="21"/>
        <v>1</v>
      </c>
      <c r="V98" s="23">
        <v>70</v>
      </c>
      <c r="W98" s="23">
        <v>0</v>
      </c>
      <c r="X98" s="23">
        <f t="shared" si="22"/>
        <v>70</v>
      </c>
      <c r="Y98" s="23">
        <f t="shared" si="23"/>
        <v>1</v>
      </c>
    </row>
    <row r="99" spans="1:25" x14ac:dyDescent="0.2">
      <c r="A99" s="25" t="s">
        <v>179</v>
      </c>
      <c r="B99" s="22">
        <v>55</v>
      </c>
      <c r="C99" s="22">
        <v>63</v>
      </c>
      <c r="D99" s="22">
        <f t="shared" si="13"/>
        <v>-8</v>
      </c>
      <c r="E99" s="22">
        <f t="shared" si="24"/>
        <v>0</v>
      </c>
      <c r="F99" s="23">
        <v>4</v>
      </c>
      <c r="G99" s="23">
        <v>5</v>
      </c>
      <c r="H99" s="23">
        <f t="shared" si="14"/>
        <v>-1</v>
      </c>
      <c r="I99" s="23">
        <f t="shared" si="15"/>
        <v>0</v>
      </c>
      <c r="J99" s="22">
        <v>4</v>
      </c>
      <c r="K99" s="22">
        <v>4</v>
      </c>
      <c r="L99" s="22">
        <f t="shared" si="16"/>
        <v>0</v>
      </c>
      <c r="M99" s="22">
        <f t="shared" si="17"/>
        <v>1</v>
      </c>
      <c r="N99" s="23">
        <v>88</v>
      </c>
      <c r="O99" s="23">
        <v>54</v>
      </c>
      <c r="P99" s="23">
        <f t="shared" si="18"/>
        <v>34</v>
      </c>
      <c r="Q99" s="23">
        <f t="shared" si="19"/>
        <v>1</v>
      </c>
      <c r="R99" s="22">
        <v>59</v>
      </c>
      <c r="S99" s="22">
        <v>55</v>
      </c>
      <c r="T99" s="22">
        <f t="shared" si="20"/>
        <v>4</v>
      </c>
      <c r="U99" s="22">
        <f t="shared" si="21"/>
        <v>1</v>
      </c>
      <c r="V99" s="23">
        <v>36</v>
      </c>
      <c r="W99" s="23">
        <v>0</v>
      </c>
      <c r="X99" s="23">
        <f t="shared" si="22"/>
        <v>36</v>
      </c>
      <c r="Y99" s="23">
        <f t="shared" si="23"/>
        <v>1</v>
      </c>
    </row>
    <row r="100" spans="1:25" x14ac:dyDescent="0.2">
      <c r="A100" s="25" t="s">
        <v>179</v>
      </c>
      <c r="B100" s="22">
        <v>59</v>
      </c>
      <c r="C100" s="22">
        <v>63</v>
      </c>
      <c r="D100" s="22">
        <f t="shared" si="13"/>
        <v>-4</v>
      </c>
      <c r="E100" s="22">
        <f t="shared" si="24"/>
        <v>0</v>
      </c>
      <c r="F100" s="23">
        <v>6</v>
      </c>
      <c r="G100" s="23">
        <v>5</v>
      </c>
      <c r="H100" s="23">
        <f t="shared" si="14"/>
        <v>1</v>
      </c>
      <c r="I100" s="23">
        <f t="shared" si="15"/>
        <v>1</v>
      </c>
      <c r="J100" s="22">
        <v>3</v>
      </c>
      <c r="K100" s="22">
        <v>3</v>
      </c>
      <c r="L100" s="22">
        <f t="shared" si="16"/>
        <v>0</v>
      </c>
      <c r="M100" s="22">
        <f t="shared" si="17"/>
        <v>1</v>
      </c>
      <c r="N100" s="23">
        <v>68</v>
      </c>
      <c r="O100" s="23">
        <v>62</v>
      </c>
      <c r="P100" s="23">
        <f t="shared" si="18"/>
        <v>6</v>
      </c>
      <c r="Q100" s="23">
        <f t="shared" si="19"/>
        <v>1</v>
      </c>
      <c r="R100" s="22">
        <v>53</v>
      </c>
      <c r="S100" s="22">
        <v>58</v>
      </c>
      <c r="T100" s="22">
        <f t="shared" si="20"/>
        <v>-5</v>
      </c>
      <c r="U100" s="22">
        <f t="shared" si="21"/>
        <v>0</v>
      </c>
      <c r="V100" s="23">
        <v>43</v>
      </c>
      <c r="W100" s="23">
        <v>27</v>
      </c>
      <c r="X100" s="23">
        <f t="shared" si="22"/>
        <v>16</v>
      </c>
      <c r="Y100" s="23">
        <f t="shared" si="23"/>
        <v>1</v>
      </c>
    </row>
    <row r="101" spans="1:25" x14ac:dyDescent="0.2">
      <c r="A101" s="19">
        <v>2012</v>
      </c>
      <c r="B101" s="22">
        <v>66</v>
      </c>
      <c r="C101" s="22">
        <v>62</v>
      </c>
      <c r="D101" s="22">
        <f t="shared" si="13"/>
        <v>4</v>
      </c>
      <c r="E101" s="22">
        <f t="shared" si="24"/>
        <v>1</v>
      </c>
      <c r="F101" s="23">
        <v>5</v>
      </c>
      <c r="G101" s="23">
        <v>7</v>
      </c>
      <c r="H101" s="23">
        <f t="shared" si="14"/>
        <v>-2</v>
      </c>
      <c r="I101" s="23">
        <f t="shared" si="15"/>
        <v>0</v>
      </c>
      <c r="J101" s="22">
        <v>4</v>
      </c>
      <c r="K101" s="22">
        <v>5</v>
      </c>
      <c r="L101" s="22">
        <f t="shared" si="16"/>
        <v>-1</v>
      </c>
      <c r="M101" s="22">
        <f t="shared" si="17"/>
        <v>1</v>
      </c>
      <c r="N101" s="23">
        <v>62</v>
      </c>
      <c r="O101" s="23">
        <v>63</v>
      </c>
      <c r="P101" s="23">
        <f t="shared" si="18"/>
        <v>-1</v>
      </c>
      <c r="Q101" s="23">
        <f t="shared" si="19"/>
        <v>0</v>
      </c>
      <c r="R101" s="22">
        <v>48</v>
      </c>
      <c r="S101" s="22">
        <v>42</v>
      </c>
      <c r="T101" s="22">
        <f t="shared" si="20"/>
        <v>6</v>
      </c>
      <c r="U101" s="22">
        <f t="shared" si="21"/>
        <v>1</v>
      </c>
      <c r="V101" s="23">
        <v>47</v>
      </c>
      <c r="W101" s="23">
        <v>50</v>
      </c>
      <c r="X101" s="23">
        <f t="shared" si="22"/>
        <v>-3</v>
      </c>
      <c r="Y101" s="23">
        <f t="shared" si="23"/>
        <v>0</v>
      </c>
    </row>
    <row r="102" spans="1:25" x14ac:dyDescent="0.2">
      <c r="A102" s="25" t="s">
        <v>178</v>
      </c>
      <c r="B102" s="22">
        <v>59</v>
      </c>
      <c r="C102" s="22">
        <v>60</v>
      </c>
      <c r="D102" s="22">
        <f t="shared" si="13"/>
        <v>-1</v>
      </c>
      <c r="E102" s="22">
        <f t="shared" si="24"/>
        <v>0</v>
      </c>
      <c r="F102" s="23">
        <v>7</v>
      </c>
      <c r="G102" s="23">
        <v>1</v>
      </c>
      <c r="H102" s="23">
        <f t="shared" si="14"/>
        <v>6</v>
      </c>
      <c r="I102" s="23">
        <f t="shared" si="15"/>
        <v>1</v>
      </c>
      <c r="J102" s="22">
        <v>1</v>
      </c>
      <c r="K102" s="22">
        <v>3</v>
      </c>
      <c r="L102" s="22">
        <f t="shared" si="16"/>
        <v>-2</v>
      </c>
      <c r="M102" s="22">
        <f t="shared" si="17"/>
        <v>1</v>
      </c>
      <c r="N102" s="23">
        <v>72</v>
      </c>
      <c r="O102" s="23">
        <v>64</v>
      </c>
      <c r="P102" s="23">
        <f t="shared" si="18"/>
        <v>8</v>
      </c>
      <c r="Q102" s="23">
        <f t="shared" si="19"/>
        <v>1</v>
      </c>
      <c r="R102" s="22">
        <v>59</v>
      </c>
      <c r="S102" s="22">
        <v>46</v>
      </c>
      <c r="T102" s="22">
        <f t="shared" si="20"/>
        <v>13</v>
      </c>
      <c r="U102" s="22">
        <f t="shared" si="21"/>
        <v>1</v>
      </c>
      <c r="V102" s="23">
        <v>67</v>
      </c>
      <c r="W102" s="23">
        <v>43</v>
      </c>
      <c r="X102" s="23">
        <f t="shared" si="22"/>
        <v>24</v>
      </c>
      <c r="Y102" s="23">
        <f t="shared" si="23"/>
        <v>1</v>
      </c>
    </row>
    <row r="103" spans="1:25" x14ac:dyDescent="0.2">
      <c r="A103" s="25" t="s">
        <v>178</v>
      </c>
      <c r="B103" s="22">
        <v>74</v>
      </c>
      <c r="C103" s="22">
        <v>62</v>
      </c>
      <c r="D103" s="22">
        <f t="shared" si="13"/>
        <v>12</v>
      </c>
      <c r="E103" s="22">
        <f t="shared" si="24"/>
        <v>1</v>
      </c>
      <c r="F103" s="23">
        <v>5</v>
      </c>
      <c r="G103" s="23">
        <v>7</v>
      </c>
      <c r="H103" s="23">
        <f t="shared" si="14"/>
        <v>-2</v>
      </c>
      <c r="I103" s="23">
        <f t="shared" si="15"/>
        <v>0</v>
      </c>
      <c r="J103" s="22">
        <v>3</v>
      </c>
      <c r="K103" s="22">
        <v>6</v>
      </c>
      <c r="L103" s="22">
        <f t="shared" si="16"/>
        <v>-3</v>
      </c>
      <c r="M103" s="22">
        <f t="shared" si="17"/>
        <v>1</v>
      </c>
      <c r="N103" s="23">
        <v>73</v>
      </c>
      <c r="O103" s="23">
        <v>60</v>
      </c>
      <c r="P103" s="23">
        <f t="shared" si="18"/>
        <v>13</v>
      </c>
      <c r="Q103" s="23">
        <f t="shared" si="19"/>
        <v>1</v>
      </c>
      <c r="R103" s="22">
        <v>57</v>
      </c>
      <c r="S103" s="22">
        <v>48</v>
      </c>
      <c r="T103" s="22">
        <f t="shared" si="20"/>
        <v>9</v>
      </c>
      <c r="U103" s="22">
        <f t="shared" si="21"/>
        <v>1</v>
      </c>
      <c r="V103" s="23">
        <v>32</v>
      </c>
      <c r="W103" s="23">
        <v>50</v>
      </c>
      <c r="X103" s="23">
        <f t="shared" si="22"/>
        <v>-18</v>
      </c>
      <c r="Y103" s="23">
        <f t="shared" si="23"/>
        <v>0</v>
      </c>
    </row>
    <row r="104" spans="1:25" x14ac:dyDescent="0.2">
      <c r="A104" s="25" t="s">
        <v>179</v>
      </c>
      <c r="B104" s="22">
        <v>59</v>
      </c>
      <c r="C104" s="22">
        <v>63</v>
      </c>
      <c r="D104" s="22">
        <f t="shared" si="13"/>
        <v>-4</v>
      </c>
      <c r="E104" s="22">
        <f t="shared" si="24"/>
        <v>0</v>
      </c>
      <c r="F104" s="23">
        <v>14</v>
      </c>
      <c r="G104" s="23">
        <v>7</v>
      </c>
      <c r="H104" s="23">
        <f t="shared" si="14"/>
        <v>7</v>
      </c>
      <c r="I104" s="23">
        <f t="shared" si="15"/>
        <v>1</v>
      </c>
      <c r="J104" s="22">
        <v>3</v>
      </c>
      <c r="K104" s="22">
        <v>3</v>
      </c>
      <c r="L104" s="22">
        <f t="shared" si="16"/>
        <v>0</v>
      </c>
      <c r="M104" s="22">
        <f t="shared" si="17"/>
        <v>1</v>
      </c>
      <c r="N104" s="23">
        <v>80</v>
      </c>
      <c r="O104" s="23">
        <v>71</v>
      </c>
      <c r="P104" s="23">
        <f t="shared" si="18"/>
        <v>9</v>
      </c>
      <c r="Q104" s="23">
        <f t="shared" si="19"/>
        <v>1</v>
      </c>
      <c r="R104" s="22">
        <v>51</v>
      </c>
      <c r="S104" s="22">
        <v>45</v>
      </c>
      <c r="T104" s="22">
        <f t="shared" si="20"/>
        <v>6</v>
      </c>
      <c r="U104" s="22">
        <f t="shared" si="21"/>
        <v>1</v>
      </c>
      <c r="V104" s="23">
        <v>45</v>
      </c>
      <c r="W104" s="23">
        <v>67</v>
      </c>
      <c r="X104" s="23">
        <f t="shared" si="22"/>
        <v>-22</v>
      </c>
      <c r="Y104" s="23">
        <f t="shared" si="23"/>
        <v>0</v>
      </c>
    </row>
    <row r="105" spans="1:25" x14ac:dyDescent="0.2">
      <c r="A105" s="25" t="s">
        <v>179</v>
      </c>
      <c r="B105" s="22">
        <v>57</v>
      </c>
      <c r="C105" s="22">
        <v>66</v>
      </c>
      <c r="D105" s="22">
        <f t="shared" si="13"/>
        <v>-9</v>
      </c>
      <c r="E105" s="22">
        <f t="shared" si="24"/>
        <v>0</v>
      </c>
      <c r="F105" s="23">
        <v>7</v>
      </c>
      <c r="G105" s="23">
        <v>8</v>
      </c>
      <c r="H105" s="23">
        <f t="shared" si="14"/>
        <v>-1</v>
      </c>
      <c r="I105" s="23">
        <f t="shared" si="15"/>
        <v>0</v>
      </c>
      <c r="J105" s="22">
        <v>2</v>
      </c>
      <c r="K105" s="22">
        <v>3</v>
      </c>
      <c r="L105" s="22">
        <f t="shared" si="16"/>
        <v>-1</v>
      </c>
      <c r="M105" s="22">
        <f t="shared" si="17"/>
        <v>1</v>
      </c>
      <c r="N105" s="23">
        <v>84</v>
      </c>
      <c r="O105" s="23">
        <v>65</v>
      </c>
      <c r="P105" s="23">
        <f t="shared" si="18"/>
        <v>19</v>
      </c>
      <c r="Q105" s="23">
        <f t="shared" si="19"/>
        <v>1</v>
      </c>
      <c r="R105" s="22">
        <v>55</v>
      </c>
      <c r="S105" s="22">
        <v>45</v>
      </c>
      <c r="T105" s="22">
        <f t="shared" si="20"/>
        <v>10</v>
      </c>
      <c r="U105" s="22">
        <f t="shared" si="21"/>
        <v>1</v>
      </c>
      <c r="V105" s="23">
        <v>31</v>
      </c>
      <c r="W105" s="23">
        <v>33</v>
      </c>
      <c r="X105" s="23">
        <f t="shared" si="22"/>
        <v>-2</v>
      </c>
      <c r="Y105" s="23">
        <f t="shared" si="23"/>
        <v>0</v>
      </c>
    </row>
    <row r="106" spans="1:25" x14ac:dyDescent="0.2">
      <c r="A106" s="25" t="s">
        <v>179</v>
      </c>
      <c r="B106" s="22">
        <v>55</v>
      </c>
      <c r="C106" s="22">
        <v>53</v>
      </c>
      <c r="D106" s="22">
        <f t="shared" si="13"/>
        <v>2</v>
      </c>
      <c r="E106" s="22">
        <f t="shared" si="24"/>
        <v>1</v>
      </c>
      <c r="F106" s="23">
        <v>11</v>
      </c>
      <c r="G106" s="23">
        <v>2</v>
      </c>
      <c r="H106" s="23">
        <f t="shared" si="14"/>
        <v>9</v>
      </c>
      <c r="I106" s="23">
        <f t="shared" si="15"/>
        <v>1</v>
      </c>
      <c r="J106" s="22">
        <v>4</v>
      </c>
      <c r="K106" s="22">
        <v>6</v>
      </c>
      <c r="L106" s="22">
        <f t="shared" si="16"/>
        <v>-2</v>
      </c>
      <c r="M106" s="22">
        <f t="shared" si="17"/>
        <v>1</v>
      </c>
      <c r="N106" s="23">
        <v>70</v>
      </c>
      <c r="O106" s="23">
        <v>68</v>
      </c>
      <c r="P106" s="23">
        <f t="shared" si="18"/>
        <v>2</v>
      </c>
      <c r="Q106" s="23">
        <f t="shared" si="19"/>
        <v>1</v>
      </c>
      <c r="R106" s="22">
        <v>49</v>
      </c>
      <c r="S106" s="22">
        <v>34</v>
      </c>
      <c r="T106" s="22">
        <f t="shared" si="20"/>
        <v>15</v>
      </c>
      <c r="U106" s="22">
        <f t="shared" si="21"/>
        <v>1</v>
      </c>
      <c r="V106" s="23">
        <v>42</v>
      </c>
      <c r="W106" s="23">
        <v>44</v>
      </c>
      <c r="X106" s="23">
        <f t="shared" si="22"/>
        <v>-2</v>
      </c>
      <c r="Y106" s="23">
        <f t="shared" si="23"/>
        <v>0</v>
      </c>
    </row>
    <row r="107" spans="1:25" x14ac:dyDescent="0.2">
      <c r="A107" s="25" t="s">
        <v>179</v>
      </c>
      <c r="B107" s="22">
        <v>62</v>
      </c>
      <c r="C107" s="22">
        <v>58</v>
      </c>
      <c r="D107" s="22">
        <f t="shared" si="13"/>
        <v>4</v>
      </c>
      <c r="E107" s="22">
        <f t="shared" si="24"/>
        <v>1</v>
      </c>
      <c r="F107" s="23">
        <v>15</v>
      </c>
      <c r="G107" s="23">
        <v>10</v>
      </c>
      <c r="H107" s="23">
        <f t="shared" si="14"/>
        <v>5</v>
      </c>
      <c r="I107" s="23">
        <f t="shared" si="15"/>
        <v>1</v>
      </c>
      <c r="J107" s="22">
        <v>6</v>
      </c>
      <c r="K107" s="22">
        <v>0</v>
      </c>
      <c r="L107" s="22">
        <f t="shared" si="16"/>
        <v>6</v>
      </c>
      <c r="M107" s="22">
        <f t="shared" si="17"/>
        <v>0</v>
      </c>
      <c r="N107" s="23">
        <v>70</v>
      </c>
      <c r="O107" s="23">
        <v>67</v>
      </c>
      <c r="P107" s="23">
        <f t="shared" si="18"/>
        <v>3</v>
      </c>
      <c r="Q107" s="23">
        <f t="shared" si="19"/>
        <v>1</v>
      </c>
      <c r="R107" s="22">
        <v>66</v>
      </c>
      <c r="S107" s="22">
        <v>61</v>
      </c>
      <c r="T107" s="22">
        <f t="shared" si="20"/>
        <v>5</v>
      </c>
      <c r="U107" s="22">
        <f t="shared" si="21"/>
        <v>1</v>
      </c>
      <c r="V107" s="23">
        <v>27</v>
      </c>
      <c r="W107" s="23">
        <v>57</v>
      </c>
      <c r="X107" s="23">
        <f t="shared" si="22"/>
        <v>-30</v>
      </c>
      <c r="Y107" s="23">
        <f t="shared" si="23"/>
        <v>0</v>
      </c>
    </row>
    <row r="108" spans="1:25" x14ac:dyDescent="0.2">
      <c r="A108" s="19">
        <v>2011</v>
      </c>
      <c r="B108" s="22">
        <v>66</v>
      </c>
      <c r="C108" s="22">
        <v>68</v>
      </c>
      <c r="D108" s="22">
        <f t="shared" si="13"/>
        <v>-2</v>
      </c>
      <c r="E108" s="22">
        <f t="shared" si="24"/>
        <v>0</v>
      </c>
      <c r="F108" s="23">
        <v>7</v>
      </c>
      <c r="G108" s="23">
        <v>2</v>
      </c>
      <c r="H108" s="23">
        <f t="shared" si="14"/>
        <v>5</v>
      </c>
      <c r="I108" s="23">
        <f t="shared" si="15"/>
        <v>1</v>
      </c>
      <c r="J108" s="22">
        <v>1</v>
      </c>
      <c r="K108" s="22">
        <v>3</v>
      </c>
      <c r="L108" s="22">
        <f t="shared" si="16"/>
        <v>-2</v>
      </c>
      <c r="M108" s="22">
        <f t="shared" si="17"/>
        <v>1</v>
      </c>
      <c r="N108" s="23">
        <v>65</v>
      </c>
      <c r="O108" s="23">
        <v>52</v>
      </c>
      <c r="P108" s="23">
        <f t="shared" si="18"/>
        <v>13</v>
      </c>
      <c r="Q108" s="23">
        <f t="shared" si="19"/>
        <v>1</v>
      </c>
      <c r="R108" s="22">
        <v>44</v>
      </c>
      <c r="S108" s="22">
        <v>42</v>
      </c>
      <c r="T108" s="22">
        <f t="shared" si="20"/>
        <v>2</v>
      </c>
      <c r="U108" s="22">
        <f t="shared" si="21"/>
        <v>1</v>
      </c>
      <c r="V108" s="23">
        <v>42</v>
      </c>
      <c r="W108" s="23">
        <v>43</v>
      </c>
      <c r="X108" s="23">
        <f t="shared" si="22"/>
        <v>-1</v>
      </c>
      <c r="Y108" s="23">
        <f t="shared" si="23"/>
        <v>0</v>
      </c>
    </row>
    <row r="109" spans="1:25" x14ac:dyDescent="0.2">
      <c r="A109" s="25" t="s">
        <v>178</v>
      </c>
      <c r="B109" s="22">
        <v>59</v>
      </c>
      <c r="C109" s="22">
        <v>61</v>
      </c>
      <c r="D109" s="22">
        <f t="shared" si="13"/>
        <v>-2</v>
      </c>
      <c r="E109" s="22">
        <f t="shared" si="24"/>
        <v>0</v>
      </c>
      <c r="F109" s="23">
        <v>8</v>
      </c>
      <c r="G109" s="23">
        <v>11</v>
      </c>
      <c r="H109" s="23">
        <f t="shared" si="14"/>
        <v>-3</v>
      </c>
      <c r="I109" s="23">
        <f t="shared" si="15"/>
        <v>0</v>
      </c>
      <c r="J109" s="22">
        <v>6</v>
      </c>
      <c r="K109" s="22">
        <v>4</v>
      </c>
      <c r="L109" s="22">
        <f t="shared" si="16"/>
        <v>2</v>
      </c>
      <c r="M109" s="22">
        <f t="shared" si="17"/>
        <v>0</v>
      </c>
      <c r="N109" s="23">
        <v>83</v>
      </c>
      <c r="O109" s="23">
        <v>67</v>
      </c>
      <c r="P109" s="23">
        <f t="shared" si="18"/>
        <v>16</v>
      </c>
      <c r="Q109" s="23">
        <f t="shared" si="19"/>
        <v>1</v>
      </c>
      <c r="R109" s="22">
        <v>55</v>
      </c>
      <c r="S109" s="22">
        <v>56</v>
      </c>
      <c r="T109" s="22">
        <f t="shared" si="20"/>
        <v>-1</v>
      </c>
      <c r="U109" s="22">
        <f t="shared" si="21"/>
        <v>0</v>
      </c>
      <c r="V109" s="23">
        <v>50</v>
      </c>
      <c r="W109" s="23">
        <v>60</v>
      </c>
      <c r="X109" s="23">
        <f t="shared" si="22"/>
        <v>-10</v>
      </c>
      <c r="Y109" s="23">
        <f t="shared" si="23"/>
        <v>0</v>
      </c>
    </row>
    <row r="110" spans="1:25" x14ac:dyDescent="0.2">
      <c r="A110" s="25" t="s">
        <v>178</v>
      </c>
      <c r="B110" s="22">
        <v>67</v>
      </c>
      <c r="C110" s="22">
        <v>54</v>
      </c>
      <c r="D110" s="22">
        <f t="shared" si="13"/>
        <v>13</v>
      </c>
      <c r="E110" s="22">
        <f t="shared" si="24"/>
        <v>1</v>
      </c>
      <c r="F110" s="23">
        <v>3</v>
      </c>
      <c r="G110" s="23">
        <v>8</v>
      </c>
      <c r="H110" s="23">
        <f t="shared" si="14"/>
        <v>-5</v>
      </c>
      <c r="I110" s="23">
        <f t="shared" si="15"/>
        <v>0</v>
      </c>
      <c r="J110" s="22">
        <v>1</v>
      </c>
      <c r="K110" s="22">
        <v>2</v>
      </c>
      <c r="L110" s="22">
        <f t="shared" si="16"/>
        <v>-1</v>
      </c>
      <c r="M110" s="22">
        <f t="shared" si="17"/>
        <v>1</v>
      </c>
      <c r="N110" s="23">
        <v>72</v>
      </c>
      <c r="O110" s="23">
        <v>66</v>
      </c>
      <c r="P110" s="23">
        <f t="shared" si="18"/>
        <v>6</v>
      </c>
      <c r="Q110" s="23">
        <f t="shared" si="19"/>
        <v>1</v>
      </c>
      <c r="R110" s="22">
        <v>57</v>
      </c>
      <c r="S110" s="22">
        <v>46</v>
      </c>
      <c r="T110" s="22">
        <f t="shared" si="20"/>
        <v>11</v>
      </c>
      <c r="U110" s="22">
        <f t="shared" si="21"/>
        <v>1</v>
      </c>
      <c r="V110" s="23">
        <v>33</v>
      </c>
      <c r="W110" s="23">
        <v>20</v>
      </c>
      <c r="X110" s="23">
        <f t="shared" si="22"/>
        <v>13</v>
      </c>
      <c r="Y110" s="23">
        <f t="shared" si="23"/>
        <v>1</v>
      </c>
    </row>
    <row r="111" spans="1:25" x14ac:dyDescent="0.2">
      <c r="A111" s="25" t="s">
        <v>179</v>
      </c>
      <c r="B111" s="22">
        <v>65</v>
      </c>
      <c r="C111" s="22">
        <v>66</v>
      </c>
      <c r="D111" s="22">
        <f t="shared" si="13"/>
        <v>-1</v>
      </c>
      <c r="E111" s="22">
        <f t="shared" si="24"/>
        <v>0</v>
      </c>
      <c r="F111" s="23">
        <v>8</v>
      </c>
      <c r="G111" s="23">
        <v>10</v>
      </c>
      <c r="H111" s="23">
        <f t="shared" si="14"/>
        <v>-2</v>
      </c>
      <c r="I111" s="23">
        <f t="shared" si="15"/>
        <v>0</v>
      </c>
      <c r="J111" s="22">
        <v>2</v>
      </c>
      <c r="K111" s="22">
        <v>5</v>
      </c>
      <c r="L111" s="22">
        <f t="shared" si="16"/>
        <v>-3</v>
      </c>
      <c r="M111" s="22">
        <f t="shared" si="17"/>
        <v>1</v>
      </c>
      <c r="N111" s="23">
        <v>65</v>
      </c>
      <c r="O111" s="23">
        <v>65</v>
      </c>
      <c r="P111" s="23">
        <f t="shared" si="18"/>
        <v>0</v>
      </c>
      <c r="Q111" s="23">
        <f t="shared" si="19"/>
        <v>1</v>
      </c>
      <c r="R111" s="22">
        <v>50</v>
      </c>
      <c r="S111" s="22">
        <v>22</v>
      </c>
      <c r="T111" s="22">
        <f t="shared" si="20"/>
        <v>28</v>
      </c>
      <c r="U111" s="22">
        <f t="shared" si="21"/>
        <v>1</v>
      </c>
      <c r="V111" s="23">
        <v>62</v>
      </c>
      <c r="W111" s="23">
        <v>31</v>
      </c>
      <c r="X111" s="23">
        <f t="shared" si="22"/>
        <v>31</v>
      </c>
      <c r="Y111" s="23">
        <f t="shared" si="23"/>
        <v>1</v>
      </c>
    </row>
    <row r="112" spans="1:25" x14ac:dyDescent="0.2">
      <c r="A112" s="25" t="s">
        <v>179</v>
      </c>
      <c r="B112" s="22">
        <v>67</v>
      </c>
      <c r="C112" s="22">
        <v>59</v>
      </c>
      <c r="D112" s="22">
        <f t="shared" si="13"/>
        <v>8</v>
      </c>
      <c r="E112" s="22">
        <f t="shared" si="24"/>
        <v>1</v>
      </c>
      <c r="F112" s="23">
        <v>6</v>
      </c>
      <c r="G112" s="23">
        <v>8</v>
      </c>
      <c r="H112" s="23">
        <f t="shared" si="14"/>
        <v>-2</v>
      </c>
      <c r="I112" s="23">
        <f t="shared" si="15"/>
        <v>0</v>
      </c>
      <c r="J112" s="22">
        <v>1</v>
      </c>
      <c r="K112" s="22">
        <v>3</v>
      </c>
      <c r="L112" s="22">
        <f t="shared" si="16"/>
        <v>-2</v>
      </c>
      <c r="M112" s="22">
        <f t="shared" si="17"/>
        <v>1</v>
      </c>
      <c r="N112" s="23">
        <v>84</v>
      </c>
      <c r="O112" s="23">
        <v>63</v>
      </c>
      <c r="P112" s="23">
        <f t="shared" si="18"/>
        <v>21</v>
      </c>
      <c r="Q112" s="23">
        <f t="shared" si="19"/>
        <v>1</v>
      </c>
      <c r="R112" s="22">
        <v>55</v>
      </c>
      <c r="S112" s="22">
        <v>32</v>
      </c>
      <c r="T112" s="22">
        <f t="shared" si="20"/>
        <v>23</v>
      </c>
      <c r="U112" s="22">
        <f t="shared" si="21"/>
        <v>1</v>
      </c>
      <c r="V112" s="23">
        <v>86</v>
      </c>
      <c r="W112" s="23">
        <v>0</v>
      </c>
      <c r="X112" s="23">
        <f t="shared" si="22"/>
        <v>86</v>
      </c>
      <c r="Y112" s="23">
        <f t="shared" si="23"/>
        <v>1</v>
      </c>
    </row>
    <row r="113" spans="1:25" x14ac:dyDescent="0.2">
      <c r="A113" s="25" t="s">
        <v>179</v>
      </c>
      <c r="B113" s="22">
        <v>72</v>
      </c>
      <c r="C113" s="22">
        <v>53</v>
      </c>
      <c r="D113" s="22">
        <f t="shared" si="13"/>
        <v>19</v>
      </c>
      <c r="E113" s="22">
        <f t="shared" si="24"/>
        <v>1</v>
      </c>
      <c r="F113" s="23">
        <v>5</v>
      </c>
      <c r="G113" s="23">
        <v>5</v>
      </c>
      <c r="H113" s="23">
        <f t="shared" si="14"/>
        <v>0</v>
      </c>
      <c r="I113" s="23">
        <f t="shared" si="15"/>
        <v>1</v>
      </c>
      <c r="J113" s="22">
        <v>2</v>
      </c>
      <c r="K113" s="22">
        <v>3</v>
      </c>
      <c r="L113" s="22">
        <f t="shared" si="16"/>
        <v>-1</v>
      </c>
      <c r="M113" s="22">
        <f t="shared" si="17"/>
        <v>1</v>
      </c>
      <c r="N113" s="23">
        <v>77</v>
      </c>
      <c r="O113" s="23">
        <v>69</v>
      </c>
      <c r="P113" s="23">
        <f t="shared" si="18"/>
        <v>8</v>
      </c>
      <c r="Q113" s="23">
        <f t="shared" si="19"/>
        <v>1</v>
      </c>
      <c r="R113" s="22">
        <v>42</v>
      </c>
      <c r="S113" s="22">
        <v>40</v>
      </c>
      <c r="T113" s="22">
        <f t="shared" si="20"/>
        <v>2</v>
      </c>
      <c r="U113" s="22">
        <f t="shared" si="21"/>
        <v>1</v>
      </c>
      <c r="V113" s="23">
        <v>46</v>
      </c>
      <c r="W113" s="23">
        <v>67</v>
      </c>
      <c r="X113" s="23">
        <f t="shared" si="22"/>
        <v>-21</v>
      </c>
      <c r="Y113" s="23">
        <f t="shared" si="23"/>
        <v>0</v>
      </c>
    </row>
    <row r="114" spans="1:25" x14ac:dyDescent="0.2">
      <c r="A114" s="25" t="s">
        <v>179</v>
      </c>
      <c r="B114" s="22">
        <v>68</v>
      </c>
      <c r="C114" s="22">
        <v>67</v>
      </c>
      <c r="D114" s="22">
        <f t="shared" si="13"/>
        <v>1</v>
      </c>
      <c r="E114" s="22">
        <f t="shared" si="24"/>
        <v>1</v>
      </c>
      <c r="F114" s="23">
        <v>14</v>
      </c>
      <c r="G114" s="23">
        <v>17</v>
      </c>
      <c r="H114" s="23">
        <f t="shared" si="14"/>
        <v>-3</v>
      </c>
      <c r="I114" s="23">
        <f t="shared" si="15"/>
        <v>0</v>
      </c>
      <c r="J114" s="22">
        <v>2</v>
      </c>
      <c r="K114" s="22">
        <v>5</v>
      </c>
      <c r="L114" s="22">
        <f t="shared" si="16"/>
        <v>-3</v>
      </c>
      <c r="M114" s="22">
        <f t="shared" si="17"/>
        <v>1</v>
      </c>
      <c r="N114" s="23">
        <v>78</v>
      </c>
      <c r="O114" s="23">
        <v>74</v>
      </c>
      <c r="P114" s="23">
        <f t="shared" si="18"/>
        <v>4</v>
      </c>
      <c r="Q114" s="23">
        <f t="shared" si="19"/>
        <v>1</v>
      </c>
      <c r="R114" s="22">
        <v>63</v>
      </c>
      <c r="S114" s="22">
        <v>50</v>
      </c>
      <c r="T114" s="22">
        <f t="shared" si="20"/>
        <v>13</v>
      </c>
      <c r="U114" s="22">
        <f t="shared" si="21"/>
        <v>1</v>
      </c>
      <c r="V114" s="23">
        <v>40</v>
      </c>
      <c r="W114" s="23">
        <v>17</v>
      </c>
      <c r="X114" s="23">
        <f t="shared" si="22"/>
        <v>23</v>
      </c>
      <c r="Y114" s="23">
        <f t="shared" si="23"/>
        <v>1</v>
      </c>
    </row>
    <row r="116" spans="1:25" x14ac:dyDescent="0.2">
      <c r="D116" s="27" t="b">
        <v>1</v>
      </c>
      <c r="E116" s="27">
        <f>COUNTIF(E3:E114, "=1")</f>
        <v>70</v>
      </c>
      <c r="H116" s="27" t="b">
        <v>1</v>
      </c>
      <c r="I116" s="27">
        <f>COUNTIF(I3:I114, "=1")</f>
        <v>67</v>
      </c>
      <c r="L116" s="27" t="b">
        <v>1</v>
      </c>
      <c r="M116" s="27">
        <f>COUNTIF(M3:M114, "=1")</f>
        <v>89</v>
      </c>
      <c r="P116" s="27" t="b">
        <v>1</v>
      </c>
      <c r="Q116" s="27">
        <f>COUNTIF(Q3:Q114, "=1")</f>
        <v>100</v>
      </c>
      <c r="T116" s="27" t="b">
        <v>1</v>
      </c>
      <c r="U116" s="27">
        <f>COUNTIF(U3:U114, "=1")</f>
        <v>101</v>
      </c>
      <c r="X116" s="27" t="b">
        <v>1</v>
      </c>
      <c r="Y116" s="27">
        <f>COUNTIF(Y3:Y114, "=1")</f>
        <v>75</v>
      </c>
    </row>
    <row r="117" spans="1:25" x14ac:dyDescent="0.2">
      <c r="D117" s="27" t="b">
        <v>0</v>
      </c>
      <c r="E117" s="27">
        <f>COUNTIF(E4:E115, "=0")</f>
        <v>41</v>
      </c>
      <c r="H117" s="27" t="b">
        <v>0</v>
      </c>
      <c r="I117" s="27">
        <f>COUNTIF(I4:I115, "=0")</f>
        <v>44</v>
      </c>
      <c r="L117" s="27" t="b">
        <v>0</v>
      </c>
      <c r="M117" s="27">
        <f>COUNTIF(M4:M115, "=0")</f>
        <v>23</v>
      </c>
      <c r="P117" s="27" t="b">
        <v>0</v>
      </c>
      <c r="Q117" s="27">
        <f>COUNTIF(Q4:Q115, "=0")</f>
        <v>11</v>
      </c>
      <c r="T117" s="27" t="b">
        <v>0</v>
      </c>
      <c r="U117" s="27">
        <f>COUNTIF(U4:U115, "=0")</f>
        <v>11</v>
      </c>
      <c r="X117" s="27" t="b">
        <v>0</v>
      </c>
      <c r="Y117" s="27">
        <f>COUNTIF(Y4:Y115, "=0")</f>
        <v>37</v>
      </c>
    </row>
    <row r="118" spans="1:25" x14ac:dyDescent="0.2">
      <c r="D118" s="27" t="s">
        <v>200</v>
      </c>
      <c r="E118" s="28">
        <f>E116/(E116+E117)</f>
        <v>0.63063063063063063</v>
      </c>
      <c r="H118" s="27" t="s">
        <v>200</v>
      </c>
      <c r="I118" s="28">
        <f>I116/(I116+I117)</f>
        <v>0.60360360360360366</v>
      </c>
      <c r="L118" s="27" t="s">
        <v>200</v>
      </c>
      <c r="M118" s="28">
        <f>M116/(M116+M117)</f>
        <v>0.7946428571428571</v>
      </c>
      <c r="P118" s="27" t="s">
        <v>200</v>
      </c>
      <c r="Q118" s="28">
        <f>Q116/(Q116+Q117)</f>
        <v>0.90090090090090091</v>
      </c>
      <c r="T118" s="27" t="s">
        <v>200</v>
      </c>
      <c r="U118" s="28">
        <f>U116/(U116+U117)</f>
        <v>0.9017857142857143</v>
      </c>
      <c r="X118" s="27" t="s">
        <v>200</v>
      </c>
      <c r="Y118" s="28">
        <f>Y116/(Y116+Y117)</f>
        <v>0.6696428571428571</v>
      </c>
    </row>
  </sheetData>
  <mergeCells count="6">
    <mergeCell ref="V1:Y1"/>
    <mergeCell ref="B1:E1"/>
    <mergeCell ref="F1:I1"/>
    <mergeCell ref="J1:M1"/>
    <mergeCell ref="N1:Q1"/>
    <mergeCell ref="R1:U1"/>
  </mergeCells>
  <dataValidations count="6">
    <dataValidation allowBlank="1" showInputMessage="1" showErrorMessage="1" prompt="Recorded as unforced error from the baseline" sqref="J1:M1"/>
    <dataValidation allowBlank="1" showInputMessage="1" showErrorMessage="1" prompt="Number of breakpoints won divided by total number of break points played." sqref="V1:Y1"/>
    <dataValidation allowBlank="1" showInputMessage="1" showErrorMessage="1" prompt="Number of second serves which were considered &quot;in&quot;, divided by total number of second serves available, Includes aces" sqref="R1:U1"/>
    <dataValidation allowBlank="1" showInputMessage="1" showErrorMessage="1" prompt="Number of points won on first serve, divided by total number of first serves available. Includes aces. This metric is always less or equal than the 1st serve %. " sqref="N1:Q1"/>
    <dataValidation allowBlank="1" showInputMessage="1" showErrorMessage="1" prompt="Recorded as winner from the baseline" sqref="F1:I1"/>
    <dataValidation allowBlank="1" showInputMessage="1" showErrorMessage="1" prompt="Number of first serves, which were considered &quot;in&quot;, divided by total number of first serves available, Includes aces" sqref="B1:E1"/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8"/>
  <sheetViews>
    <sheetView showGridLines="0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B1" sqref="B1:E1"/>
    </sheetView>
  </sheetViews>
  <sheetFormatPr defaultRowHeight="12.75" x14ac:dyDescent="0.2"/>
  <cols>
    <col min="1" max="1" width="21.85546875" style="26" bestFit="1" customWidth="1"/>
    <col min="2" max="25" width="7.42578125" style="27" customWidth="1"/>
    <col min="26" max="16384" width="9.140625" style="18"/>
  </cols>
  <sheetData>
    <row r="1" spans="1:25" ht="31.5" customHeight="1" x14ac:dyDescent="0.2">
      <c r="A1" s="17"/>
      <c r="B1" s="104" t="s">
        <v>189</v>
      </c>
      <c r="C1" s="105"/>
      <c r="D1" s="105"/>
      <c r="E1" s="106"/>
      <c r="F1" s="107" t="s">
        <v>190</v>
      </c>
      <c r="G1" s="108"/>
      <c r="H1" s="108"/>
      <c r="I1" s="109"/>
      <c r="J1" s="110" t="s">
        <v>191</v>
      </c>
      <c r="K1" s="111"/>
      <c r="L1" s="111"/>
      <c r="M1" s="112"/>
      <c r="N1" s="101" t="s">
        <v>192</v>
      </c>
      <c r="O1" s="102"/>
      <c r="P1" s="102"/>
      <c r="Q1" s="103"/>
      <c r="R1" s="104" t="s">
        <v>193</v>
      </c>
      <c r="S1" s="105"/>
      <c r="T1" s="105"/>
      <c r="U1" s="106"/>
      <c r="V1" s="101" t="s">
        <v>194</v>
      </c>
      <c r="W1" s="102"/>
      <c r="X1" s="102"/>
      <c r="Y1" s="103"/>
    </row>
    <row r="2" spans="1:25" x14ac:dyDescent="0.2">
      <c r="A2" s="19"/>
      <c r="B2" s="20" t="s">
        <v>180</v>
      </c>
      <c r="C2" s="20" t="s">
        <v>195</v>
      </c>
      <c r="D2" s="20" t="s">
        <v>182</v>
      </c>
      <c r="E2" s="20" t="b">
        <v>1</v>
      </c>
      <c r="F2" s="21" t="s">
        <v>180</v>
      </c>
      <c r="G2" s="21" t="s">
        <v>195</v>
      </c>
      <c r="H2" s="21" t="s">
        <v>182</v>
      </c>
      <c r="I2" s="21" t="b">
        <v>1</v>
      </c>
      <c r="J2" s="20" t="s">
        <v>180</v>
      </c>
      <c r="K2" s="20" t="s">
        <v>195</v>
      </c>
      <c r="L2" s="20" t="s">
        <v>182</v>
      </c>
      <c r="M2" s="20" t="b">
        <v>1</v>
      </c>
      <c r="N2" s="21" t="s">
        <v>180</v>
      </c>
      <c r="O2" s="21" t="s">
        <v>195</v>
      </c>
      <c r="P2" s="21" t="s">
        <v>182</v>
      </c>
      <c r="Q2" s="21" t="b">
        <v>1</v>
      </c>
      <c r="R2" s="20" t="s">
        <v>180</v>
      </c>
      <c r="S2" s="20" t="s">
        <v>195</v>
      </c>
      <c r="T2" s="20" t="s">
        <v>182</v>
      </c>
      <c r="U2" s="20" t="b">
        <v>1</v>
      </c>
      <c r="V2" s="21" t="s">
        <v>180</v>
      </c>
      <c r="W2" s="21" t="s">
        <v>195</v>
      </c>
      <c r="X2" s="21" t="s">
        <v>182</v>
      </c>
      <c r="Y2" s="21" t="b">
        <v>1</v>
      </c>
    </row>
    <row r="3" spans="1:25" x14ac:dyDescent="0.2">
      <c r="A3" s="19" t="s">
        <v>196</v>
      </c>
      <c r="B3" s="22">
        <v>60</v>
      </c>
      <c r="C3" s="22">
        <v>65</v>
      </c>
      <c r="D3" s="22">
        <f>B3-C3</f>
        <v>-5</v>
      </c>
      <c r="E3" s="22">
        <f t="shared" ref="E3:E21" si="0">IF(B3&gt;=C3,1,0)</f>
        <v>0</v>
      </c>
      <c r="F3" s="23">
        <v>8</v>
      </c>
      <c r="G3" s="23">
        <v>10</v>
      </c>
      <c r="H3" s="23">
        <f>F3-G3</f>
        <v>-2</v>
      </c>
      <c r="I3" s="23">
        <f>IF(F3&gt;=G3,1,0)</f>
        <v>0</v>
      </c>
      <c r="J3" s="22">
        <v>1</v>
      </c>
      <c r="K3" s="22">
        <v>3</v>
      </c>
      <c r="L3" s="22">
        <f>J3-K3</f>
        <v>-2</v>
      </c>
      <c r="M3" s="22">
        <f>IF(J3&lt;=K3,1,0)</f>
        <v>1</v>
      </c>
      <c r="N3" s="23">
        <v>59</v>
      </c>
      <c r="O3" s="23">
        <v>65</v>
      </c>
      <c r="P3" s="23">
        <f>N3-O3</f>
        <v>-6</v>
      </c>
      <c r="Q3" s="23">
        <f>IF(N3&gt;=O3,1,0)</f>
        <v>0</v>
      </c>
      <c r="R3" s="22">
        <v>62</v>
      </c>
      <c r="S3" s="22">
        <v>34</v>
      </c>
      <c r="T3" s="22">
        <f>R3-S3</f>
        <v>28</v>
      </c>
      <c r="U3" s="22">
        <f>IF(R3&gt;=S3,1,0)</f>
        <v>1</v>
      </c>
      <c r="V3" s="23">
        <v>56</v>
      </c>
      <c r="W3" s="23">
        <v>42</v>
      </c>
      <c r="X3" s="23">
        <f>V3-W3</f>
        <v>14</v>
      </c>
      <c r="Y3" s="23">
        <f>IF(V3&gt;=W3,1,0)</f>
        <v>1</v>
      </c>
    </row>
    <row r="4" spans="1:25" x14ac:dyDescent="0.2">
      <c r="A4" s="24" t="s">
        <v>178</v>
      </c>
      <c r="B4" s="22">
        <v>64</v>
      </c>
      <c r="C4" s="22">
        <v>59</v>
      </c>
      <c r="D4" s="22">
        <f t="shared" ref="D4:D67" si="1">B4-C4</f>
        <v>5</v>
      </c>
      <c r="E4" s="22">
        <f t="shared" si="0"/>
        <v>1</v>
      </c>
      <c r="F4" s="23">
        <v>5</v>
      </c>
      <c r="G4" s="23">
        <v>10</v>
      </c>
      <c r="H4" s="23">
        <f t="shared" ref="H4:H67" si="2">F4-G4</f>
        <v>-5</v>
      </c>
      <c r="I4" s="23">
        <f t="shared" ref="I4:I67" si="3">IF(F4&gt;=G4,1,0)</f>
        <v>0</v>
      </c>
      <c r="J4" s="22">
        <v>3</v>
      </c>
      <c r="K4" s="22">
        <v>4</v>
      </c>
      <c r="L4" s="22">
        <f t="shared" ref="L4:L67" si="4">J4-K4</f>
        <v>-1</v>
      </c>
      <c r="M4" s="22">
        <f t="shared" ref="M4:M67" si="5">IF(J4&lt;=K4,1,0)</f>
        <v>1</v>
      </c>
      <c r="N4" s="23">
        <v>70</v>
      </c>
      <c r="O4" s="23">
        <v>64</v>
      </c>
      <c r="P4" s="23">
        <f t="shared" ref="P4:P67" si="6">N4-O4</f>
        <v>6</v>
      </c>
      <c r="Q4" s="23">
        <f t="shared" ref="Q4:Q67" si="7">IF(N4&gt;=O4,1,0)</f>
        <v>1</v>
      </c>
      <c r="R4" s="22">
        <v>58</v>
      </c>
      <c r="S4" s="22">
        <v>52</v>
      </c>
      <c r="T4" s="22">
        <f t="shared" ref="T4:T67" si="8">R4-S4</f>
        <v>6</v>
      </c>
      <c r="U4" s="22">
        <f t="shared" ref="U4:U67" si="9">IF(R4&gt;=S4,1,0)</f>
        <v>1</v>
      </c>
      <c r="V4" s="23">
        <v>41</v>
      </c>
      <c r="W4" s="23">
        <v>63</v>
      </c>
      <c r="X4" s="23">
        <f t="shared" ref="X4:X67" si="10">V4-W4</f>
        <v>-22</v>
      </c>
      <c r="Y4" s="23">
        <f t="shared" ref="Y4:Y67" si="11">IF(V4&gt;=W4,1,0)</f>
        <v>0</v>
      </c>
    </row>
    <row r="5" spans="1:25" x14ac:dyDescent="0.2">
      <c r="A5" s="24" t="s">
        <v>178</v>
      </c>
      <c r="B5" s="22">
        <v>65</v>
      </c>
      <c r="C5" s="22">
        <v>59</v>
      </c>
      <c r="D5" s="22">
        <f t="shared" si="1"/>
        <v>6</v>
      </c>
      <c r="E5" s="22">
        <f t="shared" si="0"/>
        <v>1</v>
      </c>
      <c r="F5" s="23">
        <v>15</v>
      </c>
      <c r="G5" s="23">
        <v>5</v>
      </c>
      <c r="H5" s="23">
        <f t="shared" si="2"/>
        <v>10</v>
      </c>
      <c r="I5" s="23">
        <f t="shared" si="3"/>
        <v>1</v>
      </c>
      <c r="J5" s="22">
        <v>2</v>
      </c>
      <c r="K5" s="22">
        <v>6</v>
      </c>
      <c r="L5" s="22">
        <f t="shared" si="4"/>
        <v>-4</v>
      </c>
      <c r="M5" s="22">
        <f t="shared" si="5"/>
        <v>1</v>
      </c>
      <c r="N5" s="23">
        <v>75</v>
      </c>
      <c r="O5" s="23">
        <v>67</v>
      </c>
      <c r="P5" s="23">
        <f t="shared" si="6"/>
        <v>8</v>
      </c>
      <c r="Q5" s="23">
        <f t="shared" si="7"/>
        <v>1</v>
      </c>
      <c r="R5" s="22">
        <v>53</v>
      </c>
      <c r="S5" s="22">
        <v>50</v>
      </c>
      <c r="T5" s="22">
        <f t="shared" si="8"/>
        <v>3</v>
      </c>
      <c r="U5" s="22">
        <f t="shared" si="9"/>
        <v>1</v>
      </c>
      <c r="V5" s="23">
        <v>60</v>
      </c>
      <c r="W5" s="23">
        <v>33</v>
      </c>
      <c r="X5" s="23">
        <f t="shared" si="10"/>
        <v>27</v>
      </c>
      <c r="Y5" s="23">
        <f t="shared" si="11"/>
        <v>1</v>
      </c>
    </row>
    <row r="6" spans="1:25" x14ac:dyDescent="0.2">
      <c r="A6" s="24" t="s">
        <v>179</v>
      </c>
      <c r="B6" s="22">
        <v>71</v>
      </c>
      <c r="C6" s="22">
        <v>68</v>
      </c>
      <c r="D6" s="22">
        <f t="shared" si="1"/>
        <v>3</v>
      </c>
      <c r="E6" s="22">
        <f t="shared" si="0"/>
        <v>1</v>
      </c>
      <c r="F6" s="23">
        <v>8</v>
      </c>
      <c r="G6" s="23">
        <v>15</v>
      </c>
      <c r="H6" s="23">
        <f t="shared" si="2"/>
        <v>-7</v>
      </c>
      <c r="I6" s="23">
        <f t="shared" si="3"/>
        <v>0</v>
      </c>
      <c r="J6" s="22">
        <v>2</v>
      </c>
      <c r="K6" s="22">
        <v>2</v>
      </c>
      <c r="L6" s="22">
        <f t="shared" si="4"/>
        <v>0</v>
      </c>
      <c r="M6" s="22">
        <f t="shared" si="5"/>
        <v>1</v>
      </c>
      <c r="N6" s="23">
        <v>89</v>
      </c>
      <c r="O6" s="23">
        <v>72</v>
      </c>
      <c r="P6" s="23">
        <f t="shared" si="6"/>
        <v>17</v>
      </c>
      <c r="Q6" s="23">
        <f t="shared" si="7"/>
        <v>1</v>
      </c>
      <c r="R6" s="22">
        <v>74</v>
      </c>
      <c r="S6" s="22">
        <v>53</v>
      </c>
      <c r="T6" s="22">
        <f t="shared" si="8"/>
        <v>21</v>
      </c>
      <c r="U6" s="22">
        <f t="shared" si="9"/>
        <v>1</v>
      </c>
      <c r="V6" s="23">
        <v>27</v>
      </c>
      <c r="W6" s="23">
        <v>0</v>
      </c>
      <c r="X6" s="23">
        <f t="shared" si="10"/>
        <v>27</v>
      </c>
      <c r="Y6" s="23">
        <f t="shared" si="11"/>
        <v>1</v>
      </c>
    </row>
    <row r="7" spans="1:25" x14ac:dyDescent="0.2">
      <c r="A7" s="24" t="s">
        <v>179</v>
      </c>
      <c r="B7" s="22">
        <v>63</v>
      </c>
      <c r="C7" s="22">
        <v>62</v>
      </c>
      <c r="D7" s="22">
        <f t="shared" si="1"/>
        <v>1</v>
      </c>
      <c r="E7" s="22">
        <f t="shared" si="0"/>
        <v>1</v>
      </c>
      <c r="F7" s="23">
        <v>20</v>
      </c>
      <c r="G7" s="23">
        <v>6</v>
      </c>
      <c r="H7" s="23">
        <f t="shared" si="2"/>
        <v>14</v>
      </c>
      <c r="I7" s="23">
        <f t="shared" si="3"/>
        <v>1</v>
      </c>
      <c r="J7" s="22">
        <v>4</v>
      </c>
      <c r="K7" s="22">
        <v>2</v>
      </c>
      <c r="L7" s="22">
        <f t="shared" si="4"/>
        <v>2</v>
      </c>
      <c r="M7" s="22">
        <f t="shared" si="5"/>
        <v>0</v>
      </c>
      <c r="N7" s="23">
        <v>86</v>
      </c>
      <c r="O7" s="23">
        <v>74</v>
      </c>
      <c r="P7" s="23">
        <f t="shared" si="6"/>
        <v>12</v>
      </c>
      <c r="Q7" s="23">
        <f t="shared" si="7"/>
        <v>1</v>
      </c>
      <c r="R7" s="22">
        <v>53</v>
      </c>
      <c r="S7" s="22">
        <v>50</v>
      </c>
      <c r="T7" s="22">
        <f t="shared" si="8"/>
        <v>3</v>
      </c>
      <c r="U7" s="22">
        <f t="shared" si="9"/>
        <v>1</v>
      </c>
      <c r="V7" s="23">
        <v>27</v>
      </c>
      <c r="W7" s="23">
        <v>25</v>
      </c>
      <c r="X7" s="23">
        <f t="shared" si="10"/>
        <v>2</v>
      </c>
      <c r="Y7" s="23">
        <f t="shared" si="11"/>
        <v>1</v>
      </c>
    </row>
    <row r="8" spans="1:25" x14ac:dyDescent="0.2">
      <c r="A8" s="24" t="s">
        <v>179</v>
      </c>
      <c r="B8" s="22">
        <v>66</v>
      </c>
      <c r="C8" s="22">
        <v>74</v>
      </c>
      <c r="D8" s="22">
        <f t="shared" si="1"/>
        <v>-8</v>
      </c>
      <c r="E8" s="22">
        <f t="shared" si="0"/>
        <v>0</v>
      </c>
      <c r="F8" s="23">
        <v>10</v>
      </c>
      <c r="G8" s="23">
        <v>3</v>
      </c>
      <c r="H8" s="23">
        <f t="shared" si="2"/>
        <v>7</v>
      </c>
      <c r="I8" s="23">
        <f t="shared" si="3"/>
        <v>1</v>
      </c>
      <c r="J8" s="22">
        <v>0</v>
      </c>
      <c r="K8" s="22">
        <v>6</v>
      </c>
      <c r="L8" s="22">
        <f t="shared" si="4"/>
        <v>-6</v>
      </c>
      <c r="M8" s="22">
        <f t="shared" si="5"/>
        <v>1</v>
      </c>
      <c r="N8" s="23">
        <v>82</v>
      </c>
      <c r="O8" s="23">
        <v>64</v>
      </c>
      <c r="P8" s="23">
        <f t="shared" si="6"/>
        <v>18</v>
      </c>
      <c r="Q8" s="23">
        <f t="shared" si="7"/>
        <v>1</v>
      </c>
      <c r="R8" s="22">
        <v>47</v>
      </c>
      <c r="S8" s="22">
        <v>29</v>
      </c>
      <c r="T8" s="22">
        <f t="shared" si="8"/>
        <v>18</v>
      </c>
      <c r="U8" s="22">
        <f t="shared" si="9"/>
        <v>1</v>
      </c>
      <c r="V8" s="23">
        <v>50</v>
      </c>
      <c r="W8" s="23">
        <v>0</v>
      </c>
      <c r="X8" s="23">
        <f t="shared" si="10"/>
        <v>50</v>
      </c>
      <c r="Y8" s="23">
        <f t="shared" si="11"/>
        <v>1</v>
      </c>
    </row>
    <row r="9" spans="1:25" x14ac:dyDescent="0.2">
      <c r="A9" s="24" t="s">
        <v>179</v>
      </c>
      <c r="B9" s="22">
        <v>69</v>
      </c>
      <c r="C9" s="22">
        <v>63</v>
      </c>
      <c r="D9" s="22">
        <f t="shared" si="1"/>
        <v>6</v>
      </c>
      <c r="E9" s="22">
        <f t="shared" si="0"/>
        <v>1</v>
      </c>
      <c r="F9" s="23">
        <v>13</v>
      </c>
      <c r="G9" s="23">
        <v>9</v>
      </c>
      <c r="H9" s="23">
        <f t="shared" si="2"/>
        <v>4</v>
      </c>
      <c r="I9" s="23">
        <f t="shared" si="3"/>
        <v>1</v>
      </c>
      <c r="J9" s="22">
        <v>1</v>
      </c>
      <c r="K9" s="22">
        <v>3</v>
      </c>
      <c r="L9" s="22">
        <f t="shared" si="4"/>
        <v>-2</v>
      </c>
      <c r="M9" s="22">
        <f t="shared" si="5"/>
        <v>1</v>
      </c>
      <c r="N9" s="23">
        <v>80</v>
      </c>
      <c r="O9" s="23">
        <v>65</v>
      </c>
      <c r="P9" s="23">
        <f t="shared" si="6"/>
        <v>15</v>
      </c>
      <c r="Q9" s="23">
        <f t="shared" si="7"/>
        <v>1</v>
      </c>
      <c r="R9" s="22">
        <v>67</v>
      </c>
      <c r="S9" s="22">
        <v>51</v>
      </c>
      <c r="T9" s="22">
        <f t="shared" si="8"/>
        <v>16</v>
      </c>
      <c r="U9" s="22">
        <f t="shared" si="9"/>
        <v>1</v>
      </c>
      <c r="V9" s="23">
        <v>33</v>
      </c>
      <c r="W9" s="23">
        <v>50</v>
      </c>
      <c r="X9" s="23">
        <f t="shared" si="10"/>
        <v>-17</v>
      </c>
      <c r="Y9" s="23">
        <f t="shared" si="11"/>
        <v>0</v>
      </c>
    </row>
    <row r="10" spans="1:25" x14ac:dyDescent="0.2">
      <c r="A10" s="19">
        <v>2014</v>
      </c>
      <c r="B10" s="22">
        <v>55</v>
      </c>
      <c r="C10" s="22">
        <v>78</v>
      </c>
      <c r="D10" s="22">
        <f t="shared" si="1"/>
        <v>-23</v>
      </c>
      <c r="E10" s="22">
        <f t="shared" si="0"/>
        <v>0</v>
      </c>
      <c r="F10" s="23">
        <v>19</v>
      </c>
      <c r="G10" s="23">
        <v>1</v>
      </c>
      <c r="H10" s="23">
        <f t="shared" si="2"/>
        <v>18</v>
      </c>
      <c r="I10" s="23">
        <f t="shared" si="3"/>
        <v>1</v>
      </c>
      <c r="J10" s="22">
        <v>2</v>
      </c>
      <c r="K10" s="22">
        <v>3</v>
      </c>
      <c r="L10" s="22">
        <f t="shared" si="4"/>
        <v>-1</v>
      </c>
      <c r="M10" s="22">
        <f t="shared" si="5"/>
        <v>1</v>
      </c>
      <c r="N10" s="23">
        <v>87</v>
      </c>
      <c r="O10" s="23">
        <v>60</v>
      </c>
      <c r="P10" s="23">
        <f t="shared" si="6"/>
        <v>27</v>
      </c>
      <c r="Q10" s="23">
        <f t="shared" si="7"/>
        <v>1</v>
      </c>
      <c r="R10" s="22">
        <v>51</v>
      </c>
      <c r="S10" s="22">
        <v>42</v>
      </c>
      <c r="T10" s="22">
        <f t="shared" si="8"/>
        <v>9</v>
      </c>
      <c r="U10" s="22">
        <f t="shared" si="9"/>
        <v>1</v>
      </c>
      <c r="V10" s="23">
        <v>33</v>
      </c>
      <c r="W10" s="23">
        <v>33</v>
      </c>
      <c r="X10" s="23">
        <f t="shared" si="10"/>
        <v>0</v>
      </c>
      <c r="Y10" s="23">
        <f t="shared" si="11"/>
        <v>1</v>
      </c>
    </row>
    <row r="11" spans="1:25" x14ac:dyDescent="0.2">
      <c r="A11" s="25" t="s">
        <v>178</v>
      </c>
      <c r="B11" s="22">
        <v>65</v>
      </c>
      <c r="C11" s="22">
        <v>66</v>
      </c>
      <c r="D11" s="22">
        <f t="shared" si="1"/>
        <v>-1</v>
      </c>
      <c r="E11" s="22">
        <f t="shared" si="0"/>
        <v>0</v>
      </c>
      <c r="F11" s="23">
        <v>3</v>
      </c>
      <c r="G11" s="23">
        <v>8</v>
      </c>
      <c r="H11" s="23">
        <f t="shared" si="2"/>
        <v>-5</v>
      </c>
      <c r="I11" s="23">
        <f t="shared" si="3"/>
        <v>0</v>
      </c>
      <c r="J11" s="22">
        <v>1</v>
      </c>
      <c r="K11" s="22">
        <v>1</v>
      </c>
      <c r="L11" s="22">
        <f t="shared" si="4"/>
        <v>0</v>
      </c>
      <c r="M11" s="22">
        <f t="shared" si="5"/>
        <v>1</v>
      </c>
      <c r="N11" s="23">
        <v>73</v>
      </c>
      <c r="O11" s="23">
        <v>65</v>
      </c>
      <c r="P11" s="23">
        <f t="shared" si="6"/>
        <v>8</v>
      </c>
      <c r="Q11" s="23">
        <f t="shared" si="7"/>
        <v>1</v>
      </c>
      <c r="R11" s="22">
        <v>73</v>
      </c>
      <c r="S11" s="22">
        <v>50</v>
      </c>
      <c r="T11" s="22">
        <f t="shared" si="8"/>
        <v>23</v>
      </c>
      <c r="U11" s="22">
        <f t="shared" si="9"/>
        <v>1</v>
      </c>
      <c r="V11" s="23">
        <v>29</v>
      </c>
      <c r="W11" s="23">
        <v>50</v>
      </c>
      <c r="X11" s="23">
        <f t="shared" si="10"/>
        <v>-21</v>
      </c>
      <c r="Y11" s="23">
        <f t="shared" si="11"/>
        <v>0</v>
      </c>
    </row>
    <row r="12" spans="1:25" x14ac:dyDescent="0.2">
      <c r="A12" s="25" t="s">
        <v>178</v>
      </c>
      <c r="B12" s="22">
        <v>61</v>
      </c>
      <c r="C12" s="22">
        <v>62</v>
      </c>
      <c r="D12" s="22">
        <f t="shared" si="1"/>
        <v>-1</v>
      </c>
      <c r="E12" s="22">
        <f t="shared" si="0"/>
        <v>0</v>
      </c>
      <c r="F12" s="23">
        <v>18</v>
      </c>
      <c r="G12" s="23">
        <v>21</v>
      </c>
      <c r="H12" s="23">
        <f t="shared" si="2"/>
        <v>-3</v>
      </c>
      <c r="I12" s="23">
        <f t="shared" si="3"/>
        <v>0</v>
      </c>
      <c r="J12" s="22">
        <v>4</v>
      </c>
      <c r="K12" s="22">
        <v>7</v>
      </c>
      <c r="L12" s="22">
        <f t="shared" si="4"/>
        <v>-3</v>
      </c>
      <c r="M12" s="22">
        <f t="shared" si="5"/>
        <v>1</v>
      </c>
      <c r="N12" s="23">
        <v>82</v>
      </c>
      <c r="O12" s="23">
        <v>82</v>
      </c>
      <c r="P12" s="23">
        <f t="shared" si="6"/>
        <v>0</v>
      </c>
      <c r="Q12" s="23">
        <f t="shared" si="7"/>
        <v>1</v>
      </c>
      <c r="R12" s="22">
        <v>56</v>
      </c>
      <c r="S12" s="22">
        <v>57</v>
      </c>
      <c r="T12" s="22">
        <f t="shared" si="8"/>
        <v>-1</v>
      </c>
      <c r="U12" s="22">
        <f t="shared" si="9"/>
        <v>0</v>
      </c>
      <c r="V12" s="23">
        <v>25</v>
      </c>
      <c r="W12" s="23">
        <v>0</v>
      </c>
      <c r="X12" s="23">
        <f t="shared" si="10"/>
        <v>25</v>
      </c>
      <c r="Y12" s="23">
        <f t="shared" si="11"/>
        <v>1</v>
      </c>
    </row>
    <row r="13" spans="1:25" x14ac:dyDescent="0.2">
      <c r="A13" s="25" t="s">
        <v>179</v>
      </c>
      <c r="B13" s="22">
        <v>73</v>
      </c>
      <c r="C13" s="22">
        <v>58</v>
      </c>
      <c r="D13" s="22">
        <f t="shared" si="1"/>
        <v>15</v>
      </c>
      <c r="E13" s="22">
        <f t="shared" si="0"/>
        <v>1</v>
      </c>
      <c r="F13" s="23">
        <v>3</v>
      </c>
      <c r="G13" s="23">
        <v>16</v>
      </c>
      <c r="H13" s="23">
        <f t="shared" si="2"/>
        <v>-13</v>
      </c>
      <c r="I13" s="23">
        <f t="shared" si="3"/>
        <v>0</v>
      </c>
      <c r="J13" s="22">
        <v>7</v>
      </c>
      <c r="K13" s="22">
        <v>5</v>
      </c>
      <c r="L13" s="22">
        <f t="shared" si="4"/>
        <v>2</v>
      </c>
      <c r="M13" s="22">
        <f t="shared" si="5"/>
        <v>0</v>
      </c>
      <c r="N13" s="23">
        <v>73</v>
      </c>
      <c r="O13" s="23">
        <v>71</v>
      </c>
      <c r="P13" s="23">
        <f t="shared" si="6"/>
        <v>2</v>
      </c>
      <c r="Q13" s="23">
        <f t="shared" si="7"/>
        <v>1</v>
      </c>
      <c r="R13" s="22">
        <v>67</v>
      </c>
      <c r="S13" s="22">
        <v>49</v>
      </c>
      <c r="T13" s="22">
        <f t="shared" si="8"/>
        <v>18</v>
      </c>
      <c r="U13" s="22">
        <f t="shared" si="9"/>
        <v>1</v>
      </c>
      <c r="V13" s="23">
        <v>36</v>
      </c>
      <c r="W13" s="23">
        <v>50</v>
      </c>
      <c r="X13" s="23">
        <f t="shared" si="10"/>
        <v>-14</v>
      </c>
      <c r="Y13" s="23">
        <f t="shared" si="11"/>
        <v>0</v>
      </c>
    </row>
    <row r="14" spans="1:25" x14ac:dyDescent="0.2">
      <c r="A14" s="25" t="s">
        <v>179</v>
      </c>
      <c r="B14" s="22">
        <v>64</v>
      </c>
      <c r="C14" s="22">
        <v>61</v>
      </c>
      <c r="D14" s="22">
        <f t="shared" si="1"/>
        <v>3</v>
      </c>
      <c r="E14" s="22">
        <f t="shared" si="0"/>
        <v>1</v>
      </c>
      <c r="F14" s="23">
        <v>10</v>
      </c>
      <c r="G14" s="23">
        <v>9</v>
      </c>
      <c r="H14" s="23">
        <f t="shared" si="2"/>
        <v>1</v>
      </c>
      <c r="I14" s="23">
        <f t="shared" si="3"/>
        <v>1</v>
      </c>
      <c r="J14" s="22">
        <v>0</v>
      </c>
      <c r="K14" s="22">
        <v>1</v>
      </c>
      <c r="L14" s="22">
        <f t="shared" si="4"/>
        <v>-1</v>
      </c>
      <c r="M14" s="22">
        <f t="shared" si="5"/>
        <v>1</v>
      </c>
      <c r="N14" s="23">
        <v>78</v>
      </c>
      <c r="O14" s="23">
        <v>67</v>
      </c>
      <c r="P14" s="23">
        <f t="shared" si="6"/>
        <v>11</v>
      </c>
      <c r="Q14" s="23">
        <f t="shared" si="7"/>
        <v>1</v>
      </c>
      <c r="R14" s="22">
        <v>64</v>
      </c>
      <c r="S14" s="22">
        <v>49</v>
      </c>
      <c r="T14" s="22">
        <f t="shared" si="8"/>
        <v>15</v>
      </c>
      <c r="U14" s="22">
        <f t="shared" si="9"/>
        <v>1</v>
      </c>
      <c r="V14" s="23">
        <v>24</v>
      </c>
      <c r="W14" s="23">
        <v>50</v>
      </c>
      <c r="X14" s="23">
        <f t="shared" si="10"/>
        <v>-26</v>
      </c>
      <c r="Y14" s="23">
        <f t="shared" si="11"/>
        <v>0</v>
      </c>
    </row>
    <row r="15" spans="1:25" x14ac:dyDescent="0.2">
      <c r="A15" s="25" t="s">
        <v>179</v>
      </c>
      <c r="B15" s="22">
        <v>52</v>
      </c>
      <c r="C15" s="22">
        <v>61</v>
      </c>
      <c r="D15" s="22">
        <f t="shared" si="1"/>
        <v>-9</v>
      </c>
      <c r="E15" s="22">
        <f t="shared" si="0"/>
        <v>0</v>
      </c>
      <c r="F15" s="23">
        <v>10</v>
      </c>
      <c r="G15" s="23">
        <v>2</v>
      </c>
      <c r="H15" s="23">
        <f t="shared" si="2"/>
        <v>8</v>
      </c>
      <c r="I15" s="23">
        <f t="shared" si="3"/>
        <v>1</v>
      </c>
      <c r="J15" s="22">
        <v>4</v>
      </c>
      <c r="K15" s="22">
        <v>1</v>
      </c>
      <c r="L15" s="22">
        <f t="shared" si="4"/>
        <v>3</v>
      </c>
      <c r="M15" s="22">
        <f t="shared" si="5"/>
        <v>0</v>
      </c>
      <c r="N15" s="23">
        <v>78</v>
      </c>
      <c r="O15" s="23">
        <v>64</v>
      </c>
      <c r="P15" s="23">
        <f t="shared" si="6"/>
        <v>14</v>
      </c>
      <c r="Q15" s="23">
        <f t="shared" si="7"/>
        <v>1</v>
      </c>
      <c r="R15" s="22">
        <v>44</v>
      </c>
      <c r="S15" s="22">
        <v>50</v>
      </c>
      <c r="T15" s="22">
        <f t="shared" si="8"/>
        <v>-6</v>
      </c>
      <c r="U15" s="22">
        <f t="shared" si="9"/>
        <v>0</v>
      </c>
      <c r="V15" s="23">
        <v>38</v>
      </c>
      <c r="W15" s="23">
        <v>25</v>
      </c>
      <c r="X15" s="23">
        <f t="shared" si="10"/>
        <v>13</v>
      </c>
      <c r="Y15" s="23">
        <f t="shared" si="11"/>
        <v>1</v>
      </c>
    </row>
    <row r="16" spans="1:25" x14ac:dyDescent="0.2">
      <c r="A16" s="25" t="s">
        <v>179</v>
      </c>
      <c r="B16" s="22">
        <v>58</v>
      </c>
      <c r="C16" s="22">
        <v>73</v>
      </c>
      <c r="D16" s="22">
        <f t="shared" si="1"/>
        <v>-15</v>
      </c>
      <c r="E16" s="22">
        <f t="shared" si="0"/>
        <v>0</v>
      </c>
      <c r="F16" s="23">
        <v>17</v>
      </c>
      <c r="G16" s="23">
        <v>7</v>
      </c>
      <c r="H16" s="23">
        <f t="shared" si="2"/>
        <v>10</v>
      </c>
      <c r="I16" s="23">
        <f t="shared" si="3"/>
        <v>1</v>
      </c>
      <c r="J16" s="22">
        <v>5</v>
      </c>
      <c r="K16" s="22">
        <v>1</v>
      </c>
      <c r="L16" s="22">
        <f t="shared" si="4"/>
        <v>4</v>
      </c>
      <c r="M16" s="22">
        <f t="shared" si="5"/>
        <v>0</v>
      </c>
      <c r="N16" s="23">
        <v>72</v>
      </c>
      <c r="O16" s="23">
        <v>71</v>
      </c>
      <c r="P16" s="23">
        <f t="shared" si="6"/>
        <v>1</v>
      </c>
      <c r="Q16" s="23">
        <f t="shared" si="7"/>
        <v>1</v>
      </c>
      <c r="R16" s="22">
        <v>50</v>
      </c>
      <c r="S16" s="22">
        <v>59</v>
      </c>
      <c r="T16" s="22">
        <f t="shared" si="8"/>
        <v>-9</v>
      </c>
      <c r="U16" s="22">
        <f t="shared" si="9"/>
        <v>0</v>
      </c>
      <c r="V16" s="23">
        <v>50</v>
      </c>
      <c r="W16" s="23">
        <v>57</v>
      </c>
      <c r="X16" s="23">
        <f t="shared" si="10"/>
        <v>-7</v>
      </c>
      <c r="Y16" s="23">
        <f t="shared" si="11"/>
        <v>0</v>
      </c>
    </row>
    <row r="17" spans="1:25" x14ac:dyDescent="0.2">
      <c r="A17" s="19">
        <v>2013</v>
      </c>
      <c r="B17" s="22">
        <v>63</v>
      </c>
      <c r="C17" s="22">
        <v>60</v>
      </c>
      <c r="D17" s="22">
        <f t="shared" si="1"/>
        <v>3</v>
      </c>
      <c r="E17" s="22">
        <f t="shared" si="0"/>
        <v>1</v>
      </c>
      <c r="F17" s="23">
        <v>8</v>
      </c>
      <c r="G17" s="23">
        <v>7</v>
      </c>
      <c r="H17" s="23">
        <f t="shared" si="2"/>
        <v>1</v>
      </c>
      <c r="I17" s="23">
        <f t="shared" si="3"/>
        <v>1</v>
      </c>
      <c r="J17" s="22">
        <v>3</v>
      </c>
      <c r="K17" s="22">
        <v>5</v>
      </c>
      <c r="L17" s="22">
        <f t="shared" si="4"/>
        <v>-2</v>
      </c>
      <c r="M17" s="22">
        <f t="shared" si="5"/>
        <v>1</v>
      </c>
      <c r="N17" s="23">
        <v>75</v>
      </c>
      <c r="O17" s="23">
        <v>81</v>
      </c>
      <c r="P17" s="23">
        <f t="shared" si="6"/>
        <v>-6</v>
      </c>
      <c r="Q17" s="23">
        <f t="shared" si="7"/>
        <v>0</v>
      </c>
      <c r="R17" s="22">
        <v>66</v>
      </c>
      <c r="S17" s="22">
        <v>41</v>
      </c>
      <c r="T17" s="22">
        <f t="shared" si="8"/>
        <v>25</v>
      </c>
      <c r="U17" s="22">
        <f t="shared" si="9"/>
        <v>1</v>
      </c>
      <c r="V17" s="23">
        <v>27</v>
      </c>
      <c r="W17" s="23">
        <v>0</v>
      </c>
      <c r="X17" s="23">
        <f t="shared" si="10"/>
        <v>27</v>
      </c>
      <c r="Y17" s="23">
        <f t="shared" si="11"/>
        <v>1</v>
      </c>
    </row>
    <row r="18" spans="1:25" x14ac:dyDescent="0.2">
      <c r="A18" s="25" t="s">
        <v>178</v>
      </c>
      <c r="B18" s="22">
        <v>63</v>
      </c>
      <c r="C18" s="22">
        <v>60</v>
      </c>
      <c r="D18" s="22">
        <f t="shared" si="1"/>
        <v>3</v>
      </c>
      <c r="E18" s="22">
        <f t="shared" si="0"/>
        <v>1</v>
      </c>
      <c r="F18" s="23">
        <v>6</v>
      </c>
      <c r="G18" s="23">
        <v>1</v>
      </c>
      <c r="H18" s="23">
        <f t="shared" si="2"/>
        <v>5</v>
      </c>
      <c r="I18" s="23">
        <f t="shared" si="3"/>
        <v>1</v>
      </c>
      <c r="J18" s="22">
        <v>0</v>
      </c>
      <c r="K18" s="22">
        <v>3</v>
      </c>
      <c r="L18" s="22">
        <f t="shared" si="4"/>
        <v>-3</v>
      </c>
      <c r="M18" s="22">
        <f t="shared" si="5"/>
        <v>1</v>
      </c>
      <c r="N18" s="23">
        <v>91</v>
      </c>
      <c r="O18" s="23">
        <v>56</v>
      </c>
      <c r="P18" s="23">
        <f t="shared" si="6"/>
        <v>35</v>
      </c>
      <c r="Q18" s="23">
        <f t="shared" si="7"/>
        <v>1</v>
      </c>
      <c r="R18" s="22">
        <v>79</v>
      </c>
      <c r="S18" s="22">
        <v>30</v>
      </c>
      <c r="T18" s="22">
        <f t="shared" si="8"/>
        <v>49</v>
      </c>
      <c r="U18" s="22">
        <f t="shared" si="9"/>
        <v>1</v>
      </c>
      <c r="V18" s="23">
        <v>100</v>
      </c>
      <c r="W18" s="23">
        <v>0</v>
      </c>
      <c r="X18" s="23">
        <f t="shared" si="10"/>
        <v>100</v>
      </c>
      <c r="Y18" s="23">
        <f t="shared" si="11"/>
        <v>1</v>
      </c>
    </row>
    <row r="19" spans="1:25" x14ac:dyDescent="0.2">
      <c r="A19" s="25" t="s">
        <v>178</v>
      </c>
      <c r="B19" s="22">
        <v>64</v>
      </c>
      <c r="C19" s="22">
        <v>61</v>
      </c>
      <c r="D19" s="22">
        <f t="shared" si="1"/>
        <v>3</v>
      </c>
      <c r="E19" s="22">
        <f t="shared" si="0"/>
        <v>1</v>
      </c>
      <c r="F19" s="23">
        <v>21</v>
      </c>
      <c r="G19" s="23">
        <v>5</v>
      </c>
      <c r="H19" s="23">
        <f t="shared" si="2"/>
        <v>16</v>
      </c>
      <c r="I19" s="23">
        <f t="shared" si="3"/>
        <v>1</v>
      </c>
      <c r="J19" s="22">
        <v>0</v>
      </c>
      <c r="K19" s="22">
        <v>2</v>
      </c>
      <c r="L19" s="22">
        <f t="shared" si="4"/>
        <v>-2</v>
      </c>
      <c r="M19" s="22">
        <f t="shared" si="5"/>
        <v>1</v>
      </c>
      <c r="N19" s="23">
        <v>75</v>
      </c>
      <c r="O19" s="23">
        <v>73</v>
      </c>
      <c r="P19" s="23">
        <f t="shared" si="6"/>
        <v>2</v>
      </c>
      <c r="Q19" s="23">
        <f t="shared" si="7"/>
        <v>1</v>
      </c>
      <c r="R19" s="22">
        <v>63</v>
      </c>
      <c r="S19" s="22">
        <v>42</v>
      </c>
      <c r="T19" s="22">
        <f t="shared" si="8"/>
        <v>21</v>
      </c>
      <c r="U19" s="22">
        <f t="shared" si="9"/>
        <v>1</v>
      </c>
      <c r="V19" s="23">
        <v>38</v>
      </c>
      <c r="W19" s="23">
        <v>33</v>
      </c>
      <c r="X19" s="23">
        <f t="shared" si="10"/>
        <v>5</v>
      </c>
      <c r="Y19" s="23">
        <f t="shared" si="11"/>
        <v>1</v>
      </c>
    </row>
    <row r="20" spans="1:25" x14ac:dyDescent="0.2">
      <c r="A20" s="25" t="s">
        <v>179</v>
      </c>
      <c r="B20" s="22">
        <v>67</v>
      </c>
      <c r="C20" s="22">
        <v>60</v>
      </c>
      <c r="D20" s="22">
        <f t="shared" si="1"/>
        <v>7</v>
      </c>
      <c r="E20" s="22">
        <f t="shared" si="0"/>
        <v>1</v>
      </c>
      <c r="F20" s="23">
        <v>10</v>
      </c>
      <c r="G20" s="23">
        <v>8</v>
      </c>
      <c r="H20" s="23">
        <f t="shared" si="2"/>
        <v>2</v>
      </c>
      <c r="I20" s="23">
        <f t="shared" si="3"/>
        <v>1</v>
      </c>
      <c r="J20" s="22">
        <v>2</v>
      </c>
      <c r="K20" s="22">
        <v>5</v>
      </c>
      <c r="L20" s="22">
        <f t="shared" si="4"/>
        <v>-3</v>
      </c>
      <c r="M20" s="22">
        <f t="shared" si="5"/>
        <v>1</v>
      </c>
      <c r="N20" s="23">
        <v>78</v>
      </c>
      <c r="O20" s="23">
        <v>66</v>
      </c>
      <c r="P20" s="23">
        <f t="shared" si="6"/>
        <v>12</v>
      </c>
      <c r="Q20" s="23">
        <f t="shared" si="7"/>
        <v>1</v>
      </c>
      <c r="R20" s="22">
        <v>63</v>
      </c>
      <c r="S20" s="22">
        <v>42</v>
      </c>
      <c r="T20" s="22">
        <f t="shared" si="8"/>
        <v>21</v>
      </c>
      <c r="U20" s="22">
        <f t="shared" si="9"/>
        <v>1</v>
      </c>
      <c r="V20" s="23">
        <v>43</v>
      </c>
      <c r="W20" s="23">
        <v>25</v>
      </c>
      <c r="X20" s="23">
        <f t="shared" si="10"/>
        <v>18</v>
      </c>
      <c r="Y20" s="23">
        <f t="shared" si="11"/>
        <v>1</v>
      </c>
    </row>
    <row r="21" spans="1:25" x14ac:dyDescent="0.2">
      <c r="A21" s="25" t="s">
        <v>179</v>
      </c>
      <c r="B21" s="22">
        <v>69</v>
      </c>
      <c r="C21" s="22">
        <v>47</v>
      </c>
      <c r="D21" s="22">
        <f t="shared" si="1"/>
        <v>22</v>
      </c>
      <c r="E21" s="22">
        <f t="shared" si="0"/>
        <v>1</v>
      </c>
      <c r="F21" s="23">
        <v>16</v>
      </c>
      <c r="G21" s="23">
        <v>15</v>
      </c>
      <c r="H21" s="23">
        <f t="shared" si="2"/>
        <v>1</v>
      </c>
      <c r="I21" s="23">
        <f t="shared" si="3"/>
        <v>1</v>
      </c>
      <c r="J21" s="22">
        <v>0</v>
      </c>
      <c r="K21" s="22">
        <v>4</v>
      </c>
      <c r="L21" s="22">
        <f t="shared" si="4"/>
        <v>-4</v>
      </c>
      <c r="M21" s="22">
        <f t="shared" si="5"/>
        <v>1</v>
      </c>
      <c r="N21" s="23">
        <v>72</v>
      </c>
      <c r="O21" s="23">
        <v>73</v>
      </c>
      <c r="P21" s="23">
        <f t="shared" si="6"/>
        <v>-1</v>
      </c>
      <c r="Q21" s="23">
        <f t="shared" si="7"/>
        <v>0</v>
      </c>
      <c r="R21" s="22">
        <v>50</v>
      </c>
      <c r="S21" s="22">
        <v>47</v>
      </c>
      <c r="T21" s="22">
        <f t="shared" si="8"/>
        <v>3</v>
      </c>
      <c r="U21" s="22">
        <f t="shared" si="9"/>
        <v>1</v>
      </c>
      <c r="V21" s="23">
        <v>38</v>
      </c>
      <c r="W21" s="23">
        <v>58</v>
      </c>
      <c r="X21" s="23">
        <f t="shared" si="10"/>
        <v>-20</v>
      </c>
      <c r="Y21" s="23">
        <f t="shared" si="11"/>
        <v>0</v>
      </c>
    </row>
    <row r="22" spans="1:25" x14ac:dyDescent="0.2">
      <c r="A22" s="25" t="s">
        <v>179</v>
      </c>
      <c r="B22" s="22">
        <v>68</v>
      </c>
      <c r="C22" s="22">
        <v>68</v>
      </c>
      <c r="D22" s="22">
        <f t="shared" si="1"/>
        <v>0</v>
      </c>
      <c r="E22" s="22">
        <f>IF(B22&gt;=C22,1,0)</f>
        <v>1</v>
      </c>
      <c r="F22" s="23">
        <v>7</v>
      </c>
      <c r="G22" s="23">
        <v>6</v>
      </c>
      <c r="H22" s="23">
        <f t="shared" si="2"/>
        <v>1</v>
      </c>
      <c r="I22" s="23">
        <f t="shared" si="3"/>
        <v>1</v>
      </c>
      <c r="J22" s="22">
        <v>1</v>
      </c>
      <c r="K22" s="22">
        <v>3</v>
      </c>
      <c r="L22" s="22">
        <f t="shared" si="4"/>
        <v>-2</v>
      </c>
      <c r="M22" s="22">
        <f t="shared" si="5"/>
        <v>1</v>
      </c>
      <c r="N22" s="23">
        <v>80</v>
      </c>
      <c r="O22" s="23">
        <v>60</v>
      </c>
      <c r="P22" s="23">
        <f t="shared" si="6"/>
        <v>20</v>
      </c>
      <c r="Q22" s="23">
        <f t="shared" si="7"/>
        <v>1</v>
      </c>
      <c r="R22" s="22">
        <v>29</v>
      </c>
      <c r="S22" s="22">
        <v>20</v>
      </c>
      <c r="T22" s="22">
        <f t="shared" si="8"/>
        <v>9</v>
      </c>
      <c r="U22" s="22">
        <f t="shared" si="9"/>
        <v>1</v>
      </c>
      <c r="V22" s="23">
        <v>73</v>
      </c>
      <c r="W22" s="23">
        <v>40</v>
      </c>
      <c r="X22" s="23">
        <f t="shared" si="10"/>
        <v>33</v>
      </c>
      <c r="Y22" s="23">
        <f t="shared" si="11"/>
        <v>1</v>
      </c>
    </row>
    <row r="23" spans="1:25" x14ac:dyDescent="0.2">
      <c r="A23" s="25" t="s">
        <v>179</v>
      </c>
      <c r="B23" s="22">
        <v>61</v>
      </c>
      <c r="C23" s="22">
        <v>67</v>
      </c>
      <c r="D23" s="22">
        <f t="shared" si="1"/>
        <v>-6</v>
      </c>
      <c r="E23" s="22">
        <f t="shared" ref="E23:E86" si="12">IF(B23&gt;=C23,1,0)</f>
        <v>0</v>
      </c>
      <c r="F23" s="23">
        <v>6</v>
      </c>
      <c r="G23" s="23">
        <v>20</v>
      </c>
      <c r="H23" s="23">
        <f t="shared" si="2"/>
        <v>-14</v>
      </c>
      <c r="I23" s="23">
        <f t="shared" si="3"/>
        <v>0</v>
      </c>
      <c r="J23" s="22">
        <v>3</v>
      </c>
      <c r="K23" s="22">
        <v>1</v>
      </c>
      <c r="L23" s="22">
        <f t="shared" si="4"/>
        <v>2</v>
      </c>
      <c r="M23" s="22">
        <f t="shared" si="5"/>
        <v>0</v>
      </c>
      <c r="N23" s="23">
        <v>77</v>
      </c>
      <c r="O23" s="23">
        <v>75</v>
      </c>
      <c r="P23" s="23">
        <f t="shared" si="6"/>
        <v>2</v>
      </c>
      <c r="Q23" s="23">
        <f t="shared" si="7"/>
        <v>1</v>
      </c>
      <c r="R23" s="22">
        <v>56</v>
      </c>
      <c r="S23" s="22">
        <v>47</v>
      </c>
      <c r="T23" s="22">
        <f t="shared" si="8"/>
        <v>9</v>
      </c>
      <c r="U23" s="22">
        <f t="shared" si="9"/>
        <v>1</v>
      </c>
      <c r="V23" s="23">
        <v>22</v>
      </c>
      <c r="W23" s="23">
        <v>56</v>
      </c>
      <c r="X23" s="23">
        <f t="shared" si="10"/>
        <v>-34</v>
      </c>
      <c r="Y23" s="23">
        <f t="shared" si="11"/>
        <v>0</v>
      </c>
    </row>
    <row r="24" spans="1:25" x14ac:dyDescent="0.2">
      <c r="A24" s="19">
        <v>2012</v>
      </c>
      <c r="B24" s="22">
        <v>59</v>
      </c>
      <c r="C24" s="22">
        <v>67</v>
      </c>
      <c r="D24" s="22">
        <f t="shared" si="1"/>
        <v>-8</v>
      </c>
      <c r="E24" s="22">
        <f t="shared" si="12"/>
        <v>0</v>
      </c>
      <c r="F24" s="23">
        <v>9</v>
      </c>
      <c r="G24" s="23">
        <v>10</v>
      </c>
      <c r="H24" s="23">
        <f t="shared" si="2"/>
        <v>-1</v>
      </c>
      <c r="I24" s="23">
        <f t="shared" si="3"/>
        <v>0</v>
      </c>
      <c r="J24" s="22">
        <v>2</v>
      </c>
      <c r="K24" s="22">
        <v>4</v>
      </c>
      <c r="L24" s="22">
        <f t="shared" si="4"/>
        <v>-2</v>
      </c>
      <c r="M24" s="22">
        <f t="shared" si="5"/>
        <v>1</v>
      </c>
      <c r="N24" s="23">
        <v>68</v>
      </c>
      <c r="O24" s="23">
        <v>66</v>
      </c>
      <c r="P24" s="23">
        <f t="shared" si="6"/>
        <v>2</v>
      </c>
      <c r="Q24" s="23">
        <f t="shared" si="7"/>
        <v>1</v>
      </c>
      <c r="R24" s="22">
        <v>63</v>
      </c>
      <c r="S24" s="22">
        <v>45</v>
      </c>
      <c r="T24" s="22">
        <f t="shared" si="8"/>
        <v>18</v>
      </c>
      <c r="U24" s="22">
        <f t="shared" si="9"/>
        <v>1</v>
      </c>
      <c r="V24" s="23">
        <v>35</v>
      </c>
      <c r="W24" s="23">
        <v>67</v>
      </c>
      <c r="X24" s="23">
        <f t="shared" si="10"/>
        <v>-32</v>
      </c>
      <c r="Y24" s="23">
        <f t="shared" si="11"/>
        <v>0</v>
      </c>
    </row>
    <row r="25" spans="1:25" x14ac:dyDescent="0.2">
      <c r="A25" s="25" t="s">
        <v>178</v>
      </c>
      <c r="B25" s="22">
        <v>61</v>
      </c>
      <c r="C25" s="22">
        <v>63</v>
      </c>
      <c r="D25" s="22">
        <f t="shared" si="1"/>
        <v>-2</v>
      </c>
      <c r="E25" s="22">
        <f t="shared" si="12"/>
        <v>0</v>
      </c>
      <c r="F25" s="23">
        <v>11</v>
      </c>
      <c r="G25" s="23">
        <v>9</v>
      </c>
      <c r="H25" s="23">
        <f t="shared" si="2"/>
        <v>2</v>
      </c>
      <c r="I25" s="23">
        <f t="shared" si="3"/>
        <v>1</v>
      </c>
      <c r="J25" s="22">
        <v>6</v>
      </c>
      <c r="K25" s="22">
        <v>10</v>
      </c>
      <c r="L25" s="22">
        <f t="shared" si="4"/>
        <v>-4</v>
      </c>
      <c r="M25" s="22">
        <f t="shared" si="5"/>
        <v>1</v>
      </c>
      <c r="N25" s="23">
        <v>66</v>
      </c>
      <c r="O25" s="23">
        <v>64</v>
      </c>
      <c r="P25" s="23">
        <f t="shared" si="6"/>
        <v>2</v>
      </c>
      <c r="Q25" s="23">
        <f t="shared" si="7"/>
        <v>1</v>
      </c>
      <c r="R25" s="22">
        <v>45</v>
      </c>
      <c r="S25" s="22">
        <v>30</v>
      </c>
      <c r="T25" s="22">
        <f t="shared" si="8"/>
        <v>15</v>
      </c>
      <c r="U25" s="22">
        <f t="shared" si="9"/>
        <v>1</v>
      </c>
      <c r="V25" s="23">
        <v>42</v>
      </c>
      <c r="W25" s="23">
        <v>29</v>
      </c>
      <c r="X25" s="23">
        <f t="shared" si="10"/>
        <v>13</v>
      </c>
      <c r="Y25" s="23">
        <f t="shared" si="11"/>
        <v>1</v>
      </c>
    </row>
    <row r="26" spans="1:25" x14ac:dyDescent="0.2">
      <c r="A26" s="25" t="s">
        <v>178</v>
      </c>
      <c r="B26" s="22">
        <v>77</v>
      </c>
      <c r="C26" s="22">
        <v>64</v>
      </c>
      <c r="D26" s="22">
        <f t="shared" si="1"/>
        <v>13</v>
      </c>
      <c r="E26" s="22">
        <f t="shared" si="12"/>
        <v>1</v>
      </c>
      <c r="F26" s="23">
        <v>4</v>
      </c>
      <c r="G26" s="23">
        <v>11</v>
      </c>
      <c r="H26" s="23">
        <f t="shared" si="2"/>
        <v>-7</v>
      </c>
      <c r="I26" s="23">
        <f t="shared" si="3"/>
        <v>0</v>
      </c>
      <c r="J26" s="22">
        <v>1</v>
      </c>
      <c r="K26" s="22">
        <v>5</v>
      </c>
      <c r="L26" s="22">
        <f t="shared" si="4"/>
        <v>-4</v>
      </c>
      <c r="M26" s="22">
        <f t="shared" si="5"/>
        <v>1</v>
      </c>
      <c r="N26" s="23">
        <v>69</v>
      </c>
      <c r="O26" s="23">
        <v>66</v>
      </c>
      <c r="P26" s="23">
        <f t="shared" si="6"/>
        <v>3</v>
      </c>
      <c r="Q26" s="23">
        <f t="shared" si="7"/>
        <v>1</v>
      </c>
      <c r="R26" s="22">
        <v>63</v>
      </c>
      <c r="S26" s="22">
        <v>55</v>
      </c>
      <c r="T26" s="22">
        <f t="shared" si="8"/>
        <v>8</v>
      </c>
      <c r="U26" s="22">
        <f t="shared" si="9"/>
        <v>1</v>
      </c>
      <c r="V26" s="23">
        <v>38</v>
      </c>
      <c r="W26" s="23">
        <v>30</v>
      </c>
      <c r="X26" s="23">
        <f t="shared" si="10"/>
        <v>8</v>
      </c>
      <c r="Y26" s="23">
        <f t="shared" si="11"/>
        <v>1</v>
      </c>
    </row>
    <row r="27" spans="1:25" x14ac:dyDescent="0.2">
      <c r="A27" s="25" t="s">
        <v>179</v>
      </c>
      <c r="B27" s="22">
        <v>53</v>
      </c>
      <c r="C27" s="22">
        <v>65</v>
      </c>
      <c r="D27" s="22">
        <f t="shared" si="1"/>
        <v>-12</v>
      </c>
      <c r="E27" s="22">
        <f t="shared" si="12"/>
        <v>0</v>
      </c>
      <c r="F27" s="23">
        <v>3</v>
      </c>
      <c r="G27" s="23">
        <v>2</v>
      </c>
      <c r="H27" s="23">
        <f t="shared" si="2"/>
        <v>1</v>
      </c>
      <c r="I27" s="23">
        <f t="shared" si="3"/>
        <v>1</v>
      </c>
      <c r="J27" s="22">
        <v>0</v>
      </c>
      <c r="K27" s="22">
        <v>1</v>
      </c>
      <c r="L27" s="22">
        <f t="shared" si="4"/>
        <v>-1</v>
      </c>
      <c r="M27" s="22">
        <f t="shared" si="5"/>
        <v>1</v>
      </c>
      <c r="N27" s="23">
        <v>71</v>
      </c>
      <c r="O27" s="23">
        <v>61</v>
      </c>
      <c r="P27" s="23">
        <f t="shared" si="6"/>
        <v>10</v>
      </c>
      <c r="Q27" s="23">
        <f t="shared" si="7"/>
        <v>1</v>
      </c>
      <c r="R27" s="22">
        <v>67</v>
      </c>
      <c r="S27" s="22">
        <v>50</v>
      </c>
      <c r="T27" s="22">
        <f t="shared" si="8"/>
        <v>17</v>
      </c>
      <c r="U27" s="22">
        <f t="shared" si="9"/>
        <v>1</v>
      </c>
      <c r="V27" s="23">
        <v>42</v>
      </c>
      <c r="W27" s="23">
        <v>50</v>
      </c>
      <c r="X27" s="23">
        <f t="shared" si="10"/>
        <v>-8</v>
      </c>
      <c r="Y27" s="23">
        <f t="shared" si="11"/>
        <v>0</v>
      </c>
    </row>
    <row r="28" spans="1:25" x14ac:dyDescent="0.2">
      <c r="A28" s="25" t="s">
        <v>179</v>
      </c>
      <c r="B28" s="22">
        <v>44</v>
      </c>
      <c r="C28" s="22">
        <v>60</v>
      </c>
      <c r="D28" s="22">
        <f t="shared" si="1"/>
        <v>-16</v>
      </c>
      <c r="E28" s="22">
        <f t="shared" si="12"/>
        <v>0</v>
      </c>
      <c r="F28" s="23">
        <v>4</v>
      </c>
      <c r="G28" s="23">
        <v>1</v>
      </c>
      <c r="H28" s="23">
        <f t="shared" si="2"/>
        <v>3</v>
      </c>
      <c r="I28" s="23">
        <f t="shared" si="3"/>
        <v>1</v>
      </c>
      <c r="J28" s="22">
        <v>3</v>
      </c>
      <c r="K28" s="22">
        <v>2</v>
      </c>
      <c r="L28" s="22">
        <f t="shared" si="4"/>
        <v>1</v>
      </c>
      <c r="M28" s="22">
        <f t="shared" si="5"/>
        <v>0</v>
      </c>
      <c r="N28" s="23">
        <v>78</v>
      </c>
      <c r="O28" s="23">
        <v>54</v>
      </c>
      <c r="P28" s="23">
        <f t="shared" si="6"/>
        <v>24</v>
      </c>
      <c r="Q28" s="23">
        <f t="shared" si="7"/>
        <v>1</v>
      </c>
      <c r="R28" s="22">
        <v>58</v>
      </c>
      <c r="S28" s="22">
        <v>37</v>
      </c>
      <c r="T28" s="22">
        <f t="shared" si="8"/>
        <v>21</v>
      </c>
      <c r="U28" s="22">
        <f t="shared" si="9"/>
        <v>1</v>
      </c>
      <c r="V28" s="23">
        <v>39</v>
      </c>
      <c r="W28" s="23">
        <v>20</v>
      </c>
      <c r="X28" s="23">
        <f t="shared" si="10"/>
        <v>19</v>
      </c>
      <c r="Y28" s="23">
        <f t="shared" si="11"/>
        <v>1</v>
      </c>
    </row>
    <row r="29" spans="1:25" x14ac:dyDescent="0.2">
      <c r="A29" s="25" t="s">
        <v>179</v>
      </c>
      <c r="B29" s="22">
        <v>57</v>
      </c>
      <c r="C29" s="22">
        <v>67</v>
      </c>
      <c r="D29" s="22">
        <f t="shared" si="1"/>
        <v>-10</v>
      </c>
      <c r="E29" s="22">
        <f t="shared" si="12"/>
        <v>0</v>
      </c>
      <c r="F29" s="23">
        <v>5</v>
      </c>
      <c r="G29" s="23">
        <v>5</v>
      </c>
      <c r="H29" s="23">
        <f t="shared" si="2"/>
        <v>0</v>
      </c>
      <c r="I29" s="23">
        <f t="shared" si="3"/>
        <v>1</v>
      </c>
      <c r="J29" s="22">
        <v>1</v>
      </c>
      <c r="K29" s="22">
        <v>3</v>
      </c>
      <c r="L29" s="22">
        <f t="shared" si="4"/>
        <v>-2</v>
      </c>
      <c r="M29" s="22">
        <f t="shared" si="5"/>
        <v>1</v>
      </c>
      <c r="N29" s="23">
        <v>89</v>
      </c>
      <c r="O29" s="23">
        <v>57</v>
      </c>
      <c r="P29" s="23">
        <f t="shared" si="6"/>
        <v>32</v>
      </c>
      <c r="Q29" s="23">
        <f t="shared" si="7"/>
        <v>1</v>
      </c>
      <c r="R29" s="22">
        <v>58</v>
      </c>
      <c r="S29" s="22">
        <v>55</v>
      </c>
      <c r="T29" s="22">
        <f t="shared" si="8"/>
        <v>3</v>
      </c>
      <c r="U29" s="22">
        <f t="shared" si="9"/>
        <v>1</v>
      </c>
      <c r="V29" s="23">
        <v>63</v>
      </c>
      <c r="W29" s="23">
        <v>17</v>
      </c>
      <c r="X29" s="23">
        <f t="shared" si="10"/>
        <v>46</v>
      </c>
      <c r="Y29" s="23">
        <f t="shared" si="11"/>
        <v>1</v>
      </c>
    </row>
    <row r="30" spans="1:25" x14ac:dyDescent="0.2">
      <c r="A30" s="25" t="s">
        <v>179</v>
      </c>
      <c r="B30" s="22">
        <v>71</v>
      </c>
      <c r="C30" s="22">
        <v>62</v>
      </c>
      <c r="D30" s="22">
        <f t="shared" si="1"/>
        <v>9</v>
      </c>
      <c r="E30" s="22">
        <f t="shared" si="12"/>
        <v>1</v>
      </c>
      <c r="F30" s="23">
        <v>6</v>
      </c>
      <c r="G30" s="23">
        <v>17</v>
      </c>
      <c r="H30" s="23">
        <f t="shared" si="2"/>
        <v>-11</v>
      </c>
      <c r="I30" s="23">
        <f t="shared" si="3"/>
        <v>0</v>
      </c>
      <c r="J30" s="22">
        <v>2</v>
      </c>
      <c r="K30" s="22">
        <v>5</v>
      </c>
      <c r="L30" s="22">
        <f t="shared" si="4"/>
        <v>-3</v>
      </c>
      <c r="M30" s="22">
        <f t="shared" si="5"/>
        <v>1</v>
      </c>
      <c r="N30" s="23">
        <v>76</v>
      </c>
      <c r="O30" s="23">
        <v>74</v>
      </c>
      <c r="P30" s="23">
        <f t="shared" si="6"/>
        <v>2</v>
      </c>
      <c r="Q30" s="23">
        <f t="shared" si="7"/>
        <v>1</v>
      </c>
      <c r="R30" s="22">
        <v>49</v>
      </c>
      <c r="S30" s="22">
        <v>45</v>
      </c>
      <c r="T30" s="22">
        <f t="shared" si="8"/>
        <v>4</v>
      </c>
      <c r="U30" s="22">
        <f t="shared" si="9"/>
        <v>1</v>
      </c>
      <c r="V30" s="23">
        <v>38</v>
      </c>
      <c r="W30" s="23">
        <v>15</v>
      </c>
      <c r="X30" s="23">
        <f t="shared" si="10"/>
        <v>23</v>
      </c>
      <c r="Y30" s="23">
        <f t="shared" si="11"/>
        <v>1</v>
      </c>
    </row>
    <row r="31" spans="1:25" x14ac:dyDescent="0.2">
      <c r="A31" s="19" t="s">
        <v>197</v>
      </c>
      <c r="B31" s="22">
        <v>67</v>
      </c>
      <c r="C31" s="22">
        <v>65</v>
      </c>
      <c r="D31" s="22">
        <f t="shared" si="1"/>
        <v>2</v>
      </c>
      <c r="E31" s="22">
        <f t="shared" si="12"/>
        <v>1</v>
      </c>
      <c r="F31" s="23">
        <v>9</v>
      </c>
      <c r="G31" s="23">
        <v>6</v>
      </c>
      <c r="H31" s="23">
        <f t="shared" si="2"/>
        <v>3</v>
      </c>
      <c r="I31" s="23">
        <f t="shared" si="3"/>
        <v>1</v>
      </c>
      <c r="J31" s="22">
        <v>3</v>
      </c>
      <c r="K31" s="22">
        <v>0</v>
      </c>
      <c r="L31" s="22">
        <f t="shared" si="4"/>
        <v>3</v>
      </c>
      <c r="M31" s="22">
        <f t="shared" si="5"/>
        <v>0</v>
      </c>
      <c r="N31" s="23">
        <v>76</v>
      </c>
      <c r="O31" s="23">
        <v>63</v>
      </c>
      <c r="P31" s="23">
        <f t="shared" si="6"/>
        <v>13</v>
      </c>
      <c r="Q31" s="23">
        <f t="shared" si="7"/>
        <v>1</v>
      </c>
      <c r="R31" s="22">
        <v>50</v>
      </c>
      <c r="S31" s="22">
        <v>53</v>
      </c>
      <c r="T31" s="22">
        <f t="shared" si="8"/>
        <v>-3</v>
      </c>
      <c r="U31" s="22">
        <f t="shared" si="9"/>
        <v>0</v>
      </c>
      <c r="V31" s="23">
        <v>27</v>
      </c>
      <c r="W31" s="23">
        <v>20</v>
      </c>
      <c r="X31" s="23">
        <f t="shared" si="10"/>
        <v>7</v>
      </c>
      <c r="Y31" s="23">
        <f t="shared" si="11"/>
        <v>1</v>
      </c>
    </row>
    <row r="32" spans="1:25" x14ac:dyDescent="0.2">
      <c r="A32" s="25" t="s">
        <v>178</v>
      </c>
      <c r="B32" s="22">
        <v>70</v>
      </c>
      <c r="C32" s="22">
        <v>66</v>
      </c>
      <c r="D32" s="22">
        <f t="shared" si="1"/>
        <v>4</v>
      </c>
      <c r="E32" s="22">
        <f t="shared" si="12"/>
        <v>1</v>
      </c>
      <c r="F32" s="23">
        <v>8</v>
      </c>
      <c r="G32" s="23">
        <v>12</v>
      </c>
      <c r="H32" s="23">
        <f t="shared" si="2"/>
        <v>-4</v>
      </c>
      <c r="I32" s="23">
        <f t="shared" si="3"/>
        <v>0</v>
      </c>
      <c r="J32" s="22">
        <v>2</v>
      </c>
      <c r="K32" s="22">
        <v>1</v>
      </c>
      <c r="L32" s="22">
        <f t="shared" si="4"/>
        <v>1</v>
      </c>
      <c r="M32" s="22">
        <f t="shared" si="5"/>
        <v>0</v>
      </c>
      <c r="N32" s="23">
        <v>68</v>
      </c>
      <c r="O32" s="23">
        <v>64</v>
      </c>
      <c r="P32" s="23">
        <f t="shared" si="6"/>
        <v>4</v>
      </c>
      <c r="Q32" s="23">
        <f t="shared" si="7"/>
        <v>1</v>
      </c>
      <c r="R32" s="22">
        <v>67</v>
      </c>
      <c r="S32" s="22">
        <v>55</v>
      </c>
      <c r="T32" s="22">
        <f t="shared" si="8"/>
        <v>12</v>
      </c>
      <c r="U32" s="22">
        <f t="shared" si="9"/>
        <v>1</v>
      </c>
      <c r="V32" s="23">
        <v>32</v>
      </c>
      <c r="W32" s="23">
        <v>75</v>
      </c>
      <c r="X32" s="23">
        <f t="shared" si="10"/>
        <v>-43</v>
      </c>
      <c r="Y32" s="23">
        <f t="shared" si="11"/>
        <v>0</v>
      </c>
    </row>
    <row r="33" spans="1:25" x14ac:dyDescent="0.2">
      <c r="A33" s="25" t="s">
        <v>178</v>
      </c>
      <c r="B33" s="22">
        <v>52</v>
      </c>
      <c r="C33" s="22">
        <v>69</v>
      </c>
      <c r="D33" s="22">
        <f t="shared" si="1"/>
        <v>-17</v>
      </c>
      <c r="E33" s="22">
        <f t="shared" si="12"/>
        <v>0</v>
      </c>
      <c r="F33" s="23">
        <v>15</v>
      </c>
      <c r="G33" s="23">
        <v>8</v>
      </c>
      <c r="H33" s="23">
        <f t="shared" si="2"/>
        <v>7</v>
      </c>
      <c r="I33" s="23">
        <f t="shared" si="3"/>
        <v>1</v>
      </c>
      <c r="J33" s="22">
        <v>6</v>
      </c>
      <c r="K33" s="22">
        <v>2</v>
      </c>
      <c r="L33" s="22">
        <f t="shared" si="4"/>
        <v>4</v>
      </c>
      <c r="M33" s="22">
        <f t="shared" si="5"/>
        <v>0</v>
      </c>
      <c r="N33" s="23">
        <v>76</v>
      </c>
      <c r="O33" s="23">
        <v>72</v>
      </c>
      <c r="P33" s="23">
        <f t="shared" si="6"/>
        <v>4</v>
      </c>
      <c r="Q33" s="23">
        <f t="shared" si="7"/>
        <v>1</v>
      </c>
      <c r="R33" s="22">
        <v>59</v>
      </c>
      <c r="S33" s="22">
        <v>56</v>
      </c>
      <c r="T33" s="22">
        <f t="shared" si="8"/>
        <v>3</v>
      </c>
      <c r="U33" s="22">
        <f t="shared" si="9"/>
        <v>1</v>
      </c>
      <c r="V33" s="23">
        <v>20</v>
      </c>
      <c r="W33" s="23">
        <v>6</v>
      </c>
      <c r="X33" s="23">
        <f t="shared" si="10"/>
        <v>14</v>
      </c>
      <c r="Y33" s="23">
        <f t="shared" si="11"/>
        <v>1</v>
      </c>
    </row>
    <row r="34" spans="1:25" x14ac:dyDescent="0.2">
      <c r="A34" s="25" t="s">
        <v>179</v>
      </c>
      <c r="B34" s="22">
        <v>63</v>
      </c>
      <c r="C34" s="22">
        <v>60</v>
      </c>
      <c r="D34" s="22">
        <f t="shared" si="1"/>
        <v>3</v>
      </c>
      <c r="E34" s="22">
        <f t="shared" si="12"/>
        <v>1</v>
      </c>
      <c r="F34" s="23">
        <v>3</v>
      </c>
      <c r="G34" s="23">
        <v>3</v>
      </c>
      <c r="H34" s="23">
        <f t="shared" si="2"/>
        <v>0</v>
      </c>
      <c r="I34" s="23">
        <f t="shared" si="3"/>
        <v>1</v>
      </c>
      <c r="J34" s="22">
        <v>0</v>
      </c>
      <c r="K34" s="22">
        <v>2</v>
      </c>
      <c r="L34" s="22">
        <f t="shared" si="4"/>
        <v>-2</v>
      </c>
      <c r="M34" s="22">
        <f t="shared" si="5"/>
        <v>1</v>
      </c>
      <c r="N34" s="23">
        <v>76</v>
      </c>
      <c r="O34" s="23">
        <v>59</v>
      </c>
      <c r="P34" s="23">
        <f t="shared" si="6"/>
        <v>17</v>
      </c>
      <c r="Q34" s="23">
        <f t="shared" si="7"/>
        <v>1</v>
      </c>
      <c r="R34" s="22">
        <v>60</v>
      </c>
      <c r="S34" s="22">
        <v>38</v>
      </c>
      <c r="T34" s="22">
        <f t="shared" si="8"/>
        <v>22</v>
      </c>
      <c r="U34" s="22">
        <f t="shared" si="9"/>
        <v>1</v>
      </c>
      <c r="V34" s="23">
        <v>39</v>
      </c>
      <c r="W34" s="23">
        <v>40</v>
      </c>
      <c r="X34" s="23">
        <f t="shared" si="10"/>
        <v>-1</v>
      </c>
      <c r="Y34" s="23">
        <f t="shared" si="11"/>
        <v>0</v>
      </c>
    </row>
    <row r="35" spans="1:25" x14ac:dyDescent="0.2">
      <c r="A35" s="25" t="s">
        <v>179</v>
      </c>
      <c r="B35" s="22">
        <v>58</v>
      </c>
      <c r="C35" s="22">
        <v>56</v>
      </c>
      <c r="D35" s="22">
        <f t="shared" si="1"/>
        <v>2</v>
      </c>
      <c r="E35" s="22">
        <f t="shared" si="12"/>
        <v>1</v>
      </c>
      <c r="F35" s="23">
        <v>9</v>
      </c>
      <c r="G35" s="23">
        <v>2</v>
      </c>
      <c r="H35" s="23">
        <f t="shared" si="2"/>
        <v>7</v>
      </c>
      <c r="I35" s="23">
        <f t="shared" si="3"/>
        <v>1</v>
      </c>
      <c r="J35" s="22">
        <v>2</v>
      </c>
      <c r="K35" s="22">
        <v>11</v>
      </c>
      <c r="L35" s="22">
        <f t="shared" si="4"/>
        <v>-9</v>
      </c>
      <c r="M35" s="22">
        <f t="shared" si="5"/>
        <v>1</v>
      </c>
      <c r="N35" s="23">
        <v>78</v>
      </c>
      <c r="O35" s="23">
        <v>68</v>
      </c>
      <c r="P35" s="23">
        <f t="shared" si="6"/>
        <v>10</v>
      </c>
      <c r="Q35" s="23">
        <f t="shared" si="7"/>
        <v>1</v>
      </c>
      <c r="R35" s="22">
        <v>42</v>
      </c>
      <c r="S35" s="22">
        <v>35</v>
      </c>
      <c r="T35" s="22">
        <f t="shared" si="8"/>
        <v>7</v>
      </c>
      <c r="U35" s="22">
        <f t="shared" si="9"/>
        <v>1</v>
      </c>
      <c r="V35" s="23">
        <v>50</v>
      </c>
      <c r="W35" s="23">
        <v>45</v>
      </c>
      <c r="X35" s="23">
        <f t="shared" si="10"/>
        <v>5</v>
      </c>
      <c r="Y35" s="23">
        <f t="shared" si="11"/>
        <v>1</v>
      </c>
    </row>
    <row r="36" spans="1:25" x14ac:dyDescent="0.2">
      <c r="A36" s="25" t="s">
        <v>179</v>
      </c>
      <c r="B36" s="22">
        <v>61</v>
      </c>
      <c r="C36" s="22">
        <v>66</v>
      </c>
      <c r="D36" s="22">
        <f t="shared" si="1"/>
        <v>-5</v>
      </c>
      <c r="E36" s="22">
        <f t="shared" si="12"/>
        <v>0</v>
      </c>
      <c r="F36" s="23">
        <v>10</v>
      </c>
      <c r="G36" s="23">
        <v>5</v>
      </c>
      <c r="H36" s="23">
        <f t="shared" si="2"/>
        <v>5</v>
      </c>
      <c r="I36" s="23">
        <f t="shared" si="3"/>
        <v>1</v>
      </c>
      <c r="J36" s="22">
        <v>1</v>
      </c>
      <c r="K36" s="22">
        <v>6</v>
      </c>
      <c r="L36" s="22">
        <f t="shared" si="4"/>
        <v>-5</v>
      </c>
      <c r="M36" s="22">
        <f t="shared" si="5"/>
        <v>1</v>
      </c>
      <c r="N36" s="23">
        <v>83</v>
      </c>
      <c r="O36" s="23">
        <v>67</v>
      </c>
      <c r="P36" s="23">
        <f t="shared" si="6"/>
        <v>16</v>
      </c>
      <c r="Q36" s="23">
        <f t="shared" si="7"/>
        <v>1</v>
      </c>
      <c r="R36" s="22">
        <v>50</v>
      </c>
      <c r="S36" s="22">
        <v>43</v>
      </c>
      <c r="T36" s="22">
        <f t="shared" si="8"/>
        <v>7</v>
      </c>
      <c r="U36" s="22">
        <f t="shared" si="9"/>
        <v>1</v>
      </c>
      <c r="V36" s="23">
        <v>32</v>
      </c>
      <c r="W36" s="23">
        <v>57</v>
      </c>
      <c r="X36" s="23">
        <f t="shared" si="10"/>
        <v>-25</v>
      </c>
      <c r="Y36" s="23">
        <f t="shared" si="11"/>
        <v>0</v>
      </c>
    </row>
    <row r="37" spans="1:25" x14ac:dyDescent="0.2">
      <c r="A37" s="25" t="s">
        <v>179</v>
      </c>
      <c r="B37" s="22">
        <v>54</v>
      </c>
      <c r="C37" s="22">
        <v>63</v>
      </c>
      <c r="D37" s="22">
        <f t="shared" si="1"/>
        <v>-9</v>
      </c>
      <c r="E37" s="22">
        <f t="shared" si="12"/>
        <v>0</v>
      </c>
      <c r="F37" s="23">
        <v>4</v>
      </c>
      <c r="G37" s="23">
        <v>7</v>
      </c>
      <c r="H37" s="23">
        <f t="shared" si="2"/>
        <v>-3</v>
      </c>
      <c r="I37" s="23">
        <f t="shared" si="3"/>
        <v>0</v>
      </c>
      <c r="J37" s="22"/>
      <c r="K37" s="22"/>
      <c r="L37" s="22">
        <f t="shared" si="4"/>
        <v>0</v>
      </c>
      <c r="M37" s="22">
        <f t="shared" si="5"/>
        <v>1</v>
      </c>
      <c r="N37" s="23">
        <v>88</v>
      </c>
      <c r="O37" s="23">
        <v>68</v>
      </c>
      <c r="P37" s="23">
        <f t="shared" si="6"/>
        <v>20</v>
      </c>
      <c r="Q37" s="23">
        <f t="shared" si="7"/>
        <v>1</v>
      </c>
      <c r="R37" s="22">
        <v>62</v>
      </c>
      <c r="S37" s="22">
        <v>56</v>
      </c>
      <c r="T37" s="22">
        <f t="shared" si="8"/>
        <v>6</v>
      </c>
      <c r="U37" s="22">
        <f t="shared" si="9"/>
        <v>1</v>
      </c>
      <c r="V37" s="23">
        <v>38</v>
      </c>
      <c r="W37" s="23">
        <v>0</v>
      </c>
      <c r="X37" s="23">
        <f t="shared" si="10"/>
        <v>38</v>
      </c>
      <c r="Y37" s="23">
        <f t="shared" si="11"/>
        <v>1</v>
      </c>
    </row>
    <row r="38" spans="1:25" x14ac:dyDescent="0.2">
      <c r="A38" s="19">
        <v>2014</v>
      </c>
      <c r="B38" s="22">
        <v>70</v>
      </c>
      <c r="C38" s="22">
        <v>65</v>
      </c>
      <c r="D38" s="22">
        <f t="shared" si="1"/>
        <v>5</v>
      </c>
      <c r="E38" s="22">
        <f t="shared" si="12"/>
        <v>1</v>
      </c>
      <c r="F38" s="23">
        <v>3</v>
      </c>
      <c r="G38" s="23">
        <v>11</v>
      </c>
      <c r="H38" s="23">
        <f t="shared" si="2"/>
        <v>-8</v>
      </c>
      <c r="I38" s="23">
        <f t="shared" si="3"/>
        <v>0</v>
      </c>
      <c r="J38" s="22">
        <v>4</v>
      </c>
      <c r="K38" s="22">
        <v>3</v>
      </c>
      <c r="L38" s="22">
        <f t="shared" si="4"/>
        <v>1</v>
      </c>
      <c r="M38" s="22">
        <f t="shared" si="5"/>
        <v>0</v>
      </c>
      <c r="N38" s="23">
        <v>73</v>
      </c>
      <c r="O38" s="23">
        <v>72</v>
      </c>
      <c r="P38" s="23">
        <f t="shared" si="6"/>
        <v>1</v>
      </c>
      <c r="Q38" s="23">
        <f t="shared" si="7"/>
        <v>1</v>
      </c>
      <c r="R38" s="22">
        <v>50</v>
      </c>
      <c r="S38" s="22">
        <v>36</v>
      </c>
      <c r="T38" s="22">
        <f t="shared" si="8"/>
        <v>14</v>
      </c>
      <c r="U38" s="22">
        <f t="shared" si="9"/>
        <v>1</v>
      </c>
      <c r="V38" s="23">
        <v>60</v>
      </c>
      <c r="W38" s="23">
        <v>33</v>
      </c>
      <c r="X38" s="23">
        <f t="shared" si="10"/>
        <v>27</v>
      </c>
      <c r="Y38" s="23">
        <f t="shared" si="11"/>
        <v>1</v>
      </c>
    </row>
    <row r="39" spans="1:25" x14ac:dyDescent="0.2">
      <c r="A39" s="25" t="s">
        <v>178</v>
      </c>
      <c r="B39" s="22">
        <v>76</v>
      </c>
      <c r="C39" s="22">
        <v>52</v>
      </c>
      <c r="D39" s="22">
        <f t="shared" si="1"/>
        <v>24</v>
      </c>
      <c r="E39" s="22">
        <f t="shared" si="12"/>
        <v>1</v>
      </c>
      <c r="F39" s="23">
        <v>2</v>
      </c>
      <c r="G39" s="23">
        <v>2</v>
      </c>
      <c r="H39" s="23">
        <f t="shared" si="2"/>
        <v>0</v>
      </c>
      <c r="I39" s="23">
        <f t="shared" si="3"/>
        <v>1</v>
      </c>
      <c r="J39" s="22">
        <v>2</v>
      </c>
      <c r="K39" s="22">
        <v>3</v>
      </c>
      <c r="L39" s="22">
        <f t="shared" si="4"/>
        <v>-1</v>
      </c>
      <c r="M39" s="22">
        <f t="shared" si="5"/>
        <v>1</v>
      </c>
      <c r="N39" s="23">
        <v>91</v>
      </c>
      <c r="O39" s="23">
        <v>63</v>
      </c>
      <c r="P39" s="23">
        <f t="shared" si="6"/>
        <v>28</v>
      </c>
      <c r="Q39" s="23">
        <f t="shared" si="7"/>
        <v>1</v>
      </c>
      <c r="R39" s="22">
        <v>57</v>
      </c>
      <c r="S39" s="22">
        <v>34</v>
      </c>
      <c r="T39" s="22">
        <f t="shared" si="8"/>
        <v>23</v>
      </c>
      <c r="U39" s="22">
        <f t="shared" si="9"/>
        <v>1</v>
      </c>
      <c r="V39" s="23">
        <v>100</v>
      </c>
      <c r="W39" s="23">
        <v>0</v>
      </c>
      <c r="X39" s="23">
        <f t="shared" si="10"/>
        <v>100</v>
      </c>
      <c r="Y39" s="23">
        <f t="shared" si="11"/>
        <v>1</v>
      </c>
    </row>
    <row r="40" spans="1:25" x14ac:dyDescent="0.2">
      <c r="A40" s="25" t="s">
        <v>178</v>
      </c>
      <c r="B40" s="22">
        <v>67</v>
      </c>
      <c r="C40" s="22">
        <v>57</v>
      </c>
      <c r="D40" s="22">
        <f t="shared" si="1"/>
        <v>10</v>
      </c>
      <c r="E40" s="22">
        <f t="shared" si="12"/>
        <v>1</v>
      </c>
      <c r="F40" s="23">
        <v>9</v>
      </c>
      <c r="G40" s="23">
        <v>13</v>
      </c>
      <c r="H40" s="23">
        <f t="shared" si="2"/>
        <v>-4</v>
      </c>
      <c r="I40" s="23">
        <f t="shared" si="3"/>
        <v>0</v>
      </c>
      <c r="J40" s="22">
        <v>1</v>
      </c>
      <c r="K40" s="22">
        <v>5</v>
      </c>
      <c r="L40" s="22">
        <f t="shared" si="4"/>
        <v>-4</v>
      </c>
      <c r="M40" s="22">
        <f t="shared" si="5"/>
        <v>1</v>
      </c>
      <c r="N40" s="23">
        <v>80</v>
      </c>
      <c r="O40" s="23">
        <v>70</v>
      </c>
      <c r="P40" s="23">
        <f t="shared" si="6"/>
        <v>10</v>
      </c>
      <c r="Q40" s="23">
        <f t="shared" si="7"/>
        <v>1</v>
      </c>
      <c r="R40" s="22">
        <v>43</v>
      </c>
      <c r="S40" s="22">
        <v>53</v>
      </c>
      <c r="T40" s="22">
        <f t="shared" si="8"/>
        <v>-10</v>
      </c>
      <c r="U40" s="22">
        <f t="shared" si="9"/>
        <v>0</v>
      </c>
      <c r="V40" s="23">
        <v>50</v>
      </c>
      <c r="W40" s="23">
        <v>29</v>
      </c>
      <c r="X40" s="23">
        <f t="shared" si="10"/>
        <v>21</v>
      </c>
      <c r="Y40" s="23">
        <f t="shared" si="11"/>
        <v>1</v>
      </c>
    </row>
    <row r="41" spans="1:25" x14ac:dyDescent="0.2">
      <c r="A41" s="25" t="s">
        <v>179</v>
      </c>
      <c r="B41" s="22">
        <v>62</v>
      </c>
      <c r="C41" s="22">
        <v>63</v>
      </c>
      <c r="D41" s="22">
        <f t="shared" si="1"/>
        <v>-1</v>
      </c>
      <c r="E41" s="22">
        <f t="shared" si="12"/>
        <v>0</v>
      </c>
      <c r="F41" s="23">
        <v>1</v>
      </c>
      <c r="G41" s="23">
        <v>2</v>
      </c>
      <c r="H41" s="23">
        <f t="shared" si="2"/>
        <v>-1</v>
      </c>
      <c r="I41" s="23">
        <f t="shared" si="3"/>
        <v>0</v>
      </c>
      <c r="J41" s="22">
        <v>1</v>
      </c>
      <c r="K41" s="22">
        <v>1</v>
      </c>
      <c r="L41" s="22">
        <f t="shared" si="4"/>
        <v>0</v>
      </c>
      <c r="M41" s="22">
        <f t="shared" si="5"/>
        <v>1</v>
      </c>
      <c r="N41" s="23">
        <v>68</v>
      </c>
      <c r="O41" s="23">
        <v>53</v>
      </c>
      <c r="P41" s="23">
        <f t="shared" si="6"/>
        <v>15</v>
      </c>
      <c r="Q41" s="23">
        <f t="shared" si="7"/>
        <v>1</v>
      </c>
      <c r="R41" s="22">
        <v>56</v>
      </c>
      <c r="S41" s="22">
        <v>43</v>
      </c>
      <c r="T41" s="22">
        <f t="shared" si="8"/>
        <v>13</v>
      </c>
      <c r="U41" s="22">
        <f t="shared" si="9"/>
        <v>1</v>
      </c>
      <c r="V41" s="23">
        <v>64</v>
      </c>
      <c r="W41" s="23">
        <v>21</v>
      </c>
      <c r="X41" s="23">
        <f t="shared" si="10"/>
        <v>43</v>
      </c>
      <c r="Y41" s="23">
        <f t="shared" si="11"/>
        <v>1</v>
      </c>
    </row>
    <row r="42" spans="1:25" x14ac:dyDescent="0.2">
      <c r="A42" s="25" t="s">
        <v>179</v>
      </c>
      <c r="B42" s="22">
        <v>62</v>
      </c>
      <c r="C42" s="22">
        <v>76</v>
      </c>
      <c r="D42" s="22">
        <f t="shared" si="1"/>
        <v>-14</v>
      </c>
      <c r="E42" s="22">
        <f t="shared" si="12"/>
        <v>0</v>
      </c>
      <c r="F42" s="23">
        <v>1</v>
      </c>
      <c r="G42" s="23">
        <v>4</v>
      </c>
      <c r="H42" s="23">
        <f t="shared" si="2"/>
        <v>-3</v>
      </c>
      <c r="I42" s="23">
        <f t="shared" si="3"/>
        <v>0</v>
      </c>
      <c r="J42" s="22">
        <v>2</v>
      </c>
      <c r="K42" s="22">
        <v>5</v>
      </c>
      <c r="L42" s="22">
        <f t="shared" si="4"/>
        <v>-3</v>
      </c>
      <c r="M42" s="22">
        <f t="shared" si="5"/>
        <v>1</v>
      </c>
      <c r="N42" s="23">
        <v>65</v>
      </c>
      <c r="O42" s="23">
        <v>60</v>
      </c>
      <c r="P42" s="23">
        <f t="shared" si="6"/>
        <v>5</v>
      </c>
      <c r="Q42" s="23">
        <f t="shared" si="7"/>
        <v>1</v>
      </c>
      <c r="R42" s="22">
        <v>61</v>
      </c>
      <c r="S42" s="22">
        <v>41</v>
      </c>
      <c r="T42" s="22">
        <f t="shared" si="8"/>
        <v>20</v>
      </c>
      <c r="U42" s="22">
        <f t="shared" si="9"/>
        <v>1</v>
      </c>
      <c r="V42" s="23">
        <v>39</v>
      </c>
      <c r="W42" s="23">
        <v>31</v>
      </c>
      <c r="X42" s="23">
        <f t="shared" si="10"/>
        <v>8</v>
      </c>
      <c r="Y42" s="23">
        <f t="shared" si="11"/>
        <v>1</v>
      </c>
    </row>
    <row r="43" spans="1:25" x14ac:dyDescent="0.2">
      <c r="A43" s="25" t="s">
        <v>179</v>
      </c>
      <c r="B43" s="22">
        <v>59</v>
      </c>
      <c r="C43" s="22">
        <v>50</v>
      </c>
      <c r="D43" s="22">
        <f t="shared" si="1"/>
        <v>9</v>
      </c>
      <c r="E43" s="22">
        <f t="shared" si="12"/>
        <v>1</v>
      </c>
      <c r="F43" s="23">
        <v>10</v>
      </c>
      <c r="G43" s="23">
        <v>3</v>
      </c>
      <c r="H43" s="23">
        <f t="shared" si="2"/>
        <v>7</v>
      </c>
      <c r="I43" s="23">
        <f t="shared" si="3"/>
        <v>1</v>
      </c>
      <c r="J43" s="22">
        <v>1</v>
      </c>
      <c r="K43" s="22">
        <v>2</v>
      </c>
      <c r="L43" s="22">
        <f t="shared" si="4"/>
        <v>-1</v>
      </c>
      <c r="M43" s="22">
        <f t="shared" si="5"/>
        <v>1</v>
      </c>
      <c r="N43" s="23">
        <v>81</v>
      </c>
      <c r="O43" s="23">
        <v>69</v>
      </c>
      <c r="P43" s="23">
        <f t="shared" si="6"/>
        <v>12</v>
      </c>
      <c r="Q43" s="23">
        <f t="shared" si="7"/>
        <v>1</v>
      </c>
      <c r="R43" s="22">
        <v>59</v>
      </c>
      <c r="S43" s="22">
        <v>44</v>
      </c>
      <c r="T43" s="22">
        <f t="shared" si="8"/>
        <v>15</v>
      </c>
      <c r="U43" s="22">
        <f t="shared" si="9"/>
        <v>1</v>
      </c>
      <c r="V43" s="23">
        <v>63</v>
      </c>
      <c r="W43" s="23">
        <v>33</v>
      </c>
      <c r="X43" s="23">
        <f t="shared" si="10"/>
        <v>30</v>
      </c>
      <c r="Y43" s="23">
        <f t="shared" si="11"/>
        <v>1</v>
      </c>
    </row>
    <row r="44" spans="1:25" x14ac:dyDescent="0.2">
      <c r="A44" s="25" t="s">
        <v>179</v>
      </c>
      <c r="B44" s="22">
        <v>68</v>
      </c>
      <c r="C44" s="22">
        <v>70</v>
      </c>
      <c r="D44" s="22">
        <f t="shared" si="1"/>
        <v>-2</v>
      </c>
      <c r="E44" s="22">
        <f t="shared" si="12"/>
        <v>0</v>
      </c>
      <c r="F44" s="23">
        <v>4</v>
      </c>
      <c r="G44" s="23">
        <v>21</v>
      </c>
      <c r="H44" s="23">
        <f t="shared" si="2"/>
        <v>-17</v>
      </c>
      <c r="I44" s="23">
        <f t="shared" si="3"/>
        <v>0</v>
      </c>
      <c r="J44" s="22">
        <v>1</v>
      </c>
      <c r="K44" s="22">
        <v>4</v>
      </c>
      <c r="L44" s="22">
        <f t="shared" si="4"/>
        <v>-3</v>
      </c>
      <c r="M44" s="22">
        <f t="shared" si="5"/>
        <v>1</v>
      </c>
      <c r="N44" s="23">
        <v>75</v>
      </c>
      <c r="O44" s="23">
        <v>79</v>
      </c>
      <c r="P44" s="23">
        <f t="shared" si="6"/>
        <v>-4</v>
      </c>
      <c r="Q44" s="23">
        <f t="shared" si="7"/>
        <v>0</v>
      </c>
      <c r="R44" s="22">
        <v>74</v>
      </c>
      <c r="S44" s="22">
        <v>29</v>
      </c>
      <c r="T44" s="22">
        <f t="shared" si="8"/>
        <v>45</v>
      </c>
      <c r="U44" s="22">
        <f t="shared" si="9"/>
        <v>1</v>
      </c>
      <c r="V44" s="23">
        <v>33</v>
      </c>
      <c r="W44" s="23">
        <v>50</v>
      </c>
      <c r="X44" s="23">
        <f t="shared" si="10"/>
        <v>-17</v>
      </c>
      <c r="Y44" s="23">
        <f t="shared" si="11"/>
        <v>0</v>
      </c>
    </row>
    <row r="45" spans="1:25" x14ac:dyDescent="0.2">
      <c r="A45" s="19">
        <v>2013</v>
      </c>
      <c r="B45" s="22">
        <v>70</v>
      </c>
      <c r="C45" s="22">
        <v>62</v>
      </c>
      <c r="D45" s="22">
        <f t="shared" si="1"/>
        <v>8</v>
      </c>
      <c r="E45" s="22">
        <f t="shared" si="12"/>
        <v>1</v>
      </c>
      <c r="F45" s="23">
        <v>5</v>
      </c>
      <c r="G45" s="23">
        <v>1</v>
      </c>
      <c r="H45" s="23">
        <f t="shared" si="2"/>
        <v>4</v>
      </c>
      <c r="I45" s="23">
        <f t="shared" si="3"/>
        <v>1</v>
      </c>
      <c r="J45" s="22">
        <v>2</v>
      </c>
      <c r="K45" s="22">
        <v>5</v>
      </c>
      <c r="L45" s="22">
        <f t="shared" si="4"/>
        <v>-3</v>
      </c>
      <c r="M45" s="22">
        <f t="shared" si="5"/>
        <v>1</v>
      </c>
      <c r="N45" s="23">
        <v>70</v>
      </c>
      <c r="O45" s="23">
        <v>58</v>
      </c>
      <c r="P45" s="23">
        <f t="shared" si="6"/>
        <v>12</v>
      </c>
      <c r="Q45" s="23">
        <f t="shared" si="7"/>
        <v>1</v>
      </c>
      <c r="R45" s="22">
        <v>42</v>
      </c>
      <c r="S45" s="22">
        <v>25</v>
      </c>
      <c r="T45" s="22">
        <f t="shared" si="8"/>
        <v>17</v>
      </c>
      <c r="U45" s="22">
        <f t="shared" si="9"/>
        <v>1</v>
      </c>
      <c r="V45" s="23">
        <v>50</v>
      </c>
      <c r="W45" s="23">
        <v>25</v>
      </c>
      <c r="X45" s="23">
        <f t="shared" si="10"/>
        <v>25</v>
      </c>
      <c r="Y45" s="23">
        <f t="shared" si="11"/>
        <v>1</v>
      </c>
    </row>
    <row r="46" spans="1:25" x14ac:dyDescent="0.2">
      <c r="A46" s="25" t="s">
        <v>178</v>
      </c>
      <c r="B46" s="22">
        <v>64</v>
      </c>
      <c r="C46" s="22">
        <v>67</v>
      </c>
      <c r="D46" s="22">
        <f t="shared" si="1"/>
        <v>-3</v>
      </c>
      <c r="E46" s="22">
        <f t="shared" si="12"/>
        <v>0</v>
      </c>
      <c r="F46" s="23">
        <v>6</v>
      </c>
      <c r="G46" s="23">
        <v>5</v>
      </c>
      <c r="H46" s="23">
        <f t="shared" si="2"/>
        <v>1</v>
      </c>
      <c r="I46" s="23">
        <f t="shared" si="3"/>
        <v>1</v>
      </c>
      <c r="J46" s="22">
        <v>3</v>
      </c>
      <c r="K46" s="22">
        <v>2</v>
      </c>
      <c r="L46" s="22">
        <f t="shared" si="4"/>
        <v>1</v>
      </c>
      <c r="M46" s="22">
        <f t="shared" si="5"/>
        <v>0</v>
      </c>
      <c r="N46" s="23">
        <v>72</v>
      </c>
      <c r="O46" s="23">
        <v>64</v>
      </c>
      <c r="P46" s="23">
        <f t="shared" si="6"/>
        <v>8</v>
      </c>
      <c r="Q46" s="23">
        <f t="shared" si="7"/>
        <v>1</v>
      </c>
      <c r="R46" s="22">
        <v>60</v>
      </c>
      <c r="S46" s="22">
        <v>53</v>
      </c>
      <c r="T46" s="22">
        <f t="shared" si="8"/>
        <v>7</v>
      </c>
      <c r="U46" s="22">
        <f t="shared" si="9"/>
        <v>1</v>
      </c>
      <c r="V46" s="23">
        <v>50</v>
      </c>
      <c r="W46" s="23">
        <v>56</v>
      </c>
      <c r="X46" s="23">
        <f t="shared" si="10"/>
        <v>-6</v>
      </c>
      <c r="Y46" s="23">
        <f t="shared" si="11"/>
        <v>0</v>
      </c>
    </row>
    <row r="47" spans="1:25" x14ac:dyDescent="0.2">
      <c r="A47" s="25" t="s">
        <v>178</v>
      </c>
      <c r="B47" s="22">
        <v>60</v>
      </c>
      <c r="C47" s="22">
        <v>58</v>
      </c>
      <c r="D47" s="22">
        <f t="shared" si="1"/>
        <v>2</v>
      </c>
      <c r="E47" s="22">
        <f t="shared" si="12"/>
        <v>1</v>
      </c>
      <c r="F47" s="23">
        <v>3</v>
      </c>
      <c r="G47" s="23">
        <v>6</v>
      </c>
      <c r="H47" s="23">
        <f t="shared" si="2"/>
        <v>-3</v>
      </c>
      <c r="I47" s="23">
        <f t="shared" si="3"/>
        <v>0</v>
      </c>
      <c r="J47" s="22">
        <v>1</v>
      </c>
      <c r="K47" s="22">
        <v>3</v>
      </c>
      <c r="L47" s="22">
        <f t="shared" si="4"/>
        <v>-2</v>
      </c>
      <c r="M47" s="22">
        <f t="shared" si="5"/>
        <v>1</v>
      </c>
      <c r="N47" s="23">
        <v>66</v>
      </c>
      <c r="O47" s="23">
        <v>62</v>
      </c>
      <c r="P47" s="23">
        <f t="shared" si="6"/>
        <v>4</v>
      </c>
      <c r="Q47" s="23">
        <f t="shared" si="7"/>
        <v>1</v>
      </c>
      <c r="R47" s="22">
        <v>66</v>
      </c>
      <c r="S47" s="22">
        <v>40</v>
      </c>
      <c r="T47" s="22">
        <f t="shared" si="8"/>
        <v>26</v>
      </c>
      <c r="U47" s="22">
        <f t="shared" si="9"/>
        <v>1</v>
      </c>
      <c r="V47" s="23">
        <v>35</v>
      </c>
      <c r="W47" s="23">
        <v>40</v>
      </c>
      <c r="X47" s="23">
        <f t="shared" si="10"/>
        <v>-5</v>
      </c>
      <c r="Y47" s="23">
        <f t="shared" si="11"/>
        <v>0</v>
      </c>
    </row>
    <row r="48" spans="1:25" x14ac:dyDescent="0.2">
      <c r="A48" s="25" t="s">
        <v>179</v>
      </c>
      <c r="B48" s="22">
        <v>64</v>
      </c>
      <c r="C48" s="22">
        <v>60</v>
      </c>
      <c r="D48" s="22">
        <f t="shared" si="1"/>
        <v>4</v>
      </c>
      <c r="E48" s="22">
        <f t="shared" si="12"/>
        <v>1</v>
      </c>
      <c r="F48" s="23">
        <v>11</v>
      </c>
      <c r="G48" s="23">
        <v>4</v>
      </c>
      <c r="H48" s="23">
        <f t="shared" si="2"/>
        <v>7</v>
      </c>
      <c r="I48" s="23">
        <f t="shared" si="3"/>
        <v>1</v>
      </c>
      <c r="J48" s="22">
        <v>0</v>
      </c>
      <c r="K48" s="22">
        <v>5</v>
      </c>
      <c r="L48" s="22">
        <f t="shared" si="4"/>
        <v>-5</v>
      </c>
      <c r="M48" s="22">
        <f t="shared" si="5"/>
        <v>1</v>
      </c>
      <c r="N48" s="23">
        <v>82</v>
      </c>
      <c r="O48" s="23">
        <v>66</v>
      </c>
      <c r="P48" s="23">
        <f t="shared" si="6"/>
        <v>16</v>
      </c>
      <c r="Q48" s="23">
        <f t="shared" si="7"/>
        <v>1</v>
      </c>
      <c r="R48" s="22">
        <v>79</v>
      </c>
      <c r="S48" s="22">
        <v>43</v>
      </c>
      <c r="T48" s="22">
        <f t="shared" si="8"/>
        <v>36</v>
      </c>
      <c r="U48" s="22">
        <f t="shared" si="9"/>
        <v>1</v>
      </c>
      <c r="V48" s="23">
        <v>42</v>
      </c>
      <c r="W48" s="23">
        <v>100</v>
      </c>
      <c r="X48" s="23">
        <f t="shared" si="10"/>
        <v>-58</v>
      </c>
      <c r="Y48" s="23">
        <f t="shared" si="11"/>
        <v>0</v>
      </c>
    </row>
    <row r="49" spans="1:25" x14ac:dyDescent="0.2">
      <c r="A49" s="25" t="s">
        <v>179</v>
      </c>
      <c r="B49" s="22">
        <v>75</v>
      </c>
      <c r="C49" s="22">
        <v>60</v>
      </c>
      <c r="D49" s="22">
        <f t="shared" si="1"/>
        <v>15</v>
      </c>
      <c r="E49" s="22">
        <f t="shared" si="12"/>
        <v>1</v>
      </c>
      <c r="F49" s="23">
        <v>5</v>
      </c>
      <c r="G49" s="23">
        <v>3</v>
      </c>
      <c r="H49" s="23">
        <f t="shared" si="2"/>
        <v>2</v>
      </c>
      <c r="I49" s="23">
        <f t="shared" si="3"/>
        <v>1</v>
      </c>
      <c r="J49" s="22">
        <v>0</v>
      </c>
      <c r="K49" s="22">
        <v>4</v>
      </c>
      <c r="L49" s="22">
        <f t="shared" si="4"/>
        <v>-4</v>
      </c>
      <c r="M49" s="22">
        <f t="shared" si="5"/>
        <v>1</v>
      </c>
      <c r="N49" s="23">
        <v>73</v>
      </c>
      <c r="O49" s="23">
        <v>58</v>
      </c>
      <c r="P49" s="23">
        <f t="shared" si="6"/>
        <v>15</v>
      </c>
      <c r="Q49" s="23">
        <f t="shared" si="7"/>
        <v>1</v>
      </c>
      <c r="R49" s="22">
        <v>61</v>
      </c>
      <c r="S49" s="22">
        <v>34</v>
      </c>
      <c r="T49" s="22">
        <f t="shared" si="8"/>
        <v>27</v>
      </c>
      <c r="U49" s="22">
        <f t="shared" si="9"/>
        <v>1</v>
      </c>
      <c r="V49" s="23">
        <v>58</v>
      </c>
      <c r="W49" s="23">
        <v>20</v>
      </c>
      <c r="X49" s="23">
        <f t="shared" si="10"/>
        <v>38</v>
      </c>
      <c r="Y49" s="23">
        <f t="shared" si="11"/>
        <v>1</v>
      </c>
    </row>
    <row r="50" spans="1:25" x14ac:dyDescent="0.2">
      <c r="A50" s="25" t="s">
        <v>179</v>
      </c>
      <c r="B50" s="22">
        <v>47</v>
      </c>
      <c r="C50" s="22">
        <v>59</v>
      </c>
      <c r="D50" s="22">
        <f t="shared" si="1"/>
        <v>-12</v>
      </c>
      <c r="E50" s="22">
        <f t="shared" si="12"/>
        <v>0</v>
      </c>
      <c r="F50" s="23">
        <v>1</v>
      </c>
      <c r="G50" s="23">
        <v>2</v>
      </c>
      <c r="H50" s="23">
        <f t="shared" si="2"/>
        <v>-1</v>
      </c>
      <c r="I50" s="23">
        <f t="shared" si="3"/>
        <v>0</v>
      </c>
      <c r="J50" s="22">
        <v>3</v>
      </c>
      <c r="K50" s="22">
        <v>2</v>
      </c>
      <c r="L50" s="22">
        <f t="shared" si="4"/>
        <v>1</v>
      </c>
      <c r="M50" s="22">
        <f t="shared" si="5"/>
        <v>0</v>
      </c>
      <c r="N50" s="23">
        <v>86</v>
      </c>
      <c r="O50" s="23">
        <v>55</v>
      </c>
      <c r="P50" s="23">
        <f t="shared" si="6"/>
        <v>31</v>
      </c>
      <c r="Q50" s="23">
        <f t="shared" si="7"/>
        <v>1</v>
      </c>
      <c r="R50" s="22">
        <v>67</v>
      </c>
      <c r="S50" s="22">
        <v>32</v>
      </c>
      <c r="T50" s="22">
        <f t="shared" si="8"/>
        <v>35</v>
      </c>
      <c r="U50" s="22">
        <f t="shared" si="9"/>
        <v>1</v>
      </c>
      <c r="V50" s="23">
        <v>58</v>
      </c>
      <c r="W50" s="23">
        <v>0</v>
      </c>
      <c r="X50" s="23">
        <f t="shared" si="10"/>
        <v>58</v>
      </c>
      <c r="Y50" s="23">
        <f t="shared" si="11"/>
        <v>1</v>
      </c>
    </row>
    <row r="51" spans="1:25" x14ac:dyDescent="0.2">
      <c r="A51" s="25" t="s">
        <v>179</v>
      </c>
      <c r="B51" s="22">
        <v>75</v>
      </c>
      <c r="C51" s="22">
        <v>67</v>
      </c>
      <c r="D51" s="22">
        <f t="shared" si="1"/>
        <v>8</v>
      </c>
      <c r="E51" s="22">
        <f t="shared" si="12"/>
        <v>1</v>
      </c>
      <c r="F51" s="23">
        <v>2</v>
      </c>
      <c r="G51" s="23">
        <v>0</v>
      </c>
      <c r="H51" s="23">
        <f t="shared" si="2"/>
        <v>2</v>
      </c>
      <c r="I51" s="23">
        <f t="shared" si="3"/>
        <v>1</v>
      </c>
      <c r="J51" s="22">
        <v>0</v>
      </c>
      <c r="K51" s="22">
        <v>3</v>
      </c>
      <c r="L51" s="22">
        <f t="shared" si="4"/>
        <v>-3</v>
      </c>
      <c r="M51" s="22">
        <f t="shared" si="5"/>
        <v>1</v>
      </c>
      <c r="N51" s="23">
        <v>81</v>
      </c>
      <c r="O51" s="23">
        <v>58</v>
      </c>
      <c r="P51" s="23">
        <f t="shared" si="6"/>
        <v>23</v>
      </c>
      <c r="Q51" s="23">
        <f t="shared" si="7"/>
        <v>1</v>
      </c>
      <c r="R51" s="22">
        <v>53</v>
      </c>
      <c r="S51" s="22">
        <v>42</v>
      </c>
      <c r="T51" s="22">
        <f t="shared" si="8"/>
        <v>11</v>
      </c>
      <c r="U51" s="22">
        <f t="shared" si="9"/>
        <v>1</v>
      </c>
      <c r="V51" s="23">
        <v>43</v>
      </c>
      <c r="W51" s="23">
        <v>67</v>
      </c>
      <c r="X51" s="23">
        <f t="shared" si="10"/>
        <v>-24</v>
      </c>
      <c r="Y51" s="23">
        <f t="shared" si="11"/>
        <v>0</v>
      </c>
    </row>
    <row r="52" spans="1:25" x14ac:dyDescent="0.2">
      <c r="A52" s="19">
        <v>2012</v>
      </c>
      <c r="B52" s="22">
        <v>62</v>
      </c>
      <c r="C52" s="22">
        <v>59</v>
      </c>
      <c r="D52" s="22">
        <f t="shared" si="1"/>
        <v>3</v>
      </c>
      <c r="E52" s="22">
        <f t="shared" si="12"/>
        <v>1</v>
      </c>
      <c r="F52" s="23">
        <v>4</v>
      </c>
      <c r="G52" s="23">
        <v>3</v>
      </c>
      <c r="H52" s="23">
        <f t="shared" si="2"/>
        <v>1</v>
      </c>
      <c r="I52" s="23">
        <f t="shared" si="3"/>
        <v>1</v>
      </c>
      <c r="J52" s="22">
        <v>4</v>
      </c>
      <c r="K52" s="22">
        <v>4</v>
      </c>
      <c r="L52" s="22">
        <f t="shared" si="4"/>
        <v>0</v>
      </c>
      <c r="M52" s="22">
        <f t="shared" si="5"/>
        <v>1</v>
      </c>
      <c r="N52" s="23">
        <v>62</v>
      </c>
      <c r="O52" s="23">
        <v>62</v>
      </c>
      <c r="P52" s="23">
        <f t="shared" si="6"/>
        <v>0</v>
      </c>
      <c r="Q52" s="23">
        <f t="shared" si="7"/>
        <v>1</v>
      </c>
      <c r="R52" s="22">
        <v>53</v>
      </c>
      <c r="S52" s="22">
        <v>44</v>
      </c>
      <c r="T52" s="22">
        <f t="shared" si="8"/>
        <v>9</v>
      </c>
      <c r="U52" s="22">
        <f t="shared" si="9"/>
        <v>1</v>
      </c>
      <c r="V52" s="23">
        <v>53</v>
      </c>
      <c r="W52" s="23">
        <v>70</v>
      </c>
      <c r="X52" s="23">
        <f t="shared" si="10"/>
        <v>-17</v>
      </c>
      <c r="Y52" s="23">
        <f t="shared" si="11"/>
        <v>0</v>
      </c>
    </row>
    <row r="53" spans="1:25" x14ac:dyDescent="0.2">
      <c r="A53" s="25" t="s">
        <v>178</v>
      </c>
      <c r="B53" s="22">
        <v>68</v>
      </c>
      <c r="C53" s="22">
        <v>56</v>
      </c>
      <c r="D53" s="22">
        <f t="shared" si="1"/>
        <v>12</v>
      </c>
      <c r="E53" s="22">
        <f t="shared" si="12"/>
        <v>1</v>
      </c>
      <c r="F53" s="23">
        <v>6</v>
      </c>
      <c r="G53" s="23">
        <v>9</v>
      </c>
      <c r="H53" s="23">
        <f t="shared" si="2"/>
        <v>-3</v>
      </c>
      <c r="I53" s="23">
        <f t="shared" si="3"/>
        <v>0</v>
      </c>
      <c r="J53" s="22">
        <v>2</v>
      </c>
      <c r="K53" s="22">
        <v>3</v>
      </c>
      <c r="L53" s="22">
        <f t="shared" si="4"/>
        <v>-1</v>
      </c>
      <c r="M53" s="22">
        <f t="shared" si="5"/>
        <v>1</v>
      </c>
      <c r="N53" s="23">
        <v>73</v>
      </c>
      <c r="O53" s="23">
        <v>56</v>
      </c>
      <c r="P53" s="23">
        <f t="shared" si="6"/>
        <v>17</v>
      </c>
      <c r="Q53" s="23">
        <f t="shared" si="7"/>
        <v>1</v>
      </c>
      <c r="R53" s="22">
        <v>48</v>
      </c>
      <c r="S53" s="22">
        <v>45</v>
      </c>
      <c r="T53" s="22">
        <f t="shared" si="8"/>
        <v>3</v>
      </c>
      <c r="U53" s="22">
        <f t="shared" si="9"/>
        <v>1</v>
      </c>
      <c r="V53" s="23">
        <v>70</v>
      </c>
      <c r="W53" s="23">
        <v>50</v>
      </c>
      <c r="X53" s="23">
        <f t="shared" si="10"/>
        <v>20</v>
      </c>
      <c r="Y53" s="23">
        <f t="shared" si="11"/>
        <v>1</v>
      </c>
    </row>
    <row r="54" spans="1:25" x14ac:dyDescent="0.2">
      <c r="A54" s="25" t="s">
        <v>178</v>
      </c>
      <c r="B54" s="22">
        <v>60</v>
      </c>
      <c r="C54" s="22">
        <v>56</v>
      </c>
      <c r="D54" s="22">
        <f t="shared" si="1"/>
        <v>4</v>
      </c>
      <c r="E54" s="22">
        <f t="shared" si="12"/>
        <v>1</v>
      </c>
      <c r="F54" s="23">
        <v>2</v>
      </c>
      <c r="G54" s="23">
        <v>1</v>
      </c>
      <c r="H54" s="23">
        <f t="shared" si="2"/>
        <v>1</v>
      </c>
      <c r="I54" s="23">
        <f t="shared" si="3"/>
        <v>1</v>
      </c>
      <c r="J54" s="22">
        <v>1</v>
      </c>
      <c r="K54" s="22">
        <v>3</v>
      </c>
      <c r="L54" s="22">
        <f t="shared" si="4"/>
        <v>-2</v>
      </c>
      <c r="M54" s="22">
        <f t="shared" si="5"/>
        <v>1</v>
      </c>
      <c r="N54" s="23">
        <v>85</v>
      </c>
      <c r="O54" s="23">
        <v>51</v>
      </c>
      <c r="P54" s="23">
        <f t="shared" si="6"/>
        <v>34</v>
      </c>
      <c r="Q54" s="23">
        <f t="shared" si="7"/>
        <v>1</v>
      </c>
      <c r="R54" s="22">
        <v>58</v>
      </c>
      <c r="S54" s="22">
        <v>41</v>
      </c>
      <c r="T54" s="22">
        <f t="shared" si="8"/>
        <v>17</v>
      </c>
      <c r="U54" s="22">
        <f t="shared" si="9"/>
        <v>1</v>
      </c>
      <c r="V54" s="23">
        <v>70</v>
      </c>
      <c r="W54" s="23">
        <v>0</v>
      </c>
      <c r="X54" s="23">
        <f t="shared" si="10"/>
        <v>70</v>
      </c>
      <c r="Y54" s="23">
        <f t="shared" si="11"/>
        <v>1</v>
      </c>
    </row>
    <row r="55" spans="1:25" x14ac:dyDescent="0.2">
      <c r="A55" s="25" t="s">
        <v>179</v>
      </c>
      <c r="B55" s="22">
        <v>67</v>
      </c>
      <c r="C55" s="22">
        <v>68</v>
      </c>
      <c r="D55" s="22">
        <f t="shared" si="1"/>
        <v>-1</v>
      </c>
      <c r="E55" s="22">
        <f t="shared" si="12"/>
        <v>0</v>
      </c>
      <c r="F55" s="23">
        <v>7</v>
      </c>
      <c r="G55" s="23">
        <v>6</v>
      </c>
      <c r="H55" s="23">
        <f t="shared" si="2"/>
        <v>1</v>
      </c>
      <c r="I55" s="23">
        <f t="shared" si="3"/>
        <v>1</v>
      </c>
      <c r="J55" s="22">
        <v>2</v>
      </c>
      <c r="K55" s="22">
        <v>3</v>
      </c>
      <c r="L55" s="22">
        <f t="shared" si="4"/>
        <v>-1</v>
      </c>
      <c r="M55" s="22">
        <f t="shared" si="5"/>
        <v>1</v>
      </c>
      <c r="N55" s="23">
        <v>71</v>
      </c>
      <c r="O55" s="23">
        <v>65</v>
      </c>
      <c r="P55" s="23">
        <f t="shared" si="6"/>
        <v>6</v>
      </c>
      <c r="Q55" s="23">
        <f t="shared" si="7"/>
        <v>1</v>
      </c>
      <c r="R55" s="22">
        <v>53</v>
      </c>
      <c r="S55" s="22">
        <v>42</v>
      </c>
      <c r="T55" s="22">
        <f t="shared" si="8"/>
        <v>11</v>
      </c>
      <c r="U55" s="22">
        <f t="shared" si="9"/>
        <v>1</v>
      </c>
      <c r="V55" s="23">
        <v>46</v>
      </c>
      <c r="W55" s="23">
        <v>36</v>
      </c>
      <c r="X55" s="23">
        <f t="shared" si="10"/>
        <v>10</v>
      </c>
      <c r="Y55" s="23">
        <f t="shared" si="11"/>
        <v>1</v>
      </c>
    </row>
    <row r="56" spans="1:25" x14ac:dyDescent="0.2">
      <c r="A56" s="25" t="s">
        <v>179</v>
      </c>
      <c r="B56" s="22">
        <v>58</v>
      </c>
      <c r="C56" s="22">
        <v>59</v>
      </c>
      <c r="D56" s="22">
        <f t="shared" si="1"/>
        <v>-1</v>
      </c>
      <c r="E56" s="22">
        <f t="shared" si="12"/>
        <v>0</v>
      </c>
      <c r="F56" s="23">
        <v>11</v>
      </c>
      <c r="G56" s="23">
        <v>6</v>
      </c>
      <c r="H56" s="23">
        <f t="shared" si="2"/>
        <v>5</v>
      </c>
      <c r="I56" s="23">
        <f t="shared" si="3"/>
        <v>1</v>
      </c>
      <c r="J56" s="22">
        <v>1</v>
      </c>
      <c r="K56" s="22">
        <v>4</v>
      </c>
      <c r="L56" s="22">
        <f t="shared" si="4"/>
        <v>-3</v>
      </c>
      <c r="M56" s="22">
        <f t="shared" si="5"/>
        <v>1</v>
      </c>
      <c r="N56" s="23">
        <v>69</v>
      </c>
      <c r="O56" s="23">
        <v>74</v>
      </c>
      <c r="P56" s="23">
        <f t="shared" si="6"/>
        <v>-5</v>
      </c>
      <c r="Q56" s="23">
        <f t="shared" si="7"/>
        <v>0</v>
      </c>
      <c r="R56" s="22">
        <v>60</v>
      </c>
      <c r="S56" s="22">
        <v>31</v>
      </c>
      <c r="T56" s="22">
        <f t="shared" si="8"/>
        <v>29</v>
      </c>
      <c r="U56" s="22">
        <f t="shared" si="9"/>
        <v>1</v>
      </c>
      <c r="V56" s="23">
        <v>44</v>
      </c>
      <c r="W56" s="23">
        <v>40</v>
      </c>
      <c r="X56" s="23">
        <f t="shared" si="10"/>
        <v>4</v>
      </c>
      <c r="Y56" s="23">
        <f t="shared" si="11"/>
        <v>1</v>
      </c>
    </row>
    <row r="57" spans="1:25" x14ac:dyDescent="0.2">
      <c r="A57" s="25" t="s">
        <v>179</v>
      </c>
      <c r="B57" s="22">
        <v>64</v>
      </c>
      <c r="C57" s="22">
        <v>53</v>
      </c>
      <c r="D57" s="22">
        <f t="shared" si="1"/>
        <v>11</v>
      </c>
      <c r="E57" s="22">
        <f t="shared" si="12"/>
        <v>1</v>
      </c>
      <c r="F57" s="23">
        <v>3</v>
      </c>
      <c r="G57" s="23">
        <v>3</v>
      </c>
      <c r="H57" s="23">
        <f t="shared" si="2"/>
        <v>0</v>
      </c>
      <c r="I57" s="23">
        <f t="shared" si="3"/>
        <v>1</v>
      </c>
      <c r="J57" s="22">
        <v>5</v>
      </c>
      <c r="K57" s="22">
        <v>1</v>
      </c>
      <c r="L57" s="22">
        <f t="shared" si="4"/>
        <v>4</v>
      </c>
      <c r="M57" s="22">
        <f t="shared" si="5"/>
        <v>0</v>
      </c>
      <c r="N57" s="23">
        <v>68</v>
      </c>
      <c r="O57" s="23">
        <v>60</v>
      </c>
      <c r="P57" s="23">
        <f t="shared" si="6"/>
        <v>8</v>
      </c>
      <c r="Q57" s="23">
        <f t="shared" si="7"/>
        <v>1</v>
      </c>
      <c r="R57" s="22">
        <v>39</v>
      </c>
      <c r="S57" s="22">
        <v>39</v>
      </c>
      <c r="T57" s="22">
        <f t="shared" si="8"/>
        <v>0</v>
      </c>
      <c r="U57" s="22">
        <f t="shared" si="9"/>
        <v>1</v>
      </c>
      <c r="V57" s="23">
        <v>53</v>
      </c>
      <c r="W57" s="23">
        <v>33</v>
      </c>
      <c r="X57" s="23">
        <f t="shared" si="10"/>
        <v>20</v>
      </c>
      <c r="Y57" s="23">
        <f t="shared" si="11"/>
        <v>1</v>
      </c>
    </row>
    <row r="58" spans="1:25" x14ac:dyDescent="0.2">
      <c r="A58" s="25" t="s">
        <v>179</v>
      </c>
      <c r="B58" s="22">
        <v>66</v>
      </c>
      <c r="C58" s="22">
        <v>63</v>
      </c>
      <c r="D58" s="22">
        <f t="shared" si="1"/>
        <v>3</v>
      </c>
      <c r="E58" s="22">
        <f t="shared" si="12"/>
        <v>1</v>
      </c>
      <c r="F58" s="23">
        <v>10</v>
      </c>
      <c r="G58" s="23">
        <v>4</v>
      </c>
      <c r="H58" s="23">
        <f t="shared" si="2"/>
        <v>6</v>
      </c>
      <c r="I58" s="23">
        <f t="shared" si="3"/>
        <v>1</v>
      </c>
      <c r="J58" s="22">
        <v>1</v>
      </c>
      <c r="K58" s="22">
        <v>1</v>
      </c>
      <c r="L58" s="22">
        <f t="shared" si="4"/>
        <v>0</v>
      </c>
      <c r="M58" s="22">
        <f t="shared" si="5"/>
        <v>1</v>
      </c>
      <c r="N58" s="23">
        <v>84</v>
      </c>
      <c r="O58" s="23">
        <v>70</v>
      </c>
      <c r="P58" s="23">
        <f t="shared" si="6"/>
        <v>14</v>
      </c>
      <c r="Q58" s="23">
        <f t="shared" si="7"/>
        <v>1</v>
      </c>
      <c r="R58" s="22">
        <v>50</v>
      </c>
      <c r="S58" s="22">
        <v>45</v>
      </c>
      <c r="T58" s="22">
        <f t="shared" si="8"/>
        <v>5</v>
      </c>
      <c r="U58" s="22">
        <f t="shared" si="9"/>
        <v>1</v>
      </c>
      <c r="V58" s="23">
        <v>50</v>
      </c>
      <c r="W58" s="23">
        <v>0</v>
      </c>
      <c r="X58" s="23">
        <f t="shared" si="10"/>
        <v>50</v>
      </c>
      <c r="Y58" s="23">
        <f t="shared" si="11"/>
        <v>1</v>
      </c>
    </row>
    <row r="59" spans="1:25" x14ac:dyDescent="0.2">
      <c r="A59" s="19" t="s">
        <v>198</v>
      </c>
      <c r="B59" s="22">
        <v>66</v>
      </c>
      <c r="C59" s="22">
        <v>67</v>
      </c>
      <c r="D59" s="22">
        <f t="shared" si="1"/>
        <v>-1</v>
      </c>
      <c r="E59" s="22">
        <f t="shared" si="12"/>
        <v>0</v>
      </c>
      <c r="F59" s="23">
        <v>13</v>
      </c>
      <c r="G59" s="23">
        <v>14</v>
      </c>
      <c r="H59" s="23">
        <f t="shared" si="2"/>
        <v>-1</v>
      </c>
      <c r="I59" s="23">
        <f t="shared" si="3"/>
        <v>0</v>
      </c>
      <c r="J59" s="22">
        <v>1</v>
      </c>
      <c r="K59" s="22">
        <v>3</v>
      </c>
      <c r="L59" s="22">
        <f t="shared" si="4"/>
        <v>-2</v>
      </c>
      <c r="M59" s="22">
        <f t="shared" si="5"/>
        <v>1</v>
      </c>
      <c r="N59" s="23">
        <v>74</v>
      </c>
      <c r="O59" s="23">
        <v>74</v>
      </c>
      <c r="P59" s="23">
        <f t="shared" si="6"/>
        <v>0</v>
      </c>
      <c r="Q59" s="23">
        <f t="shared" si="7"/>
        <v>1</v>
      </c>
      <c r="R59" s="22">
        <v>60</v>
      </c>
      <c r="S59" s="22">
        <v>49</v>
      </c>
      <c r="T59" s="22">
        <f t="shared" si="8"/>
        <v>11</v>
      </c>
      <c r="U59" s="22">
        <f t="shared" si="9"/>
        <v>1</v>
      </c>
      <c r="V59" s="23">
        <v>40</v>
      </c>
      <c r="W59" s="23">
        <v>14</v>
      </c>
      <c r="X59" s="23">
        <f t="shared" si="10"/>
        <v>26</v>
      </c>
      <c r="Y59" s="23">
        <f t="shared" si="11"/>
        <v>1</v>
      </c>
    </row>
    <row r="60" spans="1:25" x14ac:dyDescent="0.2">
      <c r="A60" s="25" t="s">
        <v>178</v>
      </c>
      <c r="B60" s="22">
        <v>76</v>
      </c>
      <c r="C60" s="22">
        <v>51</v>
      </c>
      <c r="D60" s="22">
        <f t="shared" si="1"/>
        <v>25</v>
      </c>
      <c r="E60" s="22">
        <f t="shared" si="12"/>
        <v>1</v>
      </c>
      <c r="F60" s="23">
        <v>12</v>
      </c>
      <c r="G60" s="23">
        <v>6</v>
      </c>
      <c r="H60" s="23">
        <f t="shared" si="2"/>
        <v>6</v>
      </c>
      <c r="I60" s="23">
        <f t="shared" si="3"/>
        <v>1</v>
      </c>
      <c r="J60" s="22">
        <v>2</v>
      </c>
      <c r="K60" s="22">
        <v>6</v>
      </c>
      <c r="L60" s="22">
        <f t="shared" si="4"/>
        <v>-4</v>
      </c>
      <c r="M60" s="22">
        <f t="shared" si="5"/>
        <v>1</v>
      </c>
      <c r="N60" s="23">
        <v>78</v>
      </c>
      <c r="O60" s="23">
        <v>66</v>
      </c>
      <c r="P60" s="23">
        <f t="shared" si="6"/>
        <v>12</v>
      </c>
      <c r="Q60" s="23">
        <f t="shared" si="7"/>
        <v>1</v>
      </c>
      <c r="R60" s="22">
        <v>46</v>
      </c>
      <c r="S60" s="22">
        <v>55</v>
      </c>
      <c r="T60" s="22">
        <f t="shared" si="8"/>
        <v>-9</v>
      </c>
      <c r="U60" s="22">
        <f t="shared" si="9"/>
        <v>0</v>
      </c>
      <c r="V60" s="23">
        <v>38</v>
      </c>
      <c r="W60" s="23">
        <v>25</v>
      </c>
      <c r="X60" s="23">
        <f t="shared" si="10"/>
        <v>13</v>
      </c>
      <c r="Y60" s="23">
        <f t="shared" si="11"/>
        <v>1</v>
      </c>
    </row>
    <row r="61" spans="1:25" x14ac:dyDescent="0.2">
      <c r="A61" s="25" t="s">
        <v>178</v>
      </c>
      <c r="B61" s="22">
        <v>76</v>
      </c>
      <c r="C61" s="22">
        <v>74</v>
      </c>
      <c r="D61" s="22">
        <f t="shared" si="1"/>
        <v>2</v>
      </c>
      <c r="E61" s="22">
        <f t="shared" si="12"/>
        <v>1</v>
      </c>
      <c r="F61" s="23">
        <v>20</v>
      </c>
      <c r="G61" s="23">
        <v>12</v>
      </c>
      <c r="H61" s="23">
        <f t="shared" si="2"/>
        <v>8</v>
      </c>
      <c r="I61" s="23">
        <f t="shared" si="3"/>
        <v>1</v>
      </c>
      <c r="J61" s="22">
        <v>1</v>
      </c>
      <c r="K61" s="22">
        <v>1</v>
      </c>
      <c r="L61" s="22">
        <f t="shared" si="4"/>
        <v>0</v>
      </c>
      <c r="M61" s="22">
        <f t="shared" si="5"/>
        <v>1</v>
      </c>
      <c r="N61" s="23">
        <v>84</v>
      </c>
      <c r="O61" s="23">
        <v>71</v>
      </c>
      <c r="P61" s="23">
        <f t="shared" si="6"/>
        <v>13</v>
      </c>
      <c r="Q61" s="23">
        <f t="shared" si="7"/>
        <v>1</v>
      </c>
      <c r="R61" s="22">
        <v>55</v>
      </c>
      <c r="S61" s="22">
        <v>50</v>
      </c>
      <c r="T61" s="22">
        <f t="shared" si="8"/>
        <v>5</v>
      </c>
      <c r="U61" s="22">
        <f t="shared" si="9"/>
        <v>1</v>
      </c>
      <c r="V61" s="23">
        <v>30</v>
      </c>
      <c r="W61" s="23">
        <v>0</v>
      </c>
      <c r="X61" s="23">
        <f t="shared" si="10"/>
        <v>30</v>
      </c>
      <c r="Y61" s="23">
        <f t="shared" si="11"/>
        <v>1</v>
      </c>
    </row>
    <row r="62" spans="1:25" x14ac:dyDescent="0.2">
      <c r="A62" s="25" t="s">
        <v>179</v>
      </c>
      <c r="B62" s="22">
        <v>72</v>
      </c>
      <c r="C62" s="22">
        <v>55</v>
      </c>
      <c r="D62" s="22">
        <f t="shared" si="1"/>
        <v>17</v>
      </c>
      <c r="E62" s="22">
        <f t="shared" si="12"/>
        <v>1</v>
      </c>
      <c r="F62" s="23">
        <v>4</v>
      </c>
      <c r="G62" s="23">
        <v>8</v>
      </c>
      <c r="H62" s="23">
        <f t="shared" si="2"/>
        <v>-4</v>
      </c>
      <c r="I62" s="23">
        <f t="shared" si="3"/>
        <v>0</v>
      </c>
      <c r="J62" s="22">
        <v>1</v>
      </c>
      <c r="K62" s="22">
        <v>0</v>
      </c>
      <c r="L62" s="22">
        <f t="shared" si="4"/>
        <v>1</v>
      </c>
      <c r="M62" s="22">
        <f t="shared" si="5"/>
        <v>0</v>
      </c>
      <c r="N62" s="23">
        <v>79</v>
      </c>
      <c r="O62" s="23">
        <v>76</v>
      </c>
      <c r="P62" s="23">
        <f t="shared" si="6"/>
        <v>3</v>
      </c>
      <c r="Q62" s="23">
        <f t="shared" si="7"/>
        <v>1</v>
      </c>
      <c r="R62" s="22">
        <v>74</v>
      </c>
      <c r="S62" s="22">
        <v>49</v>
      </c>
      <c r="T62" s="22">
        <f t="shared" si="8"/>
        <v>25</v>
      </c>
      <c r="U62" s="22">
        <f t="shared" si="9"/>
        <v>1</v>
      </c>
      <c r="V62" s="23">
        <v>60</v>
      </c>
      <c r="W62" s="23">
        <v>0</v>
      </c>
      <c r="X62" s="23">
        <f t="shared" si="10"/>
        <v>60</v>
      </c>
      <c r="Y62" s="23">
        <f t="shared" si="11"/>
        <v>1</v>
      </c>
    </row>
    <row r="63" spans="1:25" x14ac:dyDescent="0.2">
      <c r="A63" s="25" t="s">
        <v>179</v>
      </c>
      <c r="B63" s="22">
        <v>67</v>
      </c>
      <c r="C63" s="22">
        <v>61</v>
      </c>
      <c r="D63" s="22">
        <f t="shared" si="1"/>
        <v>6</v>
      </c>
      <c r="E63" s="22">
        <f t="shared" si="12"/>
        <v>1</v>
      </c>
      <c r="F63" s="23">
        <v>6</v>
      </c>
      <c r="G63" s="23">
        <v>22</v>
      </c>
      <c r="H63" s="23">
        <f t="shared" si="2"/>
        <v>-16</v>
      </c>
      <c r="I63" s="23">
        <f t="shared" si="3"/>
        <v>0</v>
      </c>
      <c r="J63" s="22">
        <v>4</v>
      </c>
      <c r="K63" s="22">
        <v>1</v>
      </c>
      <c r="L63" s="22">
        <f t="shared" si="4"/>
        <v>3</v>
      </c>
      <c r="M63" s="22">
        <f t="shared" si="5"/>
        <v>0</v>
      </c>
      <c r="N63" s="23">
        <v>74</v>
      </c>
      <c r="O63" s="23">
        <v>78</v>
      </c>
      <c r="P63" s="23">
        <f t="shared" si="6"/>
        <v>-4</v>
      </c>
      <c r="Q63" s="23">
        <f t="shared" si="7"/>
        <v>0</v>
      </c>
      <c r="R63" s="22">
        <v>66</v>
      </c>
      <c r="S63" s="22">
        <v>55</v>
      </c>
      <c r="T63" s="22">
        <f t="shared" si="8"/>
        <v>11</v>
      </c>
      <c r="U63" s="22">
        <f t="shared" si="9"/>
        <v>1</v>
      </c>
      <c r="V63" s="23">
        <v>56</v>
      </c>
      <c r="W63" s="23">
        <v>44</v>
      </c>
      <c r="X63" s="23">
        <f t="shared" si="10"/>
        <v>12</v>
      </c>
      <c r="Y63" s="23">
        <f t="shared" si="11"/>
        <v>1</v>
      </c>
    </row>
    <row r="64" spans="1:25" x14ac:dyDescent="0.2">
      <c r="A64" s="25" t="s">
        <v>179</v>
      </c>
      <c r="B64" s="22">
        <v>64</v>
      </c>
      <c r="C64" s="22">
        <v>59</v>
      </c>
      <c r="D64" s="22">
        <f t="shared" si="1"/>
        <v>5</v>
      </c>
      <c r="E64" s="22">
        <f t="shared" si="12"/>
        <v>1</v>
      </c>
      <c r="F64" s="23">
        <v>4</v>
      </c>
      <c r="G64" s="23">
        <v>9</v>
      </c>
      <c r="H64" s="23">
        <f t="shared" si="2"/>
        <v>-5</v>
      </c>
      <c r="I64" s="23">
        <f t="shared" si="3"/>
        <v>0</v>
      </c>
      <c r="J64" s="22">
        <v>3</v>
      </c>
      <c r="K64" s="22">
        <v>3</v>
      </c>
      <c r="L64" s="22">
        <f t="shared" si="4"/>
        <v>0</v>
      </c>
      <c r="M64" s="22">
        <f t="shared" si="5"/>
        <v>1</v>
      </c>
      <c r="N64" s="23">
        <v>84</v>
      </c>
      <c r="O64" s="23">
        <v>80</v>
      </c>
      <c r="P64" s="23">
        <f t="shared" si="6"/>
        <v>4</v>
      </c>
      <c r="Q64" s="23">
        <f t="shared" si="7"/>
        <v>1</v>
      </c>
      <c r="R64" s="22">
        <v>56</v>
      </c>
      <c r="S64" s="22">
        <v>47</v>
      </c>
      <c r="T64" s="22">
        <f t="shared" si="8"/>
        <v>9</v>
      </c>
      <c r="U64" s="22">
        <f t="shared" si="9"/>
        <v>1</v>
      </c>
      <c r="V64" s="23">
        <v>38</v>
      </c>
      <c r="W64" s="23">
        <v>0</v>
      </c>
      <c r="X64" s="23">
        <f t="shared" si="10"/>
        <v>38</v>
      </c>
      <c r="Y64" s="23">
        <f t="shared" si="11"/>
        <v>1</v>
      </c>
    </row>
    <row r="65" spans="1:25" x14ac:dyDescent="0.2">
      <c r="A65" s="25" t="s">
        <v>179</v>
      </c>
      <c r="B65" s="22">
        <v>73</v>
      </c>
      <c r="C65" s="22">
        <v>58</v>
      </c>
      <c r="D65" s="22">
        <f t="shared" si="1"/>
        <v>15</v>
      </c>
      <c r="E65" s="22">
        <f t="shared" si="12"/>
        <v>1</v>
      </c>
      <c r="F65" s="23">
        <v>11</v>
      </c>
      <c r="G65" s="23">
        <v>1</v>
      </c>
      <c r="H65" s="23">
        <f t="shared" si="2"/>
        <v>10</v>
      </c>
      <c r="I65" s="23">
        <f t="shared" si="3"/>
        <v>1</v>
      </c>
      <c r="J65" s="22">
        <v>1</v>
      </c>
      <c r="K65" s="22">
        <v>2</v>
      </c>
      <c r="L65" s="22">
        <f t="shared" si="4"/>
        <v>-1</v>
      </c>
      <c r="M65" s="22">
        <f t="shared" si="5"/>
        <v>1</v>
      </c>
      <c r="N65" s="23">
        <v>80</v>
      </c>
      <c r="O65" s="23">
        <v>60</v>
      </c>
      <c r="P65" s="23">
        <f t="shared" si="6"/>
        <v>20</v>
      </c>
      <c r="Q65" s="23">
        <f t="shared" si="7"/>
        <v>1</v>
      </c>
      <c r="R65" s="22">
        <v>60</v>
      </c>
      <c r="S65" s="22">
        <v>54</v>
      </c>
      <c r="T65" s="22">
        <f t="shared" si="8"/>
        <v>6</v>
      </c>
      <c r="U65" s="22">
        <f t="shared" si="9"/>
        <v>1</v>
      </c>
      <c r="V65" s="23">
        <v>63</v>
      </c>
      <c r="W65" s="23">
        <v>100</v>
      </c>
      <c r="X65" s="23">
        <f t="shared" si="10"/>
        <v>-37</v>
      </c>
      <c r="Y65" s="23">
        <f t="shared" si="11"/>
        <v>0</v>
      </c>
    </row>
    <row r="66" spans="1:25" x14ac:dyDescent="0.2">
      <c r="A66" s="19">
        <v>2014</v>
      </c>
      <c r="B66" s="22">
        <v>62</v>
      </c>
      <c r="C66" s="22">
        <v>69</v>
      </c>
      <c r="D66" s="22">
        <f t="shared" si="1"/>
        <v>-7</v>
      </c>
      <c r="E66" s="22">
        <f t="shared" si="12"/>
        <v>0</v>
      </c>
      <c r="F66" s="23">
        <v>13</v>
      </c>
      <c r="G66" s="23">
        <v>29</v>
      </c>
      <c r="H66" s="23">
        <f t="shared" si="2"/>
        <v>-16</v>
      </c>
      <c r="I66" s="23">
        <f t="shared" si="3"/>
        <v>0</v>
      </c>
      <c r="J66" s="22">
        <v>3</v>
      </c>
      <c r="K66" s="22">
        <v>5</v>
      </c>
      <c r="L66" s="22">
        <f t="shared" si="4"/>
        <v>-2</v>
      </c>
      <c r="M66" s="22">
        <f t="shared" si="5"/>
        <v>1</v>
      </c>
      <c r="N66" s="23">
        <v>73</v>
      </c>
      <c r="O66" s="23">
        <v>77</v>
      </c>
      <c r="P66" s="23">
        <f t="shared" si="6"/>
        <v>-4</v>
      </c>
      <c r="Q66" s="23">
        <f t="shared" si="7"/>
        <v>0</v>
      </c>
      <c r="R66" s="22">
        <v>65</v>
      </c>
      <c r="S66" s="22">
        <v>44</v>
      </c>
      <c r="T66" s="22">
        <f t="shared" si="8"/>
        <v>21</v>
      </c>
      <c r="U66" s="22">
        <f t="shared" si="9"/>
        <v>1</v>
      </c>
      <c r="V66" s="23">
        <v>27</v>
      </c>
      <c r="W66" s="23">
        <v>43</v>
      </c>
      <c r="X66" s="23">
        <f t="shared" si="10"/>
        <v>-16</v>
      </c>
      <c r="Y66" s="23">
        <f t="shared" si="11"/>
        <v>0</v>
      </c>
    </row>
    <row r="67" spans="1:25" x14ac:dyDescent="0.2">
      <c r="A67" s="25" t="s">
        <v>178</v>
      </c>
      <c r="B67" s="22">
        <v>70</v>
      </c>
      <c r="C67" s="22">
        <v>63</v>
      </c>
      <c r="D67" s="22">
        <f t="shared" si="1"/>
        <v>7</v>
      </c>
      <c r="E67" s="22">
        <f t="shared" si="12"/>
        <v>1</v>
      </c>
      <c r="F67" s="23">
        <v>17</v>
      </c>
      <c r="G67" s="23">
        <v>15</v>
      </c>
      <c r="H67" s="23">
        <f t="shared" si="2"/>
        <v>2</v>
      </c>
      <c r="I67" s="23">
        <f t="shared" si="3"/>
        <v>1</v>
      </c>
      <c r="J67" s="22">
        <v>2</v>
      </c>
      <c r="K67" s="22">
        <v>8</v>
      </c>
      <c r="L67" s="22">
        <f t="shared" si="4"/>
        <v>-6</v>
      </c>
      <c r="M67" s="22">
        <f t="shared" si="5"/>
        <v>1</v>
      </c>
      <c r="N67" s="23">
        <v>73</v>
      </c>
      <c r="O67" s="23">
        <v>82</v>
      </c>
      <c r="P67" s="23">
        <f t="shared" si="6"/>
        <v>-9</v>
      </c>
      <c r="Q67" s="23">
        <f t="shared" si="7"/>
        <v>0</v>
      </c>
      <c r="R67" s="22">
        <v>56</v>
      </c>
      <c r="S67" s="22">
        <v>45</v>
      </c>
      <c r="T67" s="22">
        <f t="shared" si="8"/>
        <v>11</v>
      </c>
      <c r="U67" s="22">
        <f t="shared" si="9"/>
        <v>1</v>
      </c>
      <c r="V67" s="23">
        <v>50</v>
      </c>
      <c r="W67" s="23">
        <v>27</v>
      </c>
      <c r="X67" s="23">
        <f t="shared" si="10"/>
        <v>23</v>
      </c>
      <c r="Y67" s="23">
        <f t="shared" si="11"/>
        <v>1</v>
      </c>
    </row>
    <row r="68" spans="1:25" x14ac:dyDescent="0.2">
      <c r="A68" s="25" t="s">
        <v>178</v>
      </c>
      <c r="B68" s="22">
        <v>65</v>
      </c>
      <c r="C68" s="22">
        <v>55</v>
      </c>
      <c r="D68" s="22">
        <f t="shared" ref="D68:D114" si="13">B68-C68</f>
        <v>10</v>
      </c>
      <c r="E68" s="22">
        <f t="shared" si="12"/>
        <v>1</v>
      </c>
      <c r="F68" s="23">
        <v>6</v>
      </c>
      <c r="G68" s="23">
        <v>17</v>
      </c>
      <c r="H68" s="23">
        <f t="shared" ref="H68:H114" si="14">F68-G68</f>
        <v>-11</v>
      </c>
      <c r="I68" s="23">
        <f t="shared" ref="I68:I114" si="15">IF(F68&gt;=G68,1,0)</f>
        <v>0</v>
      </c>
      <c r="J68" s="22">
        <v>1</v>
      </c>
      <c r="K68" s="22">
        <v>4</v>
      </c>
      <c r="L68" s="22">
        <f t="shared" ref="L68:L114" si="16">J68-K68</f>
        <v>-3</v>
      </c>
      <c r="M68" s="22">
        <f t="shared" ref="M68:M114" si="17">IF(J68&lt;=K68,1,0)</f>
        <v>1</v>
      </c>
      <c r="N68" s="23">
        <v>81</v>
      </c>
      <c r="O68" s="23">
        <v>80</v>
      </c>
      <c r="P68" s="23">
        <f t="shared" ref="P68:P114" si="18">N68-O68</f>
        <v>1</v>
      </c>
      <c r="Q68" s="23">
        <f t="shared" ref="Q68:Q114" si="19">IF(N68&gt;=O68,1,0)</f>
        <v>1</v>
      </c>
      <c r="R68" s="22">
        <v>68</v>
      </c>
      <c r="S68" s="22">
        <v>50</v>
      </c>
      <c r="T68" s="22">
        <f t="shared" ref="T68:T114" si="20">R68-S68</f>
        <v>18</v>
      </c>
      <c r="U68" s="22">
        <f t="shared" ref="U68:U114" si="21">IF(R68&gt;=S68,1,0)</f>
        <v>1</v>
      </c>
      <c r="V68" s="23">
        <v>43</v>
      </c>
      <c r="W68" s="23">
        <v>0</v>
      </c>
      <c r="X68" s="23">
        <f t="shared" ref="X68:X114" si="22">V68-W68</f>
        <v>43</v>
      </c>
      <c r="Y68" s="23">
        <f t="shared" ref="Y68:Y114" si="23">IF(V68&gt;=W68,1,0)</f>
        <v>1</v>
      </c>
    </row>
    <row r="69" spans="1:25" x14ac:dyDescent="0.2">
      <c r="A69" s="25" t="s">
        <v>179</v>
      </c>
      <c r="B69" s="22">
        <v>70</v>
      </c>
      <c r="C69" s="22">
        <v>56</v>
      </c>
      <c r="D69" s="22">
        <f t="shared" si="13"/>
        <v>14</v>
      </c>
      <c r="E69" s="22">
        <f t="shared" si="12"/>
        <v>1</v>
      </c>
      <c r="F69" s="23">
        <v>10</v>
      </c>
      <c r="G69" s="23">
        <v>10</v>
      </c>
      <c r="H69" s="23">
        <f t="shared" si="14"/>
        <v>0</v>
      </c>
      <c r="I69" s="23">
        <f t="shared" si="15"/>
        <v>1</v>
      </c>
      <c r="J69" s="22">
        <v>3</v>
      </c>
      <c r="K69" s="22">
        <v>6</v>
      </c>
      <c r="L69" s="22">
        <f t="shared" si="16"/>
        <v>-3</v>
      </c>
      <c r="M69" s="22">
        <f t="shared" si="17"/>
        <v>1</v>
      </c>
      <c r="N69" s="23">
        <v>74</v>
      </c>
      <c r="O69" s="23">
        <v>69</v>
      </c>
      <c r="P69" s="23">
        <f t="shared" si="18"/>
        <v>5</v>
      </c>
      <c r="Q69" s="23">
        <f t="shared" si="19"/>
        <v>1</v>
      </c>
      <c r="R69" s="22">
        <v>57</v>
      </c>
      <c r="S69" s="22">
        <v>41</v>
      </c>
      <c r="T69" s="22">
        <f t="shared" si="20"/>
        <v>16</v>
      </c>
      <c r="U69" s="22">
        <f t="shared" si="21"/>
        <v>1</v>
      </c>
      <c r="V69" s="23">
        <v>37</v>
      </c>
      <c r="W69" s="23">
        <v>50</v>
      </c>
      <c r="X69" s="23">
        <f t="shared" si="22"/>
        <v>-13</v>
      </c>
      <c r="Y69" s="23">
        <f t="shared" si="23"/>
        <v>0</v>
      </c>
    </row>
    <row r="70" spans="1:25" x14ac:dyDescent="0.2">
      <c r="A70" s="25" t="s">
        <v>179</v>
      </c>
      <c r="B70" s="22">
        <v>63</v>
      </c>
      <c r="C70" s="22">
        <v>61</v>
      </c>
      <c r="D70" s="22">
        <f t="shared" si="13"/>
        <v>2</v>
      </c>
      <c r="E70" s="22">
        <f t="shared" si="12"/>
        <v>1</v>
      </c>
      <c r="F70" s="23">
        <v>10</v>
      </c>
      <c r="G70" s="23">
        <v>5</v>
      </c>
      <c r="H70" s="23">
        <f t="shared" si="14"/>
        <v>5</v>
      </c>
      <c r="I70" s="23">
        <f t="shared" si="15"/>
        <v>1</v>
      </c>
      <c r="J70" s="22">
        <v>3</v>
      </c>
      <c r="K70" s="22">
        <v>5</v>
      </c>
      <c r="L70" s="22">
        <f t="shared" si="16"/>
        <v>-2</v>
      </c>
      <c r="M70" s="22">
        <f t="shared" si="17"/>
        <v>1</v>
      </c>
      <c r="N70" s="23">
        <v>77</v>
      </c>
      <c r="O70" s="23">
        <v>72</v>
      </c>
      <c r="P70" s="23">
        <f t="shared" si="18"/>
        <v>5</v>
      </c>
      <c r="Q70" s="23">
        <f t="shared" si="19"/>
        <v>1</v>
      </c>
      <c r="R70" s="22">
        <v>59</v>
      </c>
      <c r="S70" s="22">
        <v>31</v>
      </c>
      <c r="T70" s="22">
        <f t="shared" si="20"/>
        <v>28</v>
      </c>
      <c r="U70" s="22">
        <f t="shared" si="21"/>
        <v>1</v>
      </c>
      <c r="V70" s="23">
        <v>56</v>
      </c>
      <c r="W70" s="23">
        <v>50</v>
      </c>
      <c r="X70" s="23">
        <f t="shared" si="22"/>
        <v>6</v>
      </c>
      <c r="Y70" s="23">
        <f t="shared" si="23"/>
        <v>1</v>
      </c>
    </row>
    <row r="71" spans="1:25" x14ac:dyDescent="0.2">
      <c r="A71" s="25" t="s">
        <v>179</v>
      </c>
      <c r="B71" s="22">
        <v>65</v>
      </c>
      <c r="C71" s="22">
        <v>60</v>
      </c>
      <c r="D71" s="22">
        <f t="shared" si="13"/>
        <v>5</v>
      </c>
      <c r="E71" s="22">
        <f t="shared" si="12"/>
        <v>1</v>
      </c>
      <c r="F71" s="23">
        <v>10</v>
      </c>
      <c r="G71" s="23">
        <v>9</v>
      </c>
      <c r="H71" s="23">
        <f t="shared" si="14"/>
        <v>1</v>
      </c>
      <c r="I71" s="23">
        <f t="shared" si="15"/>
        <v>1</v>
      </c>
      <c r="J71" s="22">
        <v>1</v>
      </c>
      <c r="K71" s="22">
        <v>1</v>
      </c>
      <c r="L71" s="22">
        <f t="shared" si="16"/>
        <v>0</v>
      </c>
      <c r="M71" s="22">
        <f t="shared" si="17"/>
        <v>1</v>
      </c>
      <c r="N71" s="23">
        <v>79</v>
      </c>
      <c r="O71" s="23">
        <v>77</v>
      </c>
      <c r="P71" s="23">
        <f t="shared" si="18"/>
        <v>2</v>
      </c>
      <c r="Q71" s="23">
        <f t="shared" si="19"/>
        <v>1</v>
      </c>
      <c r="R71" s="22">
        <v>69</v>
      </c>
      <c r="S71" s="22">
        <v>62</v>
      </c>
      <c r="T71" s="22">
        <f t="shared" si="20"/>
        <v>7</v>
      </c>
      <c r="U71" s="22">
        <f t="shared" si="21"/>
        <v>1</v>
      </c>
      <c r="V71" s="23">
        <v>29</v>
      </c>
      <c r="W71" s="23">
        <v>25</v>
      </c>
      <c r="X71" s="23">
        <f t="shared" si="22"/>
        <v>4</v>
      </c>
      <c r="Y71" s="23">
        <f t="shared" si="23"/>
        <v>1</v>
      </c>
    </row>
    <row r="72" spans="1:25" x14ac:dyDescent="0.2">
      <c r="A72" s="25" t="s">
        <v>179</v>
      </c>
      <c r="B72" s="22">
        <v>70</v>
      </c>
      <c r="C72" s="22">
        <v>72</v>
      </c>
      <c r="D72" s="22">
        <f t="shared" si="13"/>
        <v>-2</v>
      </c>
      <c r="E72" s="22">
        <f t="shared" si="12"/>
        <v>0</v>
      </c>
      <c r="F72" s="23">
        <v>39</v>
      </c>
      <c r="G72" s="23">
        <v>15</v>
      </c>
      <c r="H72" s="23">
        <f t="shared" si="14"/>
        <v>24</v>
      </c>
      <c r="I72" s="23">
        <f t="shared" si="15"/>
        <v>1</v>
      </c>
      <c r="J72" s="22">
        <v>2</v>
      </c>
      <c r="K72" s="22">
        <v>1</v>
      </c>
      <c r="L72" s="22">
        <f t="shared" si="16"/>
        <v>1</v>
      </c>
      <c r="M72" s="22">
        <f t="shared" si="17"/>
        <v>0</v>
      </c>
      <c r="N72" s="23">
        <v>88</v>
      </c>
      <c r="O72" s="23">
        <v>67</v>
      </c>
      <c r="P72" s="23">
        <f t="shared" si="18"/>
        <v>21</v>
      </c>
      <c r="Q72" s="23">
        <f t="shared" si="19"/>
        <v>1</v>
      </c>
      <c r="R72" s="22">
        <v>67</v>
      </c>
      <c r="S72" s="22">
        <v>54</v>
      </c>
      <c r="T72" s="22">
        <f t="shared" si="20"/>
        <v>13</v>
      </c>
      <c r="U72" s="22">
        <f t="shared" si="21"/>
        <v>1</v>
      </c>
      <c r="V72" s="23">
        <v>44</v>
      </c>
      <c r="W72" s="23">
        <v>100</v>
      </c>
      <c r="X72" s="23">
        <f t="shared" si="22"/>
        <v>-56</v>
      </c>
      <c r="Y72" s="23">
        <f t="shared" si="23"/>
        <v>0</v>
      </c>
    </row>
    <row r="73" spans="1:25" x14ac:dyDescent="0.2">
      <c r="A73" s="19">
        <v>2013</v>
      </c>
      <c r="B73" s="22">
        <v>64</v>
      </c>
      <c r="C73" s="22">
        <v>65</v>
      </c>
      <c r="D73" s="22">
        <f t="shared" si="13"/>
        <v>-1</v>
      </c>
      <c r="E73" s="22">
        <f t="shared" si="12"/>
        <v>0</v>
      </c>
      <c r="F73" s="23">
        <v>9</v>
      </c>
      <c r="G73" s="23">
        <v>4</v>
      </c>
      <c r="H73" s="23">
        <f t="shared" si="14"/>
        <v>5</v>
      </c>
      <c r="I73" s="23">
        <f t="shared" si="15"/>
        <v>1</v>
      </c>
      <c r="J73" s="22">
        <v>2</v>
      </c>
      <c r="K73" s="22">
        <v>4</v>
      </c>
      <c r="L73" s="22">
        <f t="shared" si="16"/>
        <v>-2</v>
      </c>
      <c r="M73" s="22">
        <f t="shared" si="17"/>
        <v>1</v>
      </c>
      <c r="N73" s="23">
        <v>72</v>
      </c>
      <c r="O73" s="23">
        <v>59</v>
      </c>
      <c r="P73" s="23">
        <f t="shared" si="18"/>
        <v>13</v>
      </c>
      <c r="Q73" s="23">
        <f t="shared" si="19"/>
        <v>1</v>
      </c>
      <c r="R73" s="22">
        <v>42</v>
      </c>
      <c r="S73" s="22">
        <v>41</v>
      </c>
      <c r="T73" s="22">
        <f t="shared" si="20"/>
        <v>1</v>
      </c>
      <c r="U73" s="22">
        <f t="shared" si="21"/>
        <v>1</v>
      </c>
      <c r="V73" s="23">
        <v>41</v>
      </c>
      <c r="W73" s="23">
        <v>31</v>
      </c>
      <c r="X73" s="23">
        <f t="shared" si="22"/>
        <v>10</v>
      </c>
      <c r="Y73" s="23">
        <f t="shared" si="23"/>
        <v>1</v>
      </c>
    </row>
    <row r="74" spans="1:25" x14ac:dyDescent="0.2">
      <c r="A74" s="25" t="s">
        <v>178</v>
      </c>
      <c r="B74" s="22">
        <v>69</v>
      </c>
      <c r="C74" s="22">
        <v>60</v>
      </c>
      <c r="D74" s="22">
        <f t="shared" si="13"/>
        <v>9</v>
      </c>
      <c r="E74" s="22">
        <f t="shared" si="12"/>
        <v>1</v>
      </c>
      <c r="F74" s="23">
        <v>22</v>
      </c>
      <c r="G74" s="23">
        <v>4</v>
      </c>
      <c r="H74" s="23">
        <f t="shared" si="14"/>
        <v>18</v>
      </c>
      <c r="I74" s="23">
        <f t="shared" si="15"/>
        <v>1</v>
      </c>
      <c r="J74" s="22">
        <v>2</v>
      </c>
      <c r="K74" s="22">
        <v>4</v>
      </c>
      <c r="L74" s="22">
        <f t="shared" si="16"/>
        <v>-2</v>
      </c>
      <c r="M74" s="22">
        <f t="shared" si="17"/>
        <v>1</v>
      </c>
      <c r="N74" s="23">
        <v>83</v>
      </c>
      <c r="O74" s="23">
        <v>72</v>
      </c>
      <c r="P74" s="23">
        <f t="shared" si="18"/>
        <v>11</v>
      </c>
      <c r="Q74" s="23">
        <f t="shared" si="19"/>
        <v>1</v>
      </c>
      <c r="R74" s="22">
        <v>39</v>
      </c>
      <c r="S74" s="22">
        <v>55</v>
      </c>
      <c r="T74" s="22">
        <f t="shared" si="20"/>
        <v>-16</v>
      </c>
      <c r="U74" s="22">
        <f t="shared" si="21"/>
        <v>0</v>
      </c>
      <c r="V74" s="23">
        <v>20</v>
      </c>
      <c r="W74" s="23">
        <v>29</v>
      </c>
      <c r="X74" s="23">
        <f t="shared" si="22"/>
        <v>-9</v>
      </c>
      <c r="Y74" s="23">
        <f t="shared" si="23"/>
        <v>0</v>
      </c>
    </row>
    <row r="75" spans="1:25" x14ac:dyDescent="0.2">
      <c r="A75" s="25" t="s">
        <v>178</v>
      </c>
      <c r="B75" s="22">
        <v>70</v>
      </c>
      <c r="C75" s="22">
        <v>55</v>
      </c>
      <c r="D75" s="22">
        <f t="shared" si="13"/>
        <v>15</v>
      </c>
      <c r="E75" s="22">
        <f t="shared" si="12"/>
        <v>1</v>
      </c>
      <c r="F75" s="23">
        <v>20</v>
      </c>
      <c r="G75" s="23">
        <v>9</v>
      </c>
      <c r="H75" s="23">
        <f t="shared" si="14"/>
        <v>11</v>
      </c>
      <c r="I75" s="23">
        <f t="shared" si="15"/>
        <v>1</v>
      </c>
      <c r="J75" s="22">
        <v>1</v>
      </c>
      <c r="K75" s="22">
        <v>11</v>
      </c>
      <c r="L75" s="22">
        <f t="shared" si="16"/>
        <v>-10</v>
      </c>
      <c r="M75" s="22">
        <f t="shared" si="17"/>
        <v>1</v>
      </c>
      <c r="N75" s="23">
        <v>76</v>
      </c>
      <c r="O75" s="23">
        <v>75</v>
      </c>
      <c r="P75" s="23">
        <f t="shared" si="18"/>
        <v>1</v>
      </c>
      <c r="Q75" s="23">
        <f t="shared" si="19"/>
        <v>1</v>
      </c>
      <c r="R75" s="22">
        <v>71</v>
      </c>
      <c r="S75" s="22">
        <v>47</v>
      </c>
      <c r="T75" s="22">
        <f t="shared" si="20"/>
        <v>24</v>
      </c>
      <c r="U75" s="22">
        <f t="shared" si="21"/>
        <v>1</v>
      </c>
      <c r="V75" s="23">
        <v>38</v>
      </c>
      <c r="W75" s="23">
        <v>14</v>
      </c>
      <c r="X75" s="23">
        <f t="shared" si="22"/>
        <v>24</v>
      </c>
      <c r="Y75" s="23">
        <f t="shared" si="23"/>
        <v>1</v>
      </c>
    </row>
    <row r="76" spans="1:25" x14ac:dyDescent="0.2">
      <c r="A76" s="25" t="s">
        <v>179</v>
      </c>
      <c r="B76" s="22">
        <v>61</v>
      </c>
      <c r="C76" s="22">
        <v>53</v>
      </c>
      <c r="D76" s="22">
        <f t="shared" si="13"/>
        <v>8</v>
      </c>
      <c r="E76" s="22">
        <f t="shared" si="12"/>
        <v>1</v>
      </c>
      <c r="F76" s="23">
        <v>16</v>
      </c>
      <c r="G76" s="23">
        <v>6</v>
      </c>
      <c r="H76" s="23">
        <f t="shared" si="14"/>
        <v>10</v>
      </c>
      <c r="I76" s="23">
        <f t="shared" si="15"/>
        <v>1</v>
      </c>
      <c r="J76" s="22">
        <v>1</v>
      </c>
      <c r="K76" s="22">
        <v>4</v>
      </c>
      <c r="L76" s="22">
        <f t="shared" si="16"/>
        <v>-3</v>
      </c>
      <c r="M76" s="22">
        <f t="shared" si="17"/>
        <v>1</v>
      </c>
      <c r="N76" s="23">
        <v>78</v>
      </c>
      <c r="O76" s="23">
        <v>63</v>
      </c>
      <c r="P76" s="23">
        <f t="shared" si="18"/>
        <v>15</v>
      </c>
      <c r="Q76" s="23">
        <f t="shared" si="19"/>
        <v>1</v>
      </c>
      <c r="R76" s="22">
        <v>60</v>
      </c>
      <c r="S76" s="22">
        <v>57</v>
      </c>
      <c r="T76" s="22">
        <f t="shared" si="20"/>
        <v>3</v>
      </c>
      <c r="U76" s="22">
        <f t="shared" si="21"/>
        <v>1</v>
      </c>
      <c r="V76" s="23">
        <v>40</v>
      </c>
      <c r="W76" s="23">
        <v>100</v>
      </c>
      <c r="X76" s="23">
        <f t="shared" si="22"/>
        <v>-60</v>
      </c>
      <c r="Y76" s="23">
        <f t="shared" si="23"/>
        <v>0</v>
      </c>
    </row>
    <row r="77" spans="1:25" x14ac:dyDescent="0.2">
      <c r="A77" s="25" t="s">
        <v>179</v>
      </c>
      <c r="B77" s="22">
        <v>72</v>
      </c>
      <c r="C77" s="22">
        <v>68</v>
      </c>
      <c r="D77" s="22">
        <f t="shared" si="13"/>
        <v>4</v>
      </c>
      <c r="E77" s="22">
        <f t="shared" si="12"/>
        <v>1</v>
      </c>
      <c r="F77" s="23">
        <v>12</v>
      </c>
      <c r="G77" s="23">
        <v>8</v>
      </c>
      <c r="H77" s="23">
        <f t="shared" si="14"/>
        <v>4</v>
      </c>
      <c r="I77" s="23">
        <f t="shared" si="15"/>
        <v>1</v>
      </c>
      <c r="J77" s="22">
        <v>0</v>
      </c>
      <c r="K77" s="22">
        <v>2</v>
      </c>
      <c r="L77" s="22">
        <f t="shared" si="16"/>
        <v>-2</v>
      </c>
      <c r="M77" s="22">
        <f t="shared" si="17"/>
        <v>1</v>
      </c>
      <c r="N77" s="23">
        <v>87</v>
      </c>
      <c r="O77" s="23">
        <v>64</v>
      </c>
      <c r="P77" s="23">
        <f t="shared" si="18"/>
        <v>23</v>
      </c>
      <c r="Q77" s="23">
        <f t="shared" si="19"/>
        <v>1</v>
      </c>
      <c r="R77" s="22">
        <v>46</v>
      </c>
      <c r="S77" s="22">
        <v>52</v>
      </c>
      <c r="T77" s="22">
        <f t="shared" si="20"/>
        <v>-6</v>
      </c>
      <c r="U77" s="22">
        <f t="shared" si="21"/>
        <v>0</v>
      </c>
      <c r="V77" s="23">
        <v>38</v>
      </c>
      <c r="W77" s="23">
        <v>0</v>
      </c>
      <c r="X77" s="23">
        <f t="shared" si="22"/>
        <v>38</v>
      </c>
      <c r="Y77" s="23">
        <f t="shared" si="23"/>
        <v>1</v>
      </c>
    </row>
    <row r="78" spans="1:25" x14ac:dyDescent="0.2">
      <c r="A78" s="25" t="s">
        <v>179</v>
      </c>
      <c r="B78" s="22">
        <v>68</v>
      </c>
      <c r="C78" s="22">
        <v>57</v>
      </c>
      <c r="D78" s="22">
        <f t="shared" si="13"/>
        <v>11</v>
      </c>
      <c r="E78" s="22">
        <f t="shared" si="12"/>
        <v>1</v>
      </c>
      <c r="F78" s="23">
        <v>30</v>
      </c>
      <c r="G78" s="23">
        <v>9</v>
      </c>
      <c r="H78" s="23">
        <f t="shared" si="14"/>
        <v>21</v>
      </c>
      <c r="I78" s="23">
        <f t="shared" si="15"/>
        <v>1</v>
      </c>
      <c r="J78" s="22">
        <v>9</v>
      </c>
      <c r="K78" s="22">
        <v>3</v>
      </c>
      <c r="L78" s="22">
        <f t="shared" si="16"/>
        <v>6</v>
      </c>
      <c r="M78" s="22">
        <f t="shared" si="17"/>
        <v>0</v>
      </c>
      <c r="N78" s="23">
        <v>90</v>
      </c>
      <c r="O78" s="23">
        <v>77</v>
      </c>
      <c r="P78" s="23">
        <f t="shared" si="18"/>
        <v>13</v>
      </c>
      <c r="Q78" s="23">
        <f t="shared" si="19"/>
        <v>1</v>
      </c>
      <c r="R78" s="22">
        <v>36</v>
      </c>
      <c r="S78" s="22">
        <v>47</v>
      </c>
      <c r="T78" s="22">
        <f t="shared" si="20"/>
        <v>-11</v>
      </c>
      <c r="U78" s="22">
        <f t="shared" si="21"/>
        <v>0</v>
      </c>
      <c r="V78" s="23">
        <v>30</v>
      </c>
      <c r="W78" s="23">
        <v>0</v>
      </c>
      <c r="X78" s="23">
        <f t="shared" si="22"/>
        <v>30</v>
      </c>
      <c r="Y78" s="23">
        <f t="shared" si="23"/>
        <v>1</v>
      </c>
    </row>
    <row r="79" spans="1:25" x14ac:dyDescent="0.2">
      <c r="A79" s="25" t="s">
        <v>179</v>
      </c>
      <c r="B79" s="22">
        <v>69</v>
      </c>
      <c r="C79" s="22">
        <v>59</v>
      </c>
      <c r="D79" s="22">
        <f t="shared" si="13"/>
        <v>10</v>
      </c>
      <c r="E79" s="22">
        <f t="shared" si="12"/>
        <v>1</v>
      </c>
      <c r="F79" s="23">
        <v>14</v>
      </c>
      <c r="G79" s="23">
        <v>11</v>
      </c>
      <c r="H79" s="23">
        <f t="shared" si="14"/>
        <v>3</v>
      </c>
      <c r="I79" s="23">
        <f t="shared" si="15"/>
        <v>1</v>
      </c>
      <c r="J79" s="22">
        <v>3</v>
      </c>
      <c r="K79" s="22">
        <v>9</v>
      </c>
      <c r="L79" s="22">
        <f t="shared" si="16"/>
        <v>-6</v>
      </c>
      <c r="M79" s="22">
        <f t="shared" si="17"/>
        <v>1</v>
      </c>
      <c r="N79" s="23">
        <v>77</v>
      </c>
      <c r="O79" s="23">
        <v>72</v>
      </c>
      <c r="P79" s="23">
        <f t="shared" si="18"/>
        <v>5</v>
      </c>
      <c r="Q79" s="23">
        <f t="shared" si="19"/>
        <v>1</v>
      </c>
      <c r="R79" s="22">
        <v>55</v>
      </c>
      <c r="S79" s="22">
        <v>48</v>
      </c>
      <c r="T79" s="22">
        <f t="shared" si="20"/>
        <v>7</v>
      </c>
      <c r="U79" s="22">
        <f t="shared" si="21"/>
        <v>1</v>
      </c>
      <c r="V79" s="23">
        <v>45</v>
      </c>
      <c r="W79" s="23">
        <v>43</v>
      </c>
      <c r="X79" s="23">
        <f t="shared" si="22"/>
        <v>2</v>
      </c>
      <c r="Y79" s="23">
        <f t="shared" si="23"/>
        <v>1</v>
      </c>
    </row>
    <row r="80" spans="1:25" x14ac:dyDescent="0.2">
      <c r="A80" s="19">
        <v>2012</v>
      </c>
      <c r="B80" s="22">
        <v>69</v>
      </c>
      <c r="C80" s="22">
        <v>56</v>
      </c>
      <c r="D80" s="22">
        <f t="shared" si="13"/>
        <v>13</v>
      </c>
      <c r="E80" s="22">
        <f t="shared" si="12"/>
        <v>1</v>
      </c>
      <c r="F80" s="23">
        <v>12</v>
      </c>
      <c r="G80" s="23">
        <v>16</v>
      </c>
      <c r="H80" s="23">
        <f t="shared" si="14"/>
        <v>-4</v>
      </c>
      <c r="I80" s="23">
        <f t="shared" si="15"/>
        <v>0</v>
      </c>
      <c r="J80" s="22">
        <v>3</v>
      </c>
      <c r="K80" s="22">
        <v>1</v>
      </c>
      <c r="L80" s="22">
        <f t="shared" si="16"/>
        <v>2</v>
      </c>
      <c r="M80" s="22">
        <f t="shared" si="17"/>
        <v>0</v>
      </c>
      <c r="N80" s="23">
        <v>76</v>
      </c>
      <c r="O80" s="23">
        <v>69</v>
      </c>
      <c r="P80" s="23">
        <f t="shared" si="18"/>
        <v>7</v>
      </c>
      <c r="Q80" s="23">
        <f t="shared" si="19"/>
        <v>1</v>
      </c>
      <c r="R80" s="22">
        <v>49</v>
      </c>
      <c r="S80" s="22">
        <v>48</v>
      </c>
      <c r="T80" s="22">
        <f t="shared" si="20"/>
        <v>1</v>
      </c>
      <c r="U80" s="22">
        <f t="shared" si="21"/>
        <v>1</v>
      </c>
      <c r="V80" s="23">
        <v>33</v>
      </c>
      <c r="W80" s="23">
        <v>29</v>
      </c>
      <c r="X80" s="23">
        <f t="shared" si="22"/>
        <v>4</v>
      </c>
      <c r="Y80" s="23">
        <f t="shared" si="23"/>
        <v>1</v>
      </c>
    </row>
    <row r="81" spans="1:25" x14ac:dyDescent="0.2">
      <c r="A81" s="25" t="s">
        <v>178</v>
      </c>
      <c r="B81" s="22">
        <v>64</v>
      </c>
      <c r="C81" s="22">
        <v>63</v>
      </c>
      <c r="D81" s="22">
        <f t="shared" si="13"/>
        <v>1</v>
      </c>
      <c r="E81" s="22">
        <f t="shared" si="12"/>
        <v>1</v>
      </c>
      <c r="F81" s="23">
        <v>12</v>
      </c>
      <c r="G81" s="23">
        <v>9</v>
      </c>
      <c r="H81" s="23">
        <f t="shared" si="14"/>
        <v>3</v>
      </c>
      <c r="I81" s="23">
        <f t="shared" si="15"/>
        <v>1</v>
      </c>
      <c r="J81" s="22">
        <v>0</v>
      </c>
      <c r="K81" s="22">
        <v>2</v>
      </c>
      <c r="L81" s="22">
        <f t="shared" si="16"/>
        <v>-2</v>
      </c>
      <c r="M81" s="22">
        <f t="shared" si="17"/>
        <v>1</v>
      </c>
      <c r="N81" s="23">
        <v>75</v>
      </c>
      <c r="O81" s="23">
        <v>71</v>
      </c>
      <c r="P81" s="23">
        <f t="shared" si="18"/>
        <v>4</v>
      </c>
      <c r="Q81" s="23">
        <f t="shared" si="19"/>
        <v>1</v>
      </c>
      <c r="R81" s="22">
        <v>72</v>
      </c>
      <c r="S81" s="22">
        <v>57</v>
      </c>
      <c r="T81" s="22">
        <f t="shared" si="20"/>
        <v>15</v>
      </c>
      <c r="U81" s="22">
        <f t="shared" si="21"/>
        <v>1</v>
      </c>
      <c r="V81" s="23">
        <v>27</v>
      </c>
      <c r="W81" s="23">
        <v>33</v>
      </c>
      <c r="X81" s="23">
        <f t="shared" si="22"/>
        <v>-6</v>
      </c>
      <c r="Y81" s="23">
        <f t="shared" si="23"/>
        <v>0</v>
      </c>
    </row>
    <row r="82" spans="1:25" x14ac:dyDescent="0.2">
      <c r="A82" s="25" t="s">
        <v>178</v>
      </c>
      <c r="B82" s="22">
        <v>60</v>
      </c>
      <c r="C82" s="22">
        <v>63</v>
      </c>
      <c r="D82" s="22">
        <f t="shared" si="13"/>
        <v>-3</v>
      </c>
      <c r="E82" s="22">
        <f t="shared" si="12"/>
        <v>0</v>
      </c>
      <c r="F82" s="23">
        <v>9</v>
      </c>
      <c r="G82" s="23">
        <v>11</v>
      </c>
      <c r="H82" s="23">
        <f t="shared" si="14"/>
        <v>-2</v>
      </c>
      <c r="I82" s="23">
        <f t="shared" si="15"/>
        <v>0</v>
      </c>
      <c r="J82" s="22">
        <v>2</v>
      </c>
      <c r="K82" s="22">
        <v>2</v>
      </c>
      <c r="L82" s="22">
        <f t="shared" si="16"/>
        <v>0</v>
      </c>
      <c r="M82" s="22">
        <f t="shared" si="17"/>
        <v>1</v>
      </c>
      <c r="N82" s="23">
        <v>75</v>
      </c>
      <c r="O82" s="23">
        <v>75</v>
      </c>
      <c r="P82" s="23">
        <f t="shared" si="18"/>
        <v>0</v>
      </c>
      <c r="Q82" s="23">
        <f t="shared" si="19"/>
        <v>1</v>
      </c>
      <c r="R82" s="22">
        <v>64</v>
      </c>
      <c r="S82" s="22">
        <v>32</v>
      </c>
      <c r="T82" s="22">
        <f t="shared" si="20"/>
        <v>32</v>
      </c>
      <c r="U82" s="22">
        <f t="shared" si="21"/>
        <v>1</v>
      </c>
      <c r="V82" s="23">
        <v>33</v>
      </c>
      <c r="W82" s="23">
        <v>25</v>
      </c>
      <c r="X82" s="23">
        <f t="shared" si="22"/>
        <v>8</v>
      </c>
      <c r="Y82" s="23">
        <f t="shared" si="23"/>
        <v>1</v>
      </c>
    </row>
    <row r="83" spans="1:25" x14ac:dyDescent="0.2">
      <c r="A83" s="25" t="s">
        <v>179</v>
      </c>
      <c r="B83" s="22">
        <v>65</v>
      </c>
      <c r="C83" s="22">
        <v>57</v>
      </c>
      <c r="D83" s="22">
        <f t="shared" si="13"/>
        <v>8</v>
      </c>
      <c r="E83" s="22">
        <f t="shared" si="12"/>
        <v>1</v>
      </c>
      <c r="F83" s="23">
        <v>7</v>
      </c>
      <c r="G83" s="23">
        <v>2</v>
      </c>
      <c r="H83" s="23">
        <f t="shared" si="14"/>
        <v>5</v>
      </c>
      <c r="I83" s="23">
        <f t="shared" si="15"/>
        <v>1</v>
      </c>
      <c r="J83" s="22">
        <v>3</v>
      </c>
      <c r="K83" s="22">
        <v>1</v>
      </c>
      <c r="L83" s="22">
        <f t="shared" si="16"/>
        <v>2</v>
      </c>
      <c r="M83" s="22">
        <f t="shared" si="17"/>
        <v>0</v>
      </c>
      <c r="N83" s="23">
        <v>76</v>
      </c>
      <c r="O83" s="23">
        <v>61</v>
      </c>
      <c r="P83" s="23">
        <f t="shared" si="18"/>
        <v>15</v>
      </c>
      <c r="Q83" s="23">
        <f t="shared" si="19"/>
        <v>1</v>
      </c>
      <c r="R83" s="22">
        <v>59</v>
      </c>
      <c r="S83" s="22">
        <v>45</v>
      </c>
      <c r="T83" s="22">
        <f t="shared" si="20"/>
        <v>14</v>
      </c>
      <c r="U83" s="22">
        <f t="shared" si="21"/>
        <v>1</v>
      </c>
      <c r="V83" s="23">
        <v>56</v>
      </c>
      <c r="W83" s="23">
        <v>13</v>
      </c>
      <c r="X83" s="23">
        <f t="shared" si="22"/>
        <v>43</v>
      </c>
      <c r="Y83" s="23">
        <f t="shared" si="23"/>
        <v>1</v>
      </c>
    </row>
    <row r="84" spans="1:25" x14ac:dyDescent="0.2">
      <c r="A84" s="25" t="s">
        <v>179</v>
      </c>
      <c r="B84" s="22">
        <v>62</v>
      </c>
      <c r="C84" s="22">
        <v>65</v>
      </c>
      <c r="D84" s="22">
        <f t="shared" si="13"/>
        <v>-3</v>
      </c>
      <c r="E84" s="22">
        <f t="shared" si="12"/>
        <v>0</v>
      </c>
      <c r="F84" s="23">
        <v>2</v>
      </c>
      <c r="G84" s="23">
        <v>3</v>
      </c>
      <c r="H84" s="23">
        <f t="shared" si="14"/>
        <v>-1</v>
      </c>
      <c r="I84" s="23">
        <f t="shared" si="15"/>
        <v>0</v>
      </c>
      <c r="J84" s="22">
        <v>0</v>
      </c>
      <c r="K84" s="22">
        <v>2</v>
      </c>
      <c r="L84" s="22">
        <f t="shared" si="16"/>
        <v>-2</v>
      </c>
      <c r="M84" s="22">
        <f t="shared" si="17"/>
        <v>1</v>
      </c>
      <c r="N84" s="23">
        <v>88</v>
      </c>
      <c r="O84" s="23">
        <v>51</v>
      </c>
      <c r="P84" s="23">
        <f t="shared" si="18"/>
        <v>37</v>
      </c>
      <c r="Q84" s="23">
        <f t="shared" si="19"/>
        <v>1</v>
      </c>
      <c r="R84" s="22">
        <v>52</v>
      </c>
      <c r="S84" s="22">
        <v>52</v>
      </c>
      <c r="T84" s="22">
        <f t="shared" si="20"/>
        <v>0</v>
      </c>
      <c r="U84" s="22">
        <f t="shared" si="21"/>
        <v>1</v>
      </c>
      <c r="V84" s="23">
        <v>30</v>
      </c>
      <c r="W84" s="23">
        <v>0</v>
      </c>
      <c r="X84" s="23">
        <f t="shared" si="22"/>
        <v>30</v>
      </c>
      <c r="Y84" s="23">
        <f t="shared" si="23"/>
        <v>1</v>
      </c>
    </row>
    <row r="85" spans="1:25" x14ac:dyDescent="0.2">
      <c r="A85" s="25" t="s">
        <v>179</v>
      </c>
      <c r="B85" s="22">
        <v>61</v>
      </c>
      <c r="C85" s="22">
        <v>68</v>
      </c>
      <c r="D85" s="22">
        <f t="shared" si="13"/>
        <v>-7</v>
      </c>
      <c r="E85" s="22">
        <f t="shared" si="12"/>
        <v>0</v>
      </c>
      <c r="F85" s="23">
        <v>18</v>
      </c>
      <c r="G85" s="23">
        <v>6</v>
      </c>
      <c r="H85" s="23">
        <f t="shared" si="14"/>
        <v>12</v>
      </c>
      <c r="I85" s="23">
        <f t="shared" si="15"/>
        <v>1</v>
      </c>
      <c r="J85" s="22">
        <v>3</v>
      </c>
      <c r="K85" s="22">
        <v>0</v>
      </c>
      <c r="L85" s="22">
        <f t="shared" si="16"/>
        <v>3</v>
      </c>
      <c r="M85" s="22">
        <f t="shared" si="17"/>
        <v>0</v>
      </c>
      <c r="N85" s="23">
        <v>80</v>
      </c>
      <c r="O85" s="23">
        <v>71</v>
      </c>
      <c r="P85" s="23">
        <f t="shared" si="18"/>
        <v>9</v>
      </c>
      <c r="Q85" s="23">
        <f t="shared" si="19"/>
        <v>1</v>
      </c>
      <c r="R85" s="22">
        <v>59</v>
      </c>
      <c r="S85" s="22">
        <v>53</v>
      </c>
      <c r="T85" s="22">
        <f t="shared" si="20"/>
        <v>6</v>
      </c>
      <c r="U85" s="22">
        <f t="shared" si="21"/>
        <v>1</v>
      </c>
      <c r="V85" s="23">
        <v>33</v>
      </c>
      <c r="W85" s="23">
        <v>17</v>
      </c>
      <c r="X85" s="23">
        <f t="shared" si="22"/>
        <v>16</v>
      </c>
      <c r="Y85" s="23">
        <f t="shared" si="23"/>
        <v>1</v>
      </c>
    </row>
    <row r="86" spans="1:25" x14ac:dyDescent="0.2">
      <c r="A86" s="25" t="s">
        <v>179</v>
      </c>
      <c r="B86" s="22">
        <v>63</v>
      </c>
      <c r="C86" s="22">
        <v>63</v>
      </c>
      <c r="D86" s="22">
        <f t="shared" si="13"/>
        <v>0</v>
      </c>
      <c r="E86" s="22">
        <f t="shared" si="12"/>
        <v>1</v>
      </c>
      <c r="F86" s="23">
        <v>17</v>
      </c>
      <c r="G86" s="23">
        <v>10</v>
      </c>
      <c r="H86" s="23">
        <f t="shared" si="14"/>
        <v>7</v>
      </c>
      <c r="I86" s="23">
        <f t="shared" si="15"/>
        <v>1</v>
      </c>
      <c r="J86" s="22">
        <v>0</v>
      </c>
      <c r="K86" s="22">
        <v>4</v>
      </c>
      <c r="L86" s="22">
        <f t="shared" si="16"/>
        <v>-4</v>
      </c>
      <c r="M86" s="22">
        <f t="shared" si="17"/>
        <v>1</v>
      </c>
      <c r="N86" s="23">
        <v>80</v>
      </c>
      <c r="O86" s="23">
        <v>71</v>
      </c>
      <c r="P86" s="23">
        <f t="shared" si="18"/>
        <v>9</v>
      </c>
      <c r="Q86" s="23">
        <f t="shared" si="19"/>
        <v>1</v>
      </c>
      <c r="R86" s="22">
        <v>59</v>
      </c>
      <c r="S86" s="22">
        <v>57</v>
      </c>
      <c r="T86" s="22">
        <f t="shared" si="20"/>
        <v>2</v>
      </c>
      <c r="U86" s="22">
        <f t="shared" si="21"/>
        <v>1</v>
      </c>
      <c r="V86" s="23">
        <v>30</v>
      </c>
      <c r="W86" s="23">
        <v>40</v>
      </c>
      <c r="X86" s="23">
        <f t="shared" si="22"/>
        <v>-10</v>
      </c>
      <c r="Y86" s="23">
        <f t="shared" si="23"/>
        <v>0</v>
      </c>
    </row>
    <row r="87" spans="1:25" x14ac:dyDescent="0.2">
      <c r="A87" s="19" t="s">
        <v>199</v>
      </c>
      <c r="B87" s="22">
        <v>52</v>
      </c>
      <c r="C87" s="22">
        <v>51</v>
      </c>
      <c r="D87" s="22">
        <f t="shared" si="13"/>
        <v>1</v>
      </c>
      <c r="E87" s="22">
        <f t="shared" ref="E87:E114" si="24">IF(B87&gt;=C87,1,0)</f>
        <v>1</v>
      </c>
      <c r="F87" s="23">
        <v>17</v>
      </c>
      <c r="G87" s="23">
        <v>2</v>
      </c>
      <c r="H87" s="23">
        <f t="shared" si="14"/>
        <v>15</v>
      </c>
      <c r="I87" s="23">
        <f t="shared" si="15"/>
        <v>1</v>
      </c>
      <c r="J87" s="22">
        <v>3</v>
      </c>
      <c r="K87" s="22">
        <v>1</v>
      </c>
      <c r="L87" s="22">
        <f t="shared" si="16"/>
        <v>2</v>
      </c>
      <c r="M87" s="22">
        <f t="shared" si="17"/>
        <v>0</v>
      </c>
      <c r="N87" s="23">
        <v>80</v>
      </c>
      <c r="O87" s="23">
        <v>55</v>
      </c>
      <c r="P87" s="23">
        <f t="shared" si="18"/>
        <v>25</v>
      </c>
      <c r="Q87" s="23">
        <f t="shared" si="19"/>
        <v>1</v>
      </c>
      <c r="R87" s="22">
        <v>61</v>
      </c>
      <c r="S87" s="22">
        <v>59</v>
      </c>
      <c r="T87" s="22">
        <f t="shared" si="20"/>
        <v>2</v>
      </c>
      <c r="U87" s="22">
        <f t="shared" si="21"/>
        <v>1</v>
      </c>
      <c r="V87" s="23">
        <v>45</v>
      </c>
      <c r="W87" s="23">
        <v>11</v>
      </c>
      <c r="X87" s="23">
        <f t="shared" si="22"/>
        <v>34</v>
      </c>
      <c r="Y87" s="23">
        <f t="shared" si="23"/>
        <v>1</v>
      </c>
    </row>
    <row r="88" spans="1:25" x14ac:dyDescent="0.2">
      <c r="A88" s="25" t="s">
        <v>178</v>
      </c>
      <c r="B88" s="22">
        <v>58</v>
      </c>
      <c r="C88" s="22">
        <v>59</v>
      </c>
      <c r="D88" s="22">
        <f t="shared" si="13"/>
        <v>-1</v>
      </c>
      <c r="E88" s="22">
        <f t="shared" si="24"/>
        <v>0</v>
      </c>
      <c r="F88" s="23">
        <v>5</v>
      </c>
      <c r="G88" s="23">
        <v>13</v>
      </c>
      <c r="H88" s="23">
        <f t="shared" si="14"/>
        <v>-8</v>
      </c>
      <c r="I88" s="23">
        <f t="shared" si="15"/>
        <v>0</v>
      </c>
      <c r="J88" s="22">
        <v>4</v>
      </c>
      <c r="K88" s="22">
        <v>4</v>
      </c>
      <c r="L88" s="22">
        <f t="shared" si="16"/>
        <v>0</v>
      </c>
      <c r="M88" s="22">
        <f t="shared" si="17"/>
        <v>1</v>
      </c>
      <c r="N88" s="23">
        <v>67</v>
      </c>
      <c r="O88" s="23">
        <v>80</v>
      </c>
      <c r="P88" s="23">
        <f t="shared" si="18"/>
        <v>-13</v>
      </c>
      <c r="Q88" s="23">
        <f t="shared" si="19"/>
        <v>0</v>
      </c>
      <c r="R88" s="22">
        <v>50</v>
      </c>
      <c r="S88" s="22">
        <v>30</v>
      </c>
      <c r="T88" s="22">
        <f t="shared" si="20"/>
        <v>20</v>
      </c>
      <c r="U88" s="22">
        <f t="shared" si="21"/>
        <v>1</v>
      </c>
      <c r="V88" s="23">
        <v>71</v>
      </c>
      <c r="W88" s="23">
        <v>31</v>
      </c>
      <c r="X88" s="23">
        <f t="shared" si="22"/>
        <v>40</v>
      </c>
      <c r="Y88" s="23">
        <f t="shared" si="23"/>
        <v>1</v>
      </c>
    </row>
    <row r="89" spans="1:25" x14ac:dyDescent="0.2">
      <c r="A89" s="25" t="s">
        <v>178</v>
      </c>
      <c r="B89" s="22">
        <v>56</v>
      </c>
      <c r="C89" s="22">
        <v>62</v>
      </c>
      <c r="D89" s="22">
        <f t="shared" si="13"/>
        <v>-6</v>
      </c>
      <c r="E89" s="22">
        <f t="shared" si="24"/>
        <v>0</v>
      </c>
      <c r="F89" s="23">
        <v>13</v>
      </c>
      <c r="G89" s="23">
        <v>12</v>
      </c>
      <c r="H89" s="23">
        <f t="shared" si="14"/>
        <v>1</v>
      </c>
      <c r="I89" s="23">
        <f t="shared" si="15"/>
        <v>1</v>
      </c>
      <c r="J89" s="22">
        <v>1</v>
      </c>
      <c r="K89" s="22">
        <v>1</v>
      </c>
      <c r="L89" s="22">
        <f t="shared" si="16"/>
        <v>0</v>
      </c>
      <c r="M89" s="22">
        <f t="shared" si="17"/>
        <v>1</v>
      </c>
      <c r="N89" s="23">
        <v>87</v>
      </c>
      <c r="O89" s="23">
        <v>71</v>
      </c>
      <c r="P89" s="23">
        <f t="shared" si="18"/>
        <v>16</v>
      </c>
      <c r="Q89" s="23">
        <f t="shared" si="19"/>
        <v>1</v>
      </c>
      <c r="R89" s="22">
        <v>56</v>
      </c>
      <c r="S89" s="22">
        <v>48</v>
      </c>
      <c r="T89" s="22">
        <f t="shared" si="20"/>
        <v>8</v>
      </c>
      <c r="U89" s="22">
        <f t="shared" si="21"/>
        <v>1</v>
      </c>
      <c r="V89" s="23">
        <v>50</v>
      </c>
      <c r="W89" s="23">
        <v>50</v>
      </c>
      <c r="X89" s="23">
        <f t="shared" si="22"/>
        <v>0</v>
      </c>
      <c r="Y89" s="23">
        <f t="shared" si="23"/>
        <v>1</v>
      </c>
    </row>
    <row r="90" spans="1:25" x14ac:dyDescent="0.2">
      <c r="A90" s="25" t="s">
        <v>179</v>
      </c>
      <c r="B90" s="22">
        <v>63</v>
      </c>
      <c r="C90" s="22">
        <v>56</v>
      </c>
      <c r="D90" s="22">
        <f t="shared" si="13"/>
        <v>7</v>
      </c>
      <c r="E90" s="22">
        <f t="shared" si="24"/>
        <v>1</v>
      </c>
      <c r="F90" s="23">
        <v>8</v>
      </c>
      <c r="G90" s="23">
        <v>9</v>
      </c>
      <c r="H90" s="23">
        <f t="shared" si="14"/>
        <v>-1</v>
      </c>
      <c r="I90" s="23">
        <f t="shared" si="15"/>
        <v>0</v>
      </c>
      <c r="J90" s="22">
        <v>3</v>
      </c>
      <c r="K90" s="22">
        <v>4</v>
      </c>
      <c r="L90" s="22">
        <f t="shared" si="16"/>
        <v>-1</v>
      </c>
      <c r="M90" s="22">
        <f t="shared" si="17"/>
        <v>1</v>
      </c>
      <c r="N90" s="23">
        <v>67</v>
      </c>
      <c r="O90" s="23">
        <v>65</v>
      </c>
      <c r="P90" s="23">
        <f t="shared" si="18"/>
        <v>2</v>
      </c>
      <c r="Q90" s="23">
        <f t="shared" si="19"/>
        <v>1</v>
      </c>
      <c r="R90" s="22">
        <v>52</v>
      </c>
      <c r="S90" s="22">
        <v>47</v>
      </c>
      <c r="T90" s="22">
        <f t="shared" si="20"/>
        <v>5</v>
      </c>
      <c r="U90" s="22">
        <f t="shared" si="21"/>
        <v>1</v>
      </c>
      <c r="V90" s="23">
        <v>70</v>
      </c>
      <c r="W90" s="23">
        <v>25</v>
      </c>
      <c r="X90" s="23">
        <f t="shared" si="22"/>
        <v>45</v>
      </c>
      <c r="Y90" s="23">
        <f t="shared" si="23"/>
        <v>1</v>
      </c>
    </row>
    <row r="91" spans="1:25" x14ac:dyDescent="0.2">
      <c r="A91" s="25" t="s">
        <v>179</v>
      </c>
      <c r="B91" s="22">
        <v>57</v>
      </c>
      <c r="C91" s="22">
        <v>63</v>
      </c>
      <c r="D91" s="22">
        <f t="shared" si="13"/>
        <v>-6</v>
      </c>
      <c r="E91" s="22">
        <f t="shared" si="24"/>
        <v>0</v>
      </c>
      <c r="F91" s="23">
        <v>5</v>
      </c>
      <c r="G91" s="23">
        <v>6</v>
      </c>
      <c r="H91" s="23">
        <f t="shared" si="14"/>
        <v>-1</v>
      </c>
      <c r="I91" s="23">
        <f t="shared" si="15"/>
        <v>0</v>
      </c>
      <c r="J91" s="22">
        <v>2</v>
      </c>
      <c r="K91" s="22">
        <v>10</v>
      </c>
      <c r="L91" s="22">
        <f t="shared" si="16"/>
        <v>-8</v>
      </c>
      <c r="M91" s="22">
        <f t="shared" si="17"/>
        <v>1</v>
      </c>
      <c r="N91" s="23">
        <v>76</v>
      </c>
      <c r="O91" s="23">
        <v>65</v>
      </c>
      <c r="P91" s="23">
        <f t="shared" si="18"/>
        <v>11</v>
      </c>
      <c r="Q91" s="23">
        <f t="shared" si="19"/>
        <v>1</v>
      </c>
      <c r="R91" s="22">
        <v>75</v>
      </c>
      <c r="S91" s="22">
        <v>51</v>
      </c>
      <c r="T91" s="22">
        <f t="shared" si="20"/>
        <v>24</v>
      </c>
      <c r="U91" s="22">
        <f t="shared" si="21"/>
        <v>1</v>
      </c>
      <c r="V91" s="23">
        <v>46</v>
      </c>
      <c r="W91" s="23">
        <v>33</v>
      </c>
      <c r="X91" s="23">
        <f t="shared" si="22"/>
        <v>13</v>
      </c>
      <c r="Y91" s="23">
        <f t="shared" si="23"/>
        <v>1</v>
      </c>
    </row>
    <row r="92" spans="1:25" x14ac:dyDescent="0.2">
      <c r="A92" s="25" t="s">
        <v>179</v>
      </c>
      <c r="B92" s="22">
        <v>59</v>
      </c>
      <c r="C92" s="22">
        <v>56</v>
      </c>
      <c r="D92" s="22">
        <f t="shared" si="13"/>
        <v>3</v>
      </c>
      <c r="E92" s="22">
        <f t="shared" si="24"/>
        <v>1</v>
      </c>
      <c r="F92" s="23">
        <v>3</v>
      </c>
      <c r="G92" s="23">
        <v>18</v>
      </c>
      <c r="H92" s="23">
        <f t="shared" si="14"/>
        <v>-15</v>
      </c>
      <c r="I92" s="23">
        <f t="shared" si="15"/>
        <v>0</v>
      </c>
      <c r="J92" s="22">
        <v>5</v>
      </c>
      <c r="K92" s="22">
        <v>8</v>
      </c>
      <c r="L92" s="22">
        <f t="shared" si="16"/>
        <v>-3</v>
      </c>
      <c r="M92" s="22">
        <f t="shared" si="17"/>
        <v>1</v>
      </c>
      <c r="N92" s="23">
        <v>76</v>
      </c>
      <c r="O92" s="23">
        <v>84</v>
      </c>
      <c r="P92" s="23">
        <f t="shared" si="18"/>
        <v>-8</v>
      </c>
      <c r="Q92" s="23">
        <f t="shared" si="19"/>
        <v>0</v>
      </c>
      <c r="R92" s="22">
        <v>53</v>
      </c>
      <c r="S92" s="22">
        <v>51</v>
      </c>
      <c r="T92" s="22">
        <f t="shared" si="20"/>
        <v>2</v>
      </c>
      <c r="U92" s="22">
        <f t="shared" si="21"/>
        <v>1</v>
      </c>
      <c r="V92" s="23">
        <v>30</v>
      </c>
      <c r="W92" s="23">
        <v>20</v>
      </c>
      <c r="X92" s="23">
        <f t="shared" si="22"/>
        <v>10</v>
      </c>
      <c r="Y92" s="23">
        <f t="shared" si="23"/>
        <v>1</v>
      </c>
    </row>
    <row r="93" spans="1:25" x14ac:dyDescent="0.2">
      <c r="A93" s="25" t="s">
        <v>179</v>
      </c>
      <c r="B93" s="22">
        <v>63</v>
      </c>
      <c r="C93" s="22">
        <v>50</v>
      </c>
      <c r="D93" s="22">
        <f t="shared" si="13"/>
        <v>13</v>
      </c>
      <c r="E93" s="22">
        <f t="shared" si="24"/>
        <v>1</v>
      </c>
      <c r="F93" s="23">
        <v>19</v>
      </c>
      <c r="G93" s="23">
        <v>4</v>
      </c>
      <c r="H93" s="23">
        <f t="shared" si="14"/>
        <v>15</v>
      </c>
      <c r="I93" s="23">
        <f t="shared" si="15"/>
        <v>1</v>
      </c>
      <c r="J93" s="22">
        <v>5</v>
      </c>
      <c r="K93" s="22">
        <v>5</v>
      </c>
      <c r="L93" s="22">
        <f t="shared" si="16"/>
        <v>0</v>
      </c>
      <c r="M93" s="22">
        <f t="shared" si="17"/>
        <v>1</v>
      </c>
      <c r="N93" s="23">
        <v>84</v>
      </c>
      <c r="O93" s="23">
        <v>72</v>
      </c>
      <c r="P93" s="23">
        <f t="shared" si="18"/>
        <v>12</v>
      </c>
      <c r="Q93" s="23">
        <f t="shared" si="19"/>
        <v>1</v>
      </c>
      <c r="R93" s="22">
        <v>45</v>
      </c>
      <c r="S93" s="22">
        <v>41</v>
      </c>
      <c r="T93" s="22">
        <f t="shared" si="20"/>
        <v>4</v>
      </c>
      <c r="U93" s="22">
        <f t="shared" si="21"/>
        <v>1</v>
      </c>
      <c r="V93" s="23">
        <v>63</v>
      </c>
      <c r="W93" s="23">
        <v>50</v>
      </c>
      <c r="X93" s="23">
        <f t="shared" si="22"/>
        <v>13</v>
      </c>
      <c r="Y93" s="23">
        <f t="shared" si="23"/>
        <v>1</v>
      </c>
    </row>
    <row r="94" spans="1:25" x14ac:dyDescent="0.2">
      <c r="A94" s="19">
        <v>2013</v>
      </c>
      <c r="B94" s="22">
        <v>64</v>
      </c>
      <c r="C94" s="22">
        <v>68</v>
      </c>
      <c r="D94" s="22">
        <f t="shared" si="13"/>
        <v>-4</v>
      </c>
      <c r="E94" s="22">
        <f t="shared" si="24"/>
        <v>0</v>
      </c>
      <c r="F94" s="23">
        <v>1</v>
      </c>
      <c r="G94" s="23">
        <v>6</v>
      </c>
      <c r="H94" s="23">
        <f t="shared" si="14"/>
        <v>-5</v>
      </c>
      <c r="I94" s="23">
        <f t="shared" si="15"/>
        <v>0</v>
      </c>
      <c r="J94" s="22">
        <v>1</v>
      </c>
      <c r="K94" s="22">
        <v>2</v>
      </c>
      <c r="L94" s="22">
        <f t="shared" si="16"/>
        <v>-1</v>
      </c>
      <c r="M94" s="22">
        <f t="shared" si="17"/>
        <v>1</v>
      </c>
      <c r="N94" s="23">
        <v>65</v>
      </c>
      <c r="O94" s="23">
        <v>58</v>
      </c>
      <c r="P94" s="23">
        <f t="shared" si="18"/>
        <v>7</v>
      </c>
      <c r="Q94" s="23">
        <f t="shared" si="19"/>
        <v>1</v>
      </c>
      <c r="R94" s="22">
        <v>56</v>
      </c>
      <c r="S94" s="22">
        <v>48</v>
      </c>
      <c r="T94" s="22">
        <f t="shared" si="20"/>
        <v>8</v>
      </c>
      <c r="U94" s="22">
        <f t="shared" si="21"/>
        <v>1</v>
      </c>
      <c r="V94" s="23">
        <v>58</v>
      </c>
      <c r="W94" s="23">
        <v>27</v>
      </c>
      <c r="X94" s="23">
        <f t="shared" si="22"/>
        <v>31</v>
      </c>
      <c r="Y94" s="23">
        <f t="shared" si="23"/>
        <v>1</v>
      </c>
    </row>
    <row r="95" spans="1:25" x14ac:dyDescent="0.2">
      <c r="A95" s="25" t="s">
        <v>178</v>
      </c>
      <c r="B95" s="22">
        <v>67</v>
      </c>
      <c r="C95" s="22">
        <v>50</v>
      </c>
      <c r="D95" s="22">
        <f t="shared" si="13"/>
        <v>17</v>
      </c>
      <c r="E95" s="22">
        <f t="shared" si="24"/>
        <v>1</v>
      </c>
      <c r="F95" s="23">
        <v>9</v>
      </c>
      <c r="G95" s="23">
        <v>8</v>
      </c>
      <c r="H95" s="23">
        <f t="shared" si="14"/>
        <v>1</v>
      </c>
      <c r="I95" s="23">
        <f t="shared" si="15"/>
        <v>1</v>
      </c>
      <c r="J95" s="22">
        <v>6</v>
      </c>
      <c r="K95" s="22">
        <v>7</v>
      </c>
      <c r="L95" s="22">
        <f t="shared" si="16"/>
        <v>-1</v>
      </c>
      <c r="M95" s="22">
        <f t="shared" si="17"/>
        <v>1</v>
      </c>
      <c r="N95" s="23">
        <v>69</v>
      </c>
      <c r="O95" s="23">
        <v>71</v>
      </c>
      <c r="P95" s="23">
        <f t="shared" si="18"/>
        <v>-2</v>
      </c>
      <c r="Q95" s="23">
        <f t="shared" si="19"/>
        <v>0</v>
      </c>
      <c r="R95" s="22">
        <v>56</v>
      </c>
      <c r="S95" s="22">
        <v>50</v>
      </c>
      <c r="T95" s="22">
        <f t="shared" si="20"/>
        <v>6</v>
      </c>
      <c r="U95" s="22">
        <f t="shared" si="21"/>
        <v>1</v>
      </c>
      <c r="V95" s="23">
        <v>21</v>
      </c>
      <c r="W95" s="23">
        <v>56</v>
      </c>
      <c r="X95" s="23">
        <f t="shared" si="22"/>
        <v>-35</v>
      </c>
      <c r="Y95" s="23">
        <f t="shared" si="23"/>
        <v>0</v>
      </c>
    </row>
    <row r="96" spans="1:25" x14ac:dyDescent="0.2">
      <c r="A96" s="25" t="s">
        <v>178</v>
      </c>
      <c r="B96" s="22">
        <v>71</v>
      </c>
      <c r="C96" s="22">
        <v>64</v>
      </c>
      <c r="D96" s="22">
        <f t="shared" si="13"/>
        <v>7</v>
      </c>
      <c r="E96" s="22">
        <f t="shared" si="24"/>
        <v>1</v>
      </c>
      <c r="F96" s="23">
        <v>3</v>
      </c>
      <c r="G96" s="23">
        <v>6</v>
      </c>
      <c r="H96" s="23">
        <f t="shared" si="14"/>
        <v>-3</v>
      </c>
      <c r="I96" s="23">
        <f t="shared" si="15"/>
        <v>0</v>
      </c>
      <c r="J96" s="22">
        <v>1</v>
      </c>
      <c r="K96" s="22">
        <v>4</v>
      </c>
      <c r="L96" s="22">
        <f t="shared" si="16"/>
        <v>-3</v>
      </c>
      <c r="M96" s="22">
        <f t="shared" si="17"/>
        <v>1</v>
      </c>
      <c r="N96" s="23">
        <v>76</v>
      </c>
      <c r="O96" s="23">
        <v>71</v>
      </c>
      <c r="P96" s="23">
        <f t="shared" si="18"/>
        <v>5</v>
      </c>
      <c r="Q96" s="23">
        <f t="shared" si="19"/>
        <v>1</v>
      </c>
      <c r="R96" s="22">
        <v>57</v>
      </c>
      <c r="S96" s="22">
        <v>45</v>
      </c>
      <c r="T96" s="22">
        <f t="shared" si="20"/>
        <v>12</v>
      </c>
      <c r="U96" s="22">
        <f t="shared" si="21"/>
        <v>1</v>
      </c>
      <c r="V96" s="23">
        <v>100</v>
      </c>
      <c r="W96" s="23">
        <v>17</v>
      </c>
      <c r="X96" s="23">
        <f t="shared" si="22"/>
        <v>83</v>
      </c>
      <c r="Y96" s="23">
        <f t="shared" si="23"/>
        <v>1</v>
      </c>
    </row>
    <row r="97" spans="1:25" x14ac:dyDescent="0.2">
      <c r="A97" s="25" t="s">
        <v>179</v>
      </c>
      <c r="B97" s="22">
        <v>68</v>
      </c>
      <c r="C97" s="22">
        <v>56</v>
      </c>
      <c r="D97" s="22">
        <f t="shared" si="13"/>
        <v>12</v>
      </c>
      <c r="E97" s="22">
        <f t="shared" si="24"/>
        <v>1</v>
      </c>
      <c r="F97" s="23">
        <v>5</v>
      </c>
      <c r="G97" s="23">
        <v>2</v>
      </c>
      <c r="H97" s="23">
        <f t="shared" si="14"/>
        <v>3</v>
      </c>
      <c r="I97" s="23">
        <f t="shared" si="15"/>
        <v>1</v>
      </c>
      <c r="J97" s="22">
        <v>1</v>
      </c>
      <c r="K97" s="22">
        <v>4</v>
      </c>
      <c r="L97" s="22">
        <f t="shared" si="16"/>
        <v>-3</v>
      </c>
      <c r="M97" s="22">
        <f t="shared" si="17"/>
        <v>1</v>
      </c>
      <c r="N97" s="23">
        <v>70</v>
      </c>
      <c r="O97" s="23">
        <v>53</v>
      </c>
      <c r="P97" s="23">
        <f t="shared" si="18"/>
        <v>17</v>
      </c>
      <c r="Q97" s="23">
        <f t="shared" si="19"/>
        <v>1</v>
      </c>
      <c r="R97" s="22">
        <v>58</v>
      </c>
      <c r="S97" s="22">
        <v>52</v>
      </c>
      <c r="T97" s="22">
        <f t="shared" si="20"/>
        <v>6</v>
      </c>
      <c r="U97" s="22">
        <f t="shared" si="21"/>
        <v>1</v>
      </c>
      <c r="V97" s="23">
        <v>58</v>
      </c>
      <c r="W97" s="23">
        <v>20</v>
      </c>
      <c r="X97" s="23">
        <f t="shared" si="22"/>
        <v>38</v>
      </c>
      <c r="Y97" s="23">
        <f t="shared" si="23"/>
        <v>1</v>
      </c>
    </row>
    <row r="98" spans="1:25" x14ac:dyDescent="0.2">
      <c r="A98" s="25" t="s">
        <v>179</v>
      </c>
      <c r="B98" s="22">
        <v>61</v>
      </c>
      <c r="C98" s="22">
        <v>52</v>
      </c>
      <c r="D98" s="22">
        <f t="shared" si="13"/>
        <v>9</v>
      </c>
      <c r="E98" s="22">
        <f t="shared" si="24"/>
        <v>1</v>
      </c>
      <c r="F98" s="23">
        <v>2</v>
      </c>
      <c r="G98" s="23">
        <v>3</v>
      </c>
      <c r="H98" s="23">
        <f t="shared" si="14"/>
        <v>-1</v>
      </c>
      <c r="I98" s="23">
        <f t="shared" si="15"/>
        <v>0</v>
      </c>
      <c r="J98" s="22">
        <v>0</v>
      </c>
      <c r="K98" s="22">
        <v>4</v>
      </c>
      <c r="L98" s="22">
        <f t="shared" si="16"/>
        <v>-4</v>
      </c>
      <c r="M98" s="22">
        <f t="shared" si="17"/>
        <v>1</v>
      </c>
      <c r="N98" s="23">
        <v>86</v>
      </c>
      <c r="O98" s="23">
        <v>59</v>
      </c>
      <c r="P98" s="23">
        <f t="shared" si="18"/>
        <v>27</v>
      </c>
      <c r="Q98" s="23">
        <f t="shared" si="19"/>
        <v>1</v>
      </c>
      <c r="R98" s="22">
        <v>61</v>
      </c>
      <c r="S98" s="22">
        <v>28</v>
      </c>
      <c r="T98" s="22">
        <f t="shared" si="20"/>
        <v>33</v>
      </c>
      <c r="U98" s="22">
        <f t="shared" si="21"/>
        <v>1</v>
      </c>
      <c r="V98" s="23">
        <v>70</v>
      </c>
      <c r="W98" s="23">
        <v>0</v>
      </c>
      <c r="X98" s="23">
        <f t="shared" si="22"/>
        <v>70</v>
      </c>
      <c r="Y98" s="23">
        <f t="shared" si="23"/>
        <v>1</v>
      </c>
    </row>
    <row r="99" spans="1:25" x14ac:dyDescent="0.2">
      <c r="A99" s="25" t="s">
        <v>179</v>
      </c>
      <c r="B99" s="22">
        <v>55</v>
      </c>
      <c r="C99" s="22">
        <v>63</v>
      </c>
      <c r="D99" s="22">
        <f t="shared" si="13"/>
        <v>-8</v>
      </c>
      <c r="E99" s="22">
        <f t="shared" si="24"/>
        <v>0</v>
      </c>
      <c r="F99" s="23">
        <v>4</v>
      </c>
      <c r="G99" s="23">
        <v>5</v>
      </c>
      <c r="H99" s="23">
        <f t="shared" si="14"/>
        <v>-1</v>
      </c>
      <c r="I99" s="23">
        <f t="shared" si="15"/>
        <v>0</v>
      </c>
      <c r="J99" s="22">
        <v>4</v>
      </c>
      <c r="K99" s="22">
        <v>4</v>
      </c>
      <c r="L99" s="22">
        <f t="shared" si="16"/>
        <v>0</v>
      </c>
      <c r="M99" s="22">
        <f t="shared" si="17"/>
        <v>1</v>
      </c>
      <c r="N99" s="23">
        <v>88</v>
      </c>
      <c r="O99" s="23">
        <v>54</v>
      </c>
      <c r="P99" s="23">
        <f t="shared" si="18"/>
        <v>34</v>
      </c>
      <c r="Q99" s="23">
        <f t="shared" si="19"/>
        <v>1</v>
      </c>
      <c r="R99" s="22">
        <v>59</v>
      </c>
      <c r="S99" s="22">
        <v>55</v>
      </c>
      <c r="T99" s="22">
        <f t="shared" si="20"/>
        <v>4</v>
      </c>
      <c r="U99" s="22">
        <f t="shared" si="21"/>
        <v>1</v>
      </c>
      <c r="V99" s="23">
        <v>36</v>
      </c>
      <c r="W99" s="23">
        <v>0</v>
      </c>
      <c r="X99" s="23">
        <f t="shared" si="22"/>
        <v>36</v>
      </c>
      <c r="Y99" s="23">
        <f t="shared" si="23"/>
        <v>1</v>
      </c>
    </row>
    <row r="100" spans="1:25" x14ac:dyDescent="0.2">
      <c r="A100" s="25" t="s">
        <v>179</v>
      </c>
      <c r="B100" s="22">
        <v>59</v>
      </c>
      <c r="C100" s="22">
        <v>63</v>
      </c>
      <c r="D100" s="22">
        <f t="shared" si="13"/>
        <v>-4</v>
      </c>
      <c r="E100" s="22">
        <f t="shared" si="24"/>
        <v>0</v>
      </c>
      <c r="F100" s="23">
        <v>6</v>
      </c>
      <c r="G100" s="23">
        <v>5</v>
      </c>
      <c r="H100" s="23">
        <f t="shared" si="14"/>
        <v>1</v>
      </c>
      <c r="I100" s="23">
        <f t="shared" si="15"/>
        <v>1</v>
      </c>
      <c r="J100" s="22">
        <v>3</v>
      </c>
      <c r="K100" s="22">
        <v>3</v>
      </c>
      <c r="L100" s="22">
        <f t="shared" si="16"/>
        <v>0</v>
      </c>
      <c r="M100" s="22">
        <f t="shared" si="17"/>
        <v>1</v>
      </c>
      <c r="N100" s="23">
        <v>68</v>
      </c>
      <c r="O100" s="23">
        <v>62</v>
      </c>
      <c r="P100" s="23">
        <f t="shared" si="18"/>
        <v>6</v>
      </c>
      <c r="Q100" s="23">
        <f t="shared" si="19"/>
        <v>1</v>
      </c>
      <c r="R100" s="22">
        <v>53</v>
      </c>
      <c r="S100" s="22">
        <v>58</v>
      </c>
      <c r="T100" s="22">
        <f t="shared" si="20"/>
        <v>-5</v>
      </c>
      <c r="U100" s="22">
        <f t="shared" si="21"/>
        <v>0</v>
      </c>
      <c r="V100" s="23">
        <v>43</v>
      </c>
      <c r="W100" s="23">
        <v>27</v>
      </c>
      <c r="X100" s="23">
        <f t="shared" si="22"/>
        <v>16</v>
      </c>
      <c r="Y100" s="23">
        <f t="shared" si="23"/>
        <v>1</v>
      </c>
    </row>
    <row r="101" spans="1:25" x14ac:dyDescent="0.2">
      <c r="A101" s="19">
        <v>2012</v>
      </c>
      <c r="B101" s="22">
        <v>66</v>
      </c>
      <c r="C101" s="22">
        <v>62</v>
      </c>
      <c r="D101" s="22">
        <f t="shared" si="13"/>
        <v>4</v>
      </c>
      <c r="E101" s="22">
        <f t="shared" si="24"/>
        <v>1</v>
      </c>
      <c r="F101" s="23">
        <v>5</v>
      </c>
      <c r="G101" s="23">
        <v>7</v>
      </c>
      <c r="H101" s="23">
        <f t="shared" si="14"/>
        <v>-2</v>
      </c>
      <c r="I101" s="23">
        <f t="shared" si="15"/>
        <v>0</v>
      </c>
      <c r="J101" s="22">
        <v>4</v>
      </c>
      <c r="K101" s="22">
        <v>5</v>
      </c>
      <c r="L101" s="22">
        <f t="shared" si="16"/>
        <v>-1</v>
      </c>
      <c r="M101" s="22">
        <f t="shared" si="17"/>
        <v>1</v>
      </c>
      <c r="N101" s="23">
        <v>62</v>
      </c>
      <c r="O101" s="23">
        <v>63</v>
      </c>
      <c r="P101" s="23">
        <f t="shared" si="18"/>
        <v>-1</v>
      </c>
      <c r="Q101" s="23">
        <f t="shared" si="19"/>
        <v>0</v>
      </c>
      <c r="R101" s="22">
        <v>48</v>
      </c>
      <c r="S101" s="22">
        <v>42</v>
      </c>
      <c r="T101" s="22">
        <f t="shared" si="20"/>
        <v>6</v>
      </c>
      <c r="U101" s="22">
        <f t="shared" si="21"/>
        <v>1</v>
      </c>
      <c r="V101" s="23">
        <v>47</v>
      </c>
      <c r="W101" s="23">
        <v>50</v>
      </c>
      <c r="X101" s="23">
        <f t="shared" si="22"/>
        <v>-3</v>
      </c>
      <c r="Y101" s="23">
        <f t="shared" si="23"/>
        <v>0</v>
      </c>
    </row>
    <row r="102" spans="1:25" x14ac:dyDescent="0.2">
      <c r="A102" s="25" t="s">
        <v>178</v>
      </c>
      <c r="B102" s="22">
        <v>59</v>
      </c>
      <c r="C102" s="22">
        <v>60</v>
      </c>
      <c r="D102" s="22">
        <f t="shared" si="13"/>
        <v>-1</v>
      </c>
      <c r="E102" s="22">
        <f t="shared" si="24"/>
        <v>0</v>
      </c>
      <c r="F102" s="23">
        <v>7</v>
      </c>
      <c r="G102" s="23">
        <v>1</v>
      </c>
      <c r="H102" s="23">
        <f t="shared" si="14"/>
        <v>6</v>
      </c>
      <c r="I102" s="23">
        <f t="shared" si="15"/>
        <v>1</v>
      </c>
      <c r="J102" s="22">
        <v>1</v>
      </c>
      <c r="K102" s="22">
        <v>3</v>
      </c>
      <c r="L102" s="22">
        <f t="shared" si="16"/>
        <v>-2</v>
      </c>
      <c r="M102" s="22">
        <f t="shared" si="17"/>
        <v>1</v>
      </c>
      <c r="N102" s="23">
        <v>72</v>
      </c>
      <c r="O102" s="23">
        <v>64</v>
      </c>
      <c r="P102" s="23">
        <f t="shared" si="18"/>
        <v>8</v>
      </c>
      <c r="Q102" s="23">
        <f t="shared" si="19"/>
        <v>1</v>
      </c>
      <c r="R102" s="22">
        <v>59</v>
      </c>
      <c r="S102" s="22">
        <v>46</v>
      </c>
      <c r="T102" s="22">
        <f t="shared" si="20"/>
        <v>13</v>
      </c>
      <c r="U102" s="22">
        <f t="shared" si="21"/>
        <v>1</v>
      </c>
      <c r="V102" s="23">
        <v>67</v>
      </c>
      <c r="W102" s="23">
        <v>43</v>
      </c>
      <c r="X102" s="23">
        <f t="shared" si="22"/>
        <v>24</v>
      </c>
      <c r="Y102" s="23">
        <f t="shared" si="23"/>
        <v>1</v>
      </c>
    </row>
    <row r="103" spans="1:25" x14ac:dyDescent="0.2">
      <c r="A103" s="25" t="s">
        <v>178</v>
      </c>
      <c r="B103" s="22">
        <v>74</v>
      </c>
      <c r="C103" s="22">
        <v>62</v>
      </c>
      <c r="D103" s="22">
        <f t="shared" si="13"/>
        <v>12</v>
      </c>
      <c r="E103" s="22">
        <f t="shared" si="24"/>
        <v>1</v>
      </c>
      <c r="F103" s="23">
        <v>5</v>
      </c>
      <c r="G103" s="23">
        <v>7</v>
      </c>
      <c r="H103" s="23">
        <f t="shared" si="14"/>
        <v>-2</v>
      </c>
      <c r="I103" s="23">
        <f t="shared" si="15"/>
        <v>0</v>
      </c>
      <c r="J103" s="22">
        <v>3</v>
      </c>
      <c r="K103" s="22">
        <v>6</v>
      </c>
      <c r="L103" s="22">
        <f t="shared" si="16"/>
        <v>-3</v>
      </c>
      <c r="M103" s="22">
        <f t="shared" si="17"/>
        <v>1</v>
      </c>
      <c r="N103" s="23">
        <v>73</v>
      </c>
      <c r="O103" s="23">
        <v>60</v>
      </c>
      <c r="P103" s="23">
        <f t="shared" si="18"/>
        <v>13</v>
      </c>
      <c r="Q103" s="23">
        <f t="shared" si="19"/>
        <v>1</v>
      </c>
      <c r="R103" s="22">
        <v>57</v>
      </c>
      <c r="S103" s="22">
        <v>48</v>
      </c>
      <c r="T103" s="22">
        <f t="shared" si="20"/>
        <v>9</v>
      </c>
      <c r="U103" s="22">
        <f t="shared" si="21"/>
        <v>1</v>
      </c>
      <c r="V103" s="23">
        <v>32</v>
      </c>
      <c r="W103" s="23">
        <v>50</v>
      </c>
      <c r="X103" s="23">
        <f t="shared" si="22"/>
        <v>-18</v>
      </c>
      <c r="Y103" s="23">
        <f t="shared" si="23"/>
        <v>0</v>
      </c>
    </row>
    <row r="104" spans="1:25" x14ac:dyDescent="0.2">
      <c r="A104" s="25" t="s">
        <v>179</v>
      </c>
      <c r="B104" s="22">
        <v>59</v>
      </c>
      <c r="C104" s="22">
        <v>63</v>
      </c>
      <c r="D104" s="22">
        <f t="shared" si="13"/>
        <v>-4</v>
      </c>
      <c r="E104" s="22">
        <f t="shared" si="24"/>
        <v>0</v>
      </c>
      <c r="F104" s="23">
        <v>14</v>
      </c>
      <c r="G104" s="23">
        <v>7</v>
      </c>
      <c r="H104" s="23">
        <f t="shared" si="14"/>
        <v>7</v>
      </c>
      <c r="I104" s="23">
        <f t="shared" si="15"/>
        <v>1</v>
      </c>
      <c r="J104" s="22">
        <v>3</v>
      </c>
      <c r="K104" s="22">
        <v>3</v>
      </c>
      <c r="L104" s="22">
        <f t="shared" si="16"/>
        <v>0</v>
      </c>
      <c r="M104" s="22">
        <f t="shared" si="17"/>
        <v>1</v>
      </c>
      <c r="N104" s="23">
        <v>80</v>
      </c>
      <c r="O104" s="23">
        <v>71</v>
      </c>
      <c r="P104" s="23">
        <f t="shared" si="18"/>
        <v>9</v>
      </c>
      <c r="Q104" s="23">
        <f t="shared" si="19"/>
        <v>1</v>
      </c>
      <c r="R104" s="22">
        <v>51</v>
      </c>
      <c r="S104" s="22">
        <v>45</v>
      </c>
      <c r="T104" s="22">
        <f t="shared" si="20"/>
        <v>6</v>
      </c>
      <c r="U104" s="22">
        <f t="shared" si="21"/>
        <v>1</v>
      </c>
      <c r="V104" s="23">
        <v>45</v>
      </c>
      <c r="W104" s="23">
        <v>67</v>
      </c>
      <c r="X104" s="23">
        <f t="shared" si="22"/>
        <v>-22</v>
      </c>
      <c r="Y104" s="23">
        <f t="shared" si="23"/>
        <v>0</v>
      </c>
    </row>
    <row r="105" spans="1:25" x14ac:dyDescent="0.2">
      <c r="A105" s="25" t="s">
        <v>179</v>
      </c>
      <c r="B105" s="22">
        <v>57</v>
      </c>
      <c r="C105" s="22">
        <v>66</v>
      </c>
      <c r="D105" s="22">
        <f t="shared" si="13"/>
        <v>-9</v>
      </c>
      <c r="E105" s="22">
        <f t="shared" si="24"/>
        <v>0</v>
      </c>
      <c r="F105" s="23">
        <v>7</v>
      </c>
      <c r="G105" s="23">
        <v>8</v>
      </c>
      <c r="H105" s="23">
        <f t="shared" si="14"/>
        <v>-1</v>
      </c>
      <c r="I105" s="23">
        <f t="shared" si="15"/>
        <v>0</v>
      </c>
      <c r="J105" s="22">
        <v>2</v>
      </c>
      <c r="K105" s="22">
        <v>3</v>
      </c>
      <c r="L105" s="22">
        <f t="shared" si="16"/>
        <v>-1</v>
      </c>
      <c r="M105" s="22">
        <f t="shared" si="17"/>
        <v>1</v>
      </c>
      <c r="N105" s="23">
        <v>84</v>
      </c>
      <c r="O105" s="23">
        <v>65</v>
      </c>
      <c r="P105" s="23">
        <f t="shared" si="18"/>
        <v>19</v>
      </c>
      <c r="Q105" s="23">
        <f t="shared" si="19"/>
        <v>1</v>
      </c>
      <c r="R105" s="22">
        <v>55</v>
      </c>
      <c r="S105" s="22">
        <v>45</v>
      </c>
      <c r="T105" s="22">
        <f t="shared" si="20"/>
        <v>10</v>
      </c>
      <c r="U105" s="22">
        <f t="shared" si="21"/>
        <v>1</v>
      </c>
      <c r="V105" s="23">
        <v>31</v>
      </c>
      <c r="W105" s="23">
        <v>33</v>
      </c>
      <c r="X105" s="23">
        <f t="shared" si="22"/>
        <v>-2</v>
      </c>
      <c r="Y105" s="23">
        <f t="shared" si="23"/>
        <v>0</v>
      </c>
    </row>
    <row r="106" spans="1:25" x14ac:dyDescent="0.2">
      <c r="A106" s="25" t="s">
        <v>179</v>
      </c>
      <c r="B106" s="22">
        <v>55</v>
      </c>
      <c r="C106" s="22">
        <v>53</v>
      </c>
      <c r="D106" s="22">
        <f t="shared" si="13"/>
        <v>2</v>
      </c>
      <c r="E106" s="22">
        <f t="shared" si="24"/>
        <v>1</v>
      </c>
      <c r="F106" s="23">
        <v>11</v>
      </c>
      <c r="G106" s="23">
        <v>2</v>
      </c>
      <c r="H106" s="23">
        <f t="shared" si="14"/>
        <v>9</v>
      </c>
      <c r="I106" s="23">
        <f t="shared" si="15"/>
        <v>1</v>
      </c>
      <c r="J106" s="22">
        <v>4</v>
      </c>
      <c r="K106" s="22">
        <v>6</v>
      </c>
      <c r="L106" s="22">
        <f t="shared" si="16"/>
        <v>-2</v>
      </c>
      <c r="M106" s="22">
        <f t="shared" si="17"/>
        <v>1</v>
      </c>
      <c r="N106" s="23">
        <v>70</v>
      </c>
      <c r="O106" s="23">
        <v>68</v>
      </c>
      <c r="P106" s="23">
        <f t="shared" si="18"/>
        <v>2</v>
      </c>
      <c r="Q106" s="23">
        <f t="shared" si="19"/>
        <v>1</v>
      </c>
      <c r="R106" s="22">
        <v>49</v>
      </c>
      <c r="S106" s="22">
        <v>34</v>
      </c>
      <c r="T106" s="22">
        <f t="shared" si="20"/>
        <v>15</v>
      </c>
      <c r="U106" s="22">
        <f t="shared" si="21"/>
        <v>1</v>
      </c>
      <c r="V106" s="23">
        <v>42</v>
      </c>
      <c r="W106" s="23">
        <v>44</v>
      </c>
      <c r="X106" s="23">
        <f t="shared" si="22"/>
        <v>-2</v>
      </c>
      <c r="Y106" s="23">
        <f t="shared" si="23"/>
        <v>0</v>
      </c>
    </row>
    <row r="107" spans="1:25" x14ac:dyDescent="0.2">
      <c r="A107" s="25" t="s">
        <v>179</v>
      </c>
      <c r="B107" s="22">
        <v>62</v>
      </c>
      <c r="C107" s="22">
        <v>58</v>
      </c>
      <c r="D107" s="22">
        <f t="shared" si="13"/>
        <v>4</v>
      </c>
      <c r="E107" s="22">
        <f t="shared" si="24"/>
        <v>1</v>
      </c>
      <c r="F107" s="23">
        <v>15</v>
      </c>
      <c r="G107" s="23">
        <v>10</v>
      </c>
      <c r="H107" s="23">
        <f t="shared" si="14"/>
        <v>5</v>
      </c>
      <c r="I107" s="23">
        <f t="shared" si="15"/>
        <v>1</v>
      </c>
      <c r="J107" s="22">
        <v>6</v>
      </c>
      <c r="K107" s="22">
        <v>0</v>
      </c>
      <c r="L107" s="22">
        <f t="shared" si="16"/>
        <v>6</v>
      </c>
      <c r="M107" s="22">
        <f t="shared" si="17"/>
        <v>0</v>
      </c>
      <c r="N107" s="23">
        <v>70</v>
      </c>
      <c r="O107" s="23">
        <v>67</v>
      </c>
      <c r="P107" s="23">
        <f t="shared" si="18"/>
        <v>3</v>
      </c>
      <c r="Q107" s="23">
        <f t="shared" si="19"/>
        <v>1</v>
      </c>
      <c r="R107" s="22">
        <v>66</v>
      </c>
      <c r="S107" s="22">
        <v>61</v>
      </c>
      <c r="T107" s="22">
        <f t="shared" si="20"/>
        <v>5</v>
      </c>
      <c r="U107" s="22">
        <f t="shared" si="21"/>
        <v>1</v>
      </c>
      <c r="V107" s="23">
        <v>27</v>
      </c>
      <c r="W107" s="23">
        <v>57</v>
      </c>
      <c r="X107" s="23">
        <f t="shared" si="22"/>
        <v>-30</v>
      </c>
      <c r="Y107" s="23">
        <f t="shared" si="23"/>
        <v>0</v>
      </c>
    </row>
    <row r="108" spans="1:25" x14ac:dyDescent="0.2">
      <c r="A108" s="19">
        <v>2011</v>
      </c>
      <c r="B108" s="22">
        <v>66</v>
      </c>
      <c r="C108" s="22">
        <v>68</v>
      </c>
      <c r="D108" s="22">
        <f t="shared" si="13"/>
        <v>-2</v>
      </c>
      <c r="E108" s="22">
        <f t="shared" si="24"/>
        <v>0</v>
      </c>
      <c r="F108" s="23">
        <v>7</v>
      </c>
      <c r="G108" s="23">
        <v>2</v>
      </c>
      <c r="H108" s="23">
        <f t="shared" si="14"/>
        <v>5</v>
      </c>
      <c r="I108" s="23">
        <f t="shared" si="15"/>
        <v>1</v>
      </c>
      <c r="J108" s="22">
        <v>1</v>
      </c>
      <c r="K108" s="22">
        <v>3</v>
      </c>
      <c r="L108" s="22">
        <f t="shared" si="16"/>
        <v>-2</v>
      </c>
      <c r="M108" s="22">
        <f t="shared" si="17"/>
        <v>1</v>
      </c>
      <c r="N108" s="23">
        <v>65</v>
      </c>
      <c r="O108" s="23">
        <v>52</v>
      </c>
      <c r="P108" s="23">
        <f t="shared" si="18"/>
        <v>13</v>
      </c>
      <c r="Q108" s="23">
        <f t="shared" si="19"/>
        <v>1</v>
      </c>
      <c r="R108" s="22">
        <v>44</v>
      </c>
      <c r="S108" s="22">
        <v>42</v>
      </c>
      <c r="T108" s="22">
        <f t="shared" si="20"/>
        <v>2</v>
      </c>
      <c r="U108" s="22">
        <f t="shared" si="21"/>
        <v>1</v>
      </c>
      <c r="V108" s="23">
        <v>42</v>
      </c>
      <c r="W108" s="23">
        <v>43</v>
      </c>
      <c r="X108" s="23">
        <f t="shared" si="22"/>
        <v>-1</v>
      </c>
      <c r="Y108" s="23">
        <f t="shared" si="23"/>
        <v>0</v>
      </c>
    </row>
    <row r="109" spans="1:25" x14ac:dyDescent="0.2">
      <c r="A109" s="25" t="s">
        <v>178</v>
      </c>
      <c r="B109" s="22">
        <v>59</v>
      </c>
      <c r="C109" s="22">
        <v>61</v>
      </c>
      <c r="D109" s="22">
        <f t="shared" si="13"/>
        <v>-2</v>
      </c>
      <c r="E109" s="22">
        <f t="shared" si="24"/>
        <v>0</v>
      </c>
      <c r="F109" s="23">
        <v>8</v>
      </c>
      <c r="G109" s="23">
        <v>11</v>
      </c>
      <c r="H109" s="23">
        <f t="shared" si="14"/>
        <v>-3</v>
      </c>
      <c r="I109" s="23">
        <f t="shared" si="15"/>
        <v>0</v>
      </c>
      <c r="J109" s="22">
        <v>6</v>
      </c>
      <c r="K109" s="22">
        <v>4</v>
      </c>
      <c r="L109" s="22">
        <f t="shared" si="16"/>
        <v>2</v>
      </c>
      <c r="M109" s="22">
        <f t="shared" si="17"/>
        <v>0</v>
      </c>
      <c r="N109" s="23">
        <v>83</v>
      </c>
      <c r="O109" s="23">
        <v>67</v>
      </c>
      <c r="P109" s="23">
        <f t="shared" si="18"/>
        <v>16</v>
      </c>
      <c r="Q109" s="23">
        <f t="shared" si="19"/>
        <v>1</v>
      </c>
      <c r="R109" s="22">
        <v>55</v>
      </c>
      <c r="S109" s="22">
        <v>56</v>
      </c>
      <c r="T109" s="22">
        <f t="shared" si="20"/>
        <v>-1</v>
      </c>
      <c r="U109" s="22">
        <f t="shared" si="21"/>
        <v>0</v>
      </c>
      <c r="V109" s="23">
        <v>50</v>
      </c>
      <c r="W109" s="23">
        <v>60</v>
      </c>
      <c r="X109" s="23">
        <f t="shared" si="22"/>
        <v>-10</v>
      </c>
      <c r="Y109" s="23">
        <f t="shared" si="23"/>
        <v>0</v>
      </c>
    </row>
    <row r="110" spans="1:25" x14ac:dyDescent="0.2">
      <c r="A110" s="25" t="s">
        <v>178</v>
      </c>
      <c r="B110" s="22">
        <v>67</v>
      </c>
      <c r="C110" s="22">
        <v>54</v>
      </c>
      <c r="D110" s="22">
        <f t="shared" si="13"/>
        <v>13</v>
      </c>
      <c r="E110" s="22">
        <f t="shared" si="24"/>
        <v>1</v>
      </c>
      <c r="F110" s="23">
        <v>3</v>
      </c>
      <c r="G110" s="23">
        <v>8</v>
      </c>
      <c r="H110" s="23">
        <f t="shared" si="14"/>
        <v>-5</v>
      </c>
      <c r="I110" s="23">
        <f t="shared" si="15"/>
        <v>0</v>
      </c>
      <c r="J110" s="22">
        <v>1</v>
      </c>
      <c r="K110" s="22">
        <v>2</v>
      </c>
      <c r="L110" s="22">
        <f t="shared" si="16"/>
        <v>-1</v>
      </c>
      <c r="M110" s="22">
        <f t="shared" si="17"/>
        <v>1</v>
      </c>
      <c r="N110" s="23">
        <v>72</v>
      </c>
      <c r="O110" s="23">
        <v>66</v>
      </c>
      <c r="P110" s="23">
        <f t="shared" si="18"/>
        <v>6</v>
      </c>
      <c r="Q110" s="23">
        <f t="shared" si="19"/>
        <v>1</v>
      </c>
      <c r="R110" s="22">
        <v>57</v>
      </c>
      <c r="S110" s="22">
        <v>46</v>
      </c>
      <c r="T110" s="22">
        <f t="shared" si="20"/>
        <v>11</v>
      </c>
      <c r="U110" s="22">
        <f t="shared" si="21"/>
        <v>1</v>
      </c>
      <c r="V110" s="23">
        <v>33</v>
      </c>
      <c r="W110" s="23">
        <v>20</v>
      </c>
      <c r="X110" s="23">
        <f t="shared" si="22"/>
        <v>13</v>
      </c>
      <c r="Y110" s="23">
        <f t="shared" si="23"/>
        <v>1</v>
      </c>
    </row>
    <row r="111" spans="1:25" x14ac:dyDescent="0.2">
      <c r="A111" s="25" t="s">
        <v>179</v>
      </c>
      <c r="B111" s="22">
        <v>65</v>
      </c>
      <c r="C111" s="22">
        <v>66</v>
      </c>
      <c r="D111" s="22">
        <f t="shared" si="13"/>
        <v>-1</v>
      </c>
      <c r="E111" s="22">
        <f t="shared" si="24"/>
        <v>0</v>
      </c>
      <c r="F111" s="23">
        <v>8</v>
      </c>
      <c r="G111" s="23">
        <v>10</v>
      </c>
      <c r="H111" s="23">
        <f t="shared" si="14"/>
        <v>-2</v>
      </c>
      <c r="I111" s="23">
        <f t="shared" si="15"/>
        <v>0</v>
      </c>
      <c r="J111" s="22">
        <v>2</v>
      </c>
      <c r="K111" s="22">
        <v>5</v>
      </c>
      <c r="L111" s="22">
        <f t="shared" si="16"/>
        <v>-3</v>
      </c>
      <c r="M111" s="22">
        <f t="shared" si="17"/>
        <v>1</v>
      </c>
      <c r="N111" s="23">
        <v>65</v>
      </c>
      <c r="O111" s="23">
        <v>65</v>
      </c>
      <c r="P111" s="23">
        <f t="shared" si="18"/>
        <v>0</v>
      </c>
      <c r="Q111" s="23">
        <f t="shared" si="19"/>
        <v>1</v>
      </c>
      <c r="R111" s="22">
        <v>50</v>
      </c>
      <c r="S111" s="22">
        <v>22</v>
      </c>
      <c r="T111" s="22">
        <f t="shared" si="20"/>
        <v>28</v>
      </c>
      <c r="U111" s="22">
        <f t="shared" si="21"/>
        <v>1</v>
      </c>
      <c r="V111" s="23">
        <v>62</v>
      </c>
      <c r="W111" s="23">
        <v>31</v>
      </c>
      <c r="X111" s="23">
        <f t="shared" si="22"/>
        <v>31</v>
      </c>
      <c r="Y111" s="23">
        <f t="shared" si="23"/>
        <v>1</v>
      </c>
    </row>
    <row r="112" spans="1:25" x14ac:dyDescent="0.2">
      <c r="A112" s="25" t="s">
        <v>179</v>
      </c>
      <c r="B112" s="22">
        <v>67</v>
      </c>
      <c r="C112" s="22">
        <v>59</v>
      </c>
      <c r="D112" s="22">
        <f t="shared" si="13"/>
        <v>8</v>
      </c>
      <c r="E112" s="22">
        <f t="shared" si="24"/>
        <v>1</v>
      </c>
      <c r="F112" s="23">
        <v>6</v>
      </c>
      <c r="G112" s="23">
        <v>8</v>
      </c>
      <c r="H112" s="23">
        <f t="shared" si="14"/>
        <v>-2</v>
      </c>
      <c r="I112" s="23">
        <f t="shared" si="15"/>
        <v>0</v>
      </c>
      <c r="J112" s="22">
        <v>1</v>
      </c>
      <c r="K112" s="22">
        <v>3</v>
      </c>
      <c r="L112" s="22">
        <f t="shared" si="16"/>
        <v>-2</v>
      </c>
      <c r="M112" s="22">
        <f t="shared" si="17"/>
        <v>1</v>
      </c>
      <c r="N112" s="23">
        <v>84</v>
      </c>
      <c r="O112" s="23">
        <v>63</v>
      </c>
      <c r="P112" s="23">
        <f t="shared" si="18"/>
        <v>21</v>
      </c>
      <c r="Q112" s="23">
        <f t="shared" si="19"/>
        <v>1</v>
      </c>
      <c r="R112" s="22">
        <v>55</v>
      </c>
      <c r="S112" s="22">
        <v>32</v>
      </c>
      <c r="T112" s="22">
        <f t="shared" si="20"/>
        <v>23</v>
      </c>
      <c r="U112" s="22">
        <f t="shared" si="21"/>
        <v>1</v>
      </c>
      <c r="V112" s="23">
        <v>86</v>
      </c>
      <c r="W112" s="23">
        <v>0</v>
      </c>
      <c r="X112" s="23">
        <f t="shared" si="22"/>
        <v>86</v>
      </c>
      <c r="Y112" s="23">
        <f t="shared" si="23"/>
        <v>1</v>
      </c>
    </row>
    <row r="113" spans="1:25" x14ac:dyDescent="0.2">
      <c r="A113" s="25" t="s">
        <v>179</v>
      </c>
      <c r="B113" s="22">
        <v>72</v>
      </c>
      <c r="C113" s="22">
        <v>53</v>
      </c>
      <c r="D113" s="22">
        <f t="shared" si="13"/>
        <v>19</v>
      </c>
      <c r="E113" s="22">
        <f t="shared" si="24"/>
        <v>1</v>
      </c>
      <c r="F113" s="23">
        <v>5</v>
      </c>
      <c r="G113" s="23">
        <v>5</v>
      </c>
      <c r="H113" s="23">
        <f t="shared" si="14"/>
        <v>0</v>
      </c>
      <c r="I113" s="23">
        <f t="shared" si="15"/>
        <v>1</v>
      </c>
      <c r="J113" s="22">
        <v>2</v>
      </c>
      <c r="K113" s="22">
        <v>3</v>
      </c>
      <c r="L113" s="22">
        <f t="shared" si="16"/>
        <v>-1</v>
      </c>
      <c r="M113" s="22">
        <f t="shared" si="17"/>
        <v>1</v>
      </c>
      <c r="N113" s="23">
        <v>77</v>
      </c>
      <c r="O113" s="23">
        <v>69</v>
      </c>
      <c r="P113" s="23">
        <f t="shared" si="18"/>
        <v>8</v>
      </c>
      <c r="Q113" s="23">
        <f t="shared" si="19"/>
        <v>1</v>
      </c>
      <c r="R113" s="22">
        <v>42</v>
      </c>
      <c r="S113" s="22">
        <v>40</v>
      </c>
      <c r="T113" s="22">
        <f t="shared" si="20"/>
        <v>2</v>
      </c>
      <c r="U113" s="22">
        <f t="shared" si="21"/>
        <v>1</v>
      </c>
      <c r="V113" s="23">
        <v>46</v>
      </c>
      <c r="W113" s="23">
        <v>67</v>
      </c>
      <c r="X113" s="23">
        <f t="shared" si="22"/>
        <v>-21</v>
      </c>
      <c r="Y113" s="23">
        <f t="shared" si="23"/>
        <v>0</v>
      </c>
    </row>
    <row r="114" spans="1:25" x14ac:dyDescent="0.2">
      <c r="A114" s="25" t="s">
        <v>179</v>
      </c>
      <c r="B114" s="22">
        <v>68</v>
      </c>
      <c r="C114" s="22">
        <v>67</v>
      </c>
      <c r="D114" s="22">
        <f t="shared" si="13"/>
        <v>1</v>
      </c>
      <c r="E114" s="22">
        <f t="shared" si="24"/>
        <v>1</v>
      </c>
      <c r="F114" s="23">
        <v>14</v>
      </c>
      <c r="G114" s="23">
        <v>17</v>
      </c>
      <c r="H114" s="23">
        <f t="shared" si="14"/>
        <v>-3</v>
      </c>
      <c r="I114" s="23">
        <f t="shared" si="15"/>
        <v>0</v>
      </c>
      <c r="J114" s="22">
        <v>2</v>
      </c>
      <c r="K114" s="22">
        <v>5</v>
      </c>
      <c r="L114" s="22">
        <f t="shared" si="16"/>
        <v>-3</v>
      </c>
      <c r="M114" s="22">
        <f t="shared" si="17"/>
        <v>1</v>
      </c>
      <c r="N114" s="23">
        <v>78</v>
      </c>
      <c r="O114" s="23">
        <v>74</v>
      </c>
      <c r="P114" s="23">
        <f t="shared" si="18"/>
        <v>4</v>
      </c>
      <c r="Q114" s="23">
        <f t="shared" si="19"/>
        <v>1</v>
      </c>
      <c r="R114" s="22">
        <v>63</v>
      </c>
      <c r="S114" s="22">
        <v>50</v>
      </c>
      <c r="T114" s="22">
        <f t="shared" si="20"/>
        <v>13</v>
      </c>
      <c r="U114" s="22">
        <f t="shared" si="21"/>
        <v>1</v>
      </c>
      <c r="V114" s="23">
        <v>40</v>
      </c>
      <c r="W114" s="23">
        <v>17</v>
      </c>
      <c r="X114" s="23">
        <f t="shared" si="22"/>
        <v>23</v>
      </c>
      <c r="Y114" s="23">
        <f t="shared" si="23"/>
        <v>1</v>
      </c>
    </row>
    <row r="116" spans="1:25" x14ac:dyDescent="0.2">
      <c r="D116" s="27" t="b">
        <v>1</v>
      </c>
      <c r="E116" s="27">
        <f>COUNTIF(E3:E114, "=1")</f>
        <v>70</v>
      </c>
      <c r="H116" s="27" t="b">
        <v>1</v>
      </c>
      <c r="I116" s="27">
        <f>COUNTIF(I3:I114, "=1")</f>
        <v>67</v>
      </c>
      <c r="L116" s="27" t="b">
        <v>1</v>
      </c>
      <c r="M116" s="27">
        <f>COUNTIF(M3:M114, "=1")</f>
        <v>89</v>
      </c>
      <c r="P116" s="27" t="b">
        <v>1</v>
      </c>
      <c r="Q116" s="27">
        <f>COUNTIF(Q3:Q114, "=1")</f>
        <v>100</v>
      </c>
      <c r="T116" s="27" t="b">
        <v>1</v>
      </c>
      <c r="U116" s="27">
        <f>COUNTIF(U3:U114, "=1")</f>
        <v>101</v>
      </c>
      <c r="X116" s="27" t="b">
        <v>1</v>
      </c>
      <c r="Y116" s="27">
        <f>COUNTIF(Y3:Y114, "=1")</f>
        <v>75</v>
      </c>
    </row>
    <row r="117" spans="1:25" x14ac:dyDescent="0.2">
      <c r="D117" s="27" t="b">
        <v>0</v>
      </c>
      <c r="E117" s="27">
        <f>COUNTIF(E4:E115, "=0")</f>
        <v>41</v>
      </c>
      <c r="H117" s="27" t="b">
        <v>0</v>
      </c>
      <c r="I117" s="27">
        <f>COUNTIF(I4:I115, "=0")</f>
        <v>44</v>
      </c>
      <c r="L117" s="27" t="b">
        <v>0</v>
      </c>
      <c r="M117" s="27">
        <f>COUNTIF(M4:M115, "=0")</f>
        <v>23</v>
      </c>
      <c r="P117" s="27" t="b">
        <v>0</v>
      </c>
      <c r="Q117" s="27">
        <f>COUNTIF(Q4:Q115, "=0")</f>
        <v>11</v>
      </c>
      <c r="T117" s="27" t="b">
        <v>0</v>
      </c>
      <c r="U117" s="27">
        <f>COUNTIF(U4:U115, "=0")</f>
        <v>11</v>
      </c>
      <c r="X117" s="27" t="b">
        <v>0</v>
      </c>
      <c r="Y117" s="27">
        <f>COUNTIF(Y4:Y115, "=0")</f>
        <v>37</v>
      </c>
    </row>
    <row r="118" spans="1:25" x14ac:dyDescent="0.2">
      <c r="D118" s="27" t="s">
        <v>200</v>
      </c>
      <c r="E118" s="28">
        <f>E116/(E116+E117)</f>
        <v>0.63063063063063063</v>
      </c>
      <c r="H118" s="27" t="s">
        <v>200</v>
      </c>
      <c r="I118" s="28">
        <f>I116/(I116+I117)</f>
        <v>0.60360360360360366</v>
      </c>
      <c r="L118" s="27" t="s">
        <v>200</v>
      </c>
      <c r="M118" s="28">
        <f>M116/(M116+M117)</f>
        <v>0.7946428571428571</v>
      </c>
      <c r="P118" s="27" t="s">
        <v>200</v>
      </c>
      <c r="Q118" s="28">
        <f>Q116/(Q116+Q117)</f>
        <v>0.90090090090090091</v>
      </c>
      <c r="T118" s="27" t="s">
        <v>200</v>
      </c>
      <c r="U118" s="28">
        <f>U116/(U116+U117)</f>
        <v>0.9017857142857143</v>
      </c>
      <c r="X118" s="27" t="s">
        <v>200</v>
      </c>
      <c r="Y118" s="28">
        <f>Y116/(Y116+Y117)</f>
        <v>0.6696428571428571</v>
      </c>
    </row>
  </sheetData>
  <mergeCells count="6">
    <mergeCell ref="V1:Y1"/>
    <mergeCell ref="B1:E1"/>
    <mergeCell ref="F1:I1"/>
    <mergeCell ref="J1:M1"/>
    <mergeCell ref="N1:Q1"/>
    <mergeCell ref="R1:U1"/>
  </mergeCells>
  <dataValidations count="6">
    <dataValidation allowBlank="1" showInputMessage="1" showErrorMessage="1" prompt="Number of first serves, which were considered &quot;in&quot;, divided by total number of first serves available, Includes aces" sqref="B1:E1"/>
    <dataValidation allowBlank="1" showInputMessage="1" showErrorMessage="1" prompt="Recorded as winner from the baseline" sqref="F1:I1"/>
    <dataValidation allowBlank="1" showInputMessage="1" showErrorMessage="1" prompt="Number of points won on first serve, divided by total number of first serves available. Includes aces. This metric is always less or equal than the 1st serve %. " sqref="N1:Q1"/>
    <dataValidation allowBlank="1" showInputMessage="1" showErrorMessage="1" prompt="Number of second serves which were considered &quot;in&quot;, divided by total number of second serves available, Includes aces" sqref="R1:U1"/>
    <dataValidation allowBlank="1" showInputMessage="1" showErrorMessage="1" prompt="Number of breakpoints won divided by total number of break points played." sqref="V1:Y1"/>
    <dataValidation allowBlank="1" showInputMessage="1" showErrorMessage="1" prompt="Recorded as unforced error from the baseline" sqref="J1:M1"/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8"/>
  <sheetViews>
    <sheetView showGridLines="0" workbookViewId="0">
      <pane xSplit="1" ySplit="2" topLeftCell="B108" activePane="bottomRight" state="frozen"/>
      <selection pane="topRight" activeCell="B1" sqref="B1"/>
      <selection pane="bottomLeft" activeCell="A3" sqref="A3"/>
      <selection pane="bottomRight" activeCell="A31" sqref="A31"/>
    </sheetView>
  </sheetViews>
  <sheetFormatPr defaultRowHeight="12.75" x14ac:dyDescent="0.2"/>
  <cols>
    <col min="1" max="1" width="21.85546875" style="26" bestFit="1" customWidth="1"/>
    <col min="2" max="25" width="7.42578125" style="27" customWidth="1"/>
    <col min="26" max="16384" width="9.140625" style="18"/>
  </cols>
  <sheetData>
    <row r="1" spans="1:25" ht="31.5" customHeight="1" x14ac:dyDescent="0.2">
      <c r="A1" s="17"/>
      <c r="B1" s="104" t="s">
        <v>189</v>
      </c>
      <c r="C1" s="105"/>
      <c r="D1" s="105"/>
      <c r="E1" s="106"/>
      <c r="F1" s="107" t="s">
        <v>190</v>
      </c>
      <c r="G1" s="108"/>
      <c r="H1" s="108"/>
      <c r="I1" s="109"/>
      <c r="J1" s="110" t="s">
        <v>191</v>
      </c>
      <c r="K1" s="111"/>
      <c r="L1" s="111"/>
      <c r="M1" s="112"/>
      <c r="N1" s="101" t="s">
        <v>192</v>
      </c>
      <c r="O1" s="102"/>
      <c r="P1" s="102"/>
      <c r="Q1" s="103"/>
      <c r="R1" s="104" t="s">
        <v>193</v>
      </c>
      <c r="S1" s="105"/>
      <c r="T1" s="105"/>
      <c r="U1" s="106"/>
      <c r="V1" s="101" t="s">
        <v>194</v>
      </c>
      <c r="W1" s="102"/>
      <c r="X1" s="102"/>
      <c r="Y1" s="103"/>
    </row>
    <row r="2" spans="1:25" x14ac:dyDescent="0.2">
      <c r="A2" s="19"/>
      <c r="B2" s="20" t="s">
        <v>180</v>
      </c>
      <c r="C2" s="20" t="s">
        <v>195</v>
      </c>
      <c r="D2" s="20" t="s">
        <v>182</v>
      </c>
      <c r="E2" s="20" t="b">
        <v>1</v>
      </c>
      <c r="F2" s="21" t="s">
        <v>180</v>
      </c>
      <c r="G2" s="21" t="s">
        <v>195</v>
      </c>
      <c r="H2" s="21" t="s">
        <v>182</v>
      </c>
      <c r="I2" s="21" t="b">
        <v>1</v>
      </c>
      <c r="J2" s="20" t="s">
        <v>180</v>
      </c>
      <c r="K2" s="20" t="s">
        <v>195</v>
      </c>
      <c r="L2" s="20" t="s">
        <v>182</v>
      </c>
      <c r="M2" s="20" t="b">
        <v>1</v>
      </c>
      <c r="N2" s="21" t="s">
        <v>180</v>
      </c>
      <c r="O2" s="21" t="s">
        <v>195</v>
      </c>
      <c r="P2" s="21" t="s">
        <v>182</v>
      </c>
      <c r="Q2" s="21" t="b">
        <v>1</v>
      </c>
      <c r="R2" s="20" t="s">
        <v>180</v>
      </c>
      <c r="S2" s="20" t="s">
        <v>195</v>
      </c>
      <c r="T2" s="20" t="s">
        <v>182</v>
      </c>
      <c r="U2" s="20" t="b">
        <v>1</v>
      </c>
      <c r="V2" s="21" t="s">
        <v>180</v>
      </c>
      <c r="W2" s="21" t="s">
        <v>195</v>
      </c>
      <c r="X2" s="21" t="s">
        <v>182</v>
      </c>
      <c r="Y2" s="21" t="b">
        <v>1</v>
      </c>
    </row>
    <row r="3" spans="1:25" x14ac:dyDescent="0.2">
      <c r="A3" s="19" t="s">
        <v>203</v>
      </c>
      <c r="B3" s="22">
        <v>60</v>
      </c>
      <c r="C3" s="22">
        <v>65</v>
      </c>
      <c r="D3" s="22">
        <f>B3-C3</f>
        <v>-5</v>
      </c>
      <c r="E3" s="22">
        <f t="shared" ref="E3:E21" si="0">IF(B3&gt;=C3,1,0)</f>
        <v>0</v>
      </c>
      <c r="F3" s="23">
        <v>8</v>
      </c>
      <c r="G3" s="23">
        <v>10</v>
      </c>
      <c r="H3" s="23">
        <f>F3-G3</f>
        <v>-2</v>
      </c>
      <c r="I3" s="23">
        <f>IF(F3&gt;=G3,1,0)</f>
        <v>0</v>
      </c>
      <c r="J3" s="22">
        <v>1</v>
      </c>
      <c r="K3" s="22">
        <v>3</v>
      </c>
      <c r="L3" s="22">
        <f>J3-K3</f>
        <v>-2</v>
      </c>
      <c r="M3" s="22">
        <f>IF(J3&lt;=K3,1,0)</f>
        <v>1</v>
      </c>
      <c r="N3" s="23">
        <v>59</v>
      </c>
      <c r="O3" s="23">
        <v>65</v>
      </c>
      <c r="P3" s="23">
        <f>N3-O3</f>
        <v>-6</v>
      </c>
      <c r="Q3" s="23">
        <f>IF(N3&gt;=O3,1,0)</f>
        <v>0</v>
      </c>
      <c r="R3" s="22">
        <v>62</v>
      </c>
      <c r="S3" s="22">
        <v>34</v>
      </c>
      <c r="T3" s="22">
        <f>R3-S3</f>
        <v>28</v>
      </c>
      <c r="U3" s="22">
        <f>IF(R3&gt;=S3,1,0)</f>
        <v>1</v>
      </c>
      <c r="V3" s="23">
        <v>56</v>
      </c>
      <c r="W3" s="23">
        <v>42</v>
      </c>
      <c r="X3" s="23">
        <f>V3-W3</f>
        <v>14</v>
      </c>
      <c r="Y3" s="23">
        <f>IF(V3&gt;=W3,1,0)</f>
        <v>1</v>
      </c>
    </row>
    <row r="4" spans="1:25" x14ac:dyDescent="0.2">
      <c r="A4" s="24" t="s">
        <v>178</v>
      </c>
      <c r="B4" s="22">
        <v>64</v>
      </c>
      <c r="C4" s="22">
        <v>59</v>
      </c>
      <c r="D4" s="22">
        <f t="shared" ref="D4:D67" si="1">B4-C4</f>
        <v>5</v>
      </c>
      <c r="E4" s="22">
        <f t="shared" si="0"/>
        <v>1</v>
      </c>
      <c r="F4" s="23">
        <v>5</v>
      </c>
      <c r="G4" s="23">
        <v>10</v>
      </c>
      <c r="H4" s="23">
        <f t="shared" ref="H4:H67" si="2">F4-G4</f>
        <v>-5</v>
      </c>
      <c r="I4" s="23">
        <f t="shared" ref="I4:I67" si="3">IF(F4&gt;=G4,1,0)</f>
        <v>0</v>
      </c>
      <c r="J4" s="22">
        <v>3</v>
      </c>
      <c r="K4" s="22">
        <v>4</v>
      </c>
      <c r="L4" s="22">
        <f t="shared" ref="L4:L67" si="4">J4-K4</f>
        <v>-1</v>
      </c>
      <c r="M4" s="22">
        <f t="shared" ref="M4:M67" si="5">IF(J4&lt;=K4,1,0)</f>
        <v>1</v>
      </c>
      <c r="N4" s="23">
        <v>70</v>
      </c>
      <c r="O4" s="23">
        <v>64</v>
      </c>
      <c r="P4" s="23">
        <f t="shared" ref="P4:P67" si="6">N4-O4</f>
        <v>6</v>
      </c>
      <c r="Q4" s="23">
        <f t="shared" ref="Q4:Q67" si="7">IF(N4&gt;=O4,1,0)</f>
        <v>1</v>
      </c>
      <c r="R4" s="22">
        <v>58</v>
      </c>
      <c r="S4" s="22">
        <v>52</v>
      </c>
      <c r="T4" s="22">
        <f t="shared" ref="T4:T67" si="8">R4-S4</f>
        <v>6</v>
      </c>
      <c r="U4" s="22">
        <f t="shared" ref="U4:U67" si="9">IF(R4&gt;=S4,1,0)</f>
        <v>1</v>
      </c>
      <c r="V4" s="23">
        <v>41</v>
      </c>
      <c r="W4" s="23">
        <v>63</v>
      </c>
      <c r="X4" s="23">
        <f t="shared" ref="X4:X67" si="10">V4-W4</f>
        <v>-22</v>
      </c>
      <c r="Y4" s="23">
        <f t="shared" ref="Y4:Y67" si="11">IF(V4&gt;=W4,1,0)</f>
        <v>0</v>
      </c>
    </row>
    <row r="5" spans="1:25" x14ac:dyDescent="0.2">
      <c r="A5" s="24" t="s">
        <v>178</v>
      </c>
      <c r="B5" s="22">
        <v>65</v>
      </c>
      <c r="C5" s="22">
        <v>59</v>
      </c>
      <c r="D5" s="22">
        <f t="shared" si="1"/>
        <v>6</v>
      </c>
      <c r="E5" s="22">
        <f t="shared" si="0"/>
        <v>1</v>
      </c>
      <c r="F5" s="23">
        <v>15</v>
      </c>
      <c r="G5" s="23">
        <v>5</v>
      </c>
      <c r="H5" s="23">
        <f t="shared" si="2"/>
        <v>10</v>
      </c>
      <c r="I5" s="23">
        <f t="shared" si="3"/>
        <v>1</v>
      </c>
      <c r="J5" s="22">
        <v>2</v>
      </c>
      <c r="K5" s="22">
        <v>6</v>
      </c>
      <c r="L5" s="22">
        <f t="shared" si="4"/>
        <v>-4</v>
      </c>
      <c r="M5" s="22">
        <f t="shared" si="5"/>
        <v>1</v>
      </c>
      <c r="N5" s="23">
        <v>75</v>
      </c>
      <c r="O5" s="23">
        <v>67</v>
      </c>
      <c r="P5" s="23">
        <f t="shared" si="6"/>
        <v>8</v>
      </c>
      <c r="Q5" s="23">
        <f t="shared" si="7"/>
        <v>1</v>
      </c>
      <c r="R5" s="22">
        <v>53</v>
      </c>
      <c r="S5" s="22">
        <v>50</v>
      </c>
      <c r="T5" s="22">
        <f t="shared" si="8"/>
        <v>3</v>
      </c>
      <c r="U5" s="22">
        <f t="shared" si="9"/>
        <v>1</v>
      </c>
      <c r="V5" s="23">
        <v>60</v>
      </c>
      <c r="W5" s="23">
        <v>33</v>
      </c>
      <c r="X5" s="23">
        <f t="shared" si="10"/>
        <v>27</v>
      </c>
      <c r="Y5" s="23">
        <f t="shared" si="11"/>
        <v>1</v>
      </c>
    </row>
    <row r="6" spans="1:25" x14ac:dyDescent="0.2">
      <c r="A6" s="24" t="s">
        <v>179</v>
      </c>
      <c r="B6" s="22">
        <v>71</v>
      </c>
      <c r="C6" s="22">
        <v>68</v>
      </c>
      <c r="D6" s="22">
        <f t="shared" si="1"/>
        <v>3</v>
      </c>
      <c r="E6" s="22">
        <f t="shared" si="0"/>
        <v>1</v>
      </c>
      <c r="F6" s="23">
        <v>8</v>
      </c>
      <c r="G6" s="23">
        <v>15</v>
      </c>
      <c r="H6" s="23">
        <f t="shared" si="2"/>
        <v>-7</v>
      </c>
      <c r="I6" s="23">
        <f t="shared" si="3"/>
        <v>0</v>
      </c>
      <c r="J6" s="22">
        <v>2</v>
      </c>
      <c r="K6" s="22">
        <v>2</v>
      </c>
      <c r="L6" s="22">
        <f t="shared" si="4"/>
        <v>0</v>
      </c>
      <c r="M6" s="22">
        <f t="shared" si="5"/>
        <v>1</v>
      </c>
      <c r="N6" s="23">
        <v>89</v>
      </c>
      <c r="O6" s="23">
        <v>72</v>
      </c>
      <c r="P6" s="23">
        <f t="shared" si="6"/>
        <v>17</v>
      </c>
      <c r="Q6" s="23">
        <f t="shared" si="7"/>
        <v>1</v>
      </c>
      <c r="R6" s="22">
        <v>74</v>
      </c>
      <c r="S6" s="22">
        <v>53</v>
      </c>
      <c r="T6" s="22">
        <f t="shared" si="8"/>
        <v>21</v>
      </c>
      <c r="U6" s="22">
        <f t="shared" si="9"/>
        <v>1</v>
      </c>
      <c r="V6" s="23">
        <v>27</v>
      </c>
      <c r="W6" s="23">
        <v>0</v>
      </c>
      <c r="X6" s="23">
        <f t="shared" si="10"/>
        <v>27</v>
      </c>
      <c r="Y6" s="23">
        <f t="shared" si="11"/>
        <v>1</v>
      </c>
    </row>
    <row r="7" spans="1:25" x14ac:dyDescent="0.2">
      <c r="A7" s="24" t="s">
        <v>179</v>
      </c>
      <c r="B7" s="22">
        <v>63</v>
      </c>
      <c r="C7" s="22">
        <v>62</v>
      </c>
      <c r="D7" s="22">
        <f t="shared" si="1"/>
        <v>1</v>
      </c>
      <c r="E7" s="22">
        <f t="shared" si="0"/>
        <v>1</v>
      </c>
      <c r="F7" s="23">
        <v>20</v>
      </c>
      <c r="G7" s="23">
        <v>6</v>
      </c>
      <c r="H7" s="23">
        <f t="shared" si="2"/>
        <v>14</v>
      </c>
      <c r="I7" s="23">
        <f t="shared" si="3"/>
        <v>1</v>
      </c>
      <c r="J7" s="22">
        <v>4</v>
      </c>
      <c r="K7" s="22">
        <v>2</v>
      </c>
      <c r="L7" s="22">
        <f t="shared" si="4"/>
        <v>2</v>
      </c>
      <c r="M7" s="22">
        <f t="shared" si="5"/>
        <v>0</v>
      </c>
      <c r="N7" s="23">
        <v>86</v>
      </c>
      <c r="O7" s="23">
        <v>74</v>
      </c>
      <c r="P7" s="23">
        <f t="shared" si="6"/>
        <v>12</v>
      </c>
      <c r="Q7" s="23">
        <f t="shared" si="7"/>
        <v>1</v>
      </c>
      <c r="R7" s="22">
        <v>53</v>
      </c>
      <c r="S7" s="22">
        <v>50</v>
      </c>
      <c r="T7" s="22">
        <f t="shared" si="8"/>
        <v>3</v>
      </c>
      <c r="U7" s="22">
        <f t="shared" si="9"/>
        <v>1</v>
      </c>
      <c r="V7" s="23">
        <v>27</v>
      </c>
      <c r="W7" s="23">
        <v>25</v>
      </c>
      <c r="X7" s="23">
        <f t="shared" si="10"/>
        <v>2</v>
      </c>
      <c r="Y7" s="23">
        <f t="shared" si="11"/>
        <v>1</v>
      </c>
    </row>
    <row r="8" spans="1:25" x14ac:dyDescent="0.2">
      <c r="A8" s="24" t="s">
        <v>179</v>
      </c>
      <c r="B8" s="22">
        <v>66</v>
      </c>
      <c r="C8" s="22">
        <v>74</v>
      </c>
      <c r="D8" s="22">
        <f t="shared" si="1"/>
        <v>-8</v>
      </c>
      <c r="E8" s="22">
        <f t="shared" si="0"/>
        <v>0</v>
      </c>
      <c r="F8" s="23">
        <v>10</v>
      </c>
      <c r="G8" s="23">
        <v>3</v>
      </c>
      <c r="H8" s="23">
        <f t="shared" si="2"/>
        <v>7</v>
      </c>
      <c r="I8" s="23">
        <f t="shared" si="3"/>
        <v>1</v>
      </c>
      <c r="J8" s="22">
        <v>0</v>
      </c>
      <c r="K8" s="22">
        <v>6</v>
      </c>
      <c r="L8" s="22">
        <f t="shared" si="4"/>
        <v>-6</v>
      </c>
      <c r="M8" s="22">
        <f t="shared" si="5"/>
        <v>1</v>
      </c>
      <c r="N8" s="23">
        <v>82</v>
      </c>
      <c r="O8" s="23">
        <v>64</v>
      </c>
      <c r="P8" s="23">
        <f t="shared" si="6"/>
        <v>18</v>
      </c>
      <c r="Q8" s="23">
        <f t="shared" si="7"/>
        <v>1</v>
      </c>
      <c r="R8" s="22">
        <v>47</v>
      </c>
      <c r="S8" s="22">
        <v>29</v>
      </c>
      <c r="T8" s="22">
        <f t="shared" si="8"/>
        <v>18</v>
      </c>
      <c r="U8" s="22">
        <f t="shared" si="9"/>
        <v>1</v>
      </c>
      <c r="V8" s="23">
        <v>50</v>
      </c>
      <c r="W8" s="23">
        <v>0</v>
      </c>
      <c r="X8" s="23">
        <f t="shared" si="10"/>
        <v>50</v>
      </c>
      <c r="Y8" s="23">
        <f t="shared" si="11"/>
        <v>1</v>
      </c>
    </row>
    <row r="9" spans="1:25" x14ac:dyDescent="0.2">
      <c r="A9" s="24" t="s">
        <v>179</v>
      </c>
      <c r="B9" s="22">
        <v>69</v>
      </c>
      <c r="C9" s="22">
        <v>63</v>
      </c>
      <c r="D9" s="22">
        <f t="shared" si="1"/>
        <v>6</v>
      </c>
      <c r="E9" s="22">
        <f t="shared" si="0"/>
        <v>1</v>
      </c>
      <c r="F9" s="23">
        <v>13</v>
      </c>
      <c r="G9" s="23">
        <v>9</v>
      </c>
      <c r="H9" s="23">
        <f t="shared" si="2"/>
        <v>4</v>
      </c>
      <c r="I9" s="23">
        <f t="shared" si="3"/>
        <v>1</v>
      </c>
      <c r="J9" s="22">
        <v>1</v>
      </c>
      <c r="K9" s="22">
        <v>3</v>
      </c>
      <c r="L9" s="22">
        <f t="shared" si="4"/>
        <v>-2</v>
      </c>
      <c r="M9" s="22">
        <f t="shared" si="5"/>
        <v>1</v>
      </c>
      <c r="N9" s="23">
        <v>80</v>
      </c>
      <c r="O9" s="23">
        <v>65</v>
      </c>
      <c r="P9" s="23">
        <f t="shared" si="6"/>
        <v>15</v>
      </c>
      <c r="Q9" s="23">
        <f t="shared" si="7"/>
        <v>1</v>
      </c>
      <c r="R9" s="22">
        <v>67</v>
      </c>
      <c r="S9" s="22">
        <v>51</v>
      </c>
      <c r="T9" s="22">
        <f t="shared" si="8"/>
        <v>16</v>
      </c>
      <c r="U9" s="22">
        <f t="shared" si="9"/>
        <v>1</v>
      </c>
      <c r="V9" s="23">
        <v>33</v>
      </c>
      <c r="W9" s="23">
        <v>50</v>
      </c>
      <c r="X9" s="23">
        <f t="shared" si="10"/>
        <v>-17</v>
      </c>
      <c r="Y9" s="23">
        <f t="shared" si="11"/>
        <v>0</v>
      </c>
    </row>
    <row r="10" spans="1:25" x14ac:dyDescent="0.2">
      <c r="A10" s="19">
        <v>2014</v>
      </c>
      <c r="B10" s="22">
        <v>55</v>
      </c>
      <c r="C10" s="22">
        <v>78</v>
      </c>
      <c r="D10" s="22">
        <f t="shared" si="1"/>
        <v>-23</v>
      </c>
      <c r="E10" s="22">
        <f t="shared" si="0"/>
        <v>0</v>
      </c>
      <c r="F10" s="23">
        <v>19</v>
      </c>
      <c r="G10" s="23">
        <v>1</v>
      </c>
      <c r="H10" s="23">
        <f t="shared" si="2"/>
        <v>18</v>
      </c>
      <c r="I10" s="23">
        <f t="shared" si="3"/>
        <v>1</v>
      </c>
      <c r="J10" s="22">
        <v>2</v>
      </c>
      <c r="K10" s="22">
        <v>3</v>
      </c>
      <c r="L10" s="22">
        <f t="shared" si="4"/>
        <v>-1</v>
      </c>
      <c r="M10" s="22">
        <f t="shared" si="5"/>
        <v>1</v>
      </c>
      <c r="N10" s="23">
        <v>87</v>
      </c>
      <c r="O10" s="23">
        <v>60</v>
      </c>
      <c r="P10" s="23">
        <f t="shared" si="6"/>
        <v>27</v>
      </c>
      <c r="Q10" s="23">
        <f t="shared" si="7"/>
        <v>1</v>
      </c>
      <c r="R10" s="22">
        <v>51</v>
      </c>
      <c r="S10" s="22">
        <v>42</v>
      </c>
      <c r="T10" s="22">
        <f t="shared" si="8"/>
        <v>9</v>
      </c>
      <c r="U10" s="22">
        <f t="shared" si="9"/>
        <v>1</v>
      </c>
      <c r="V10" s="23">
        <v>33</v>
      </c>
      <c r="W10" s="23">
        <v>33</v>
      </c>
      <c r="X10" s="23">
        <f t="shared" si="10"/>
        <v>0</v>
      </c>
      <c r="Y10" s="23">
        <f t="shared" si="11"/>
        <v>1</v>
      </c>
    </row>
    <row r="11" spans="1:25" x14ac:dyDescent="0.2">
      <c r="A11" s="25" t="s">
        <v>178</v>
      </c>
      <c r="B11" s="22">
        <v>65</v>
      </c>
      <c r="C11" s="22">
        <v>66</v>
      </c>
      <c r="D11" s="22">
        <f t="shared" si="1"/>
        <v>-1</v>
      </c>
      <c r="E11" s="22">
        <f t="shared" si="0"/>
        <v>0</v>
      </c>
      <c r="F11" s="23">
        <v>3</v>
      </c>
      <c r="G11" s="23">
        <v>8</v>
      </c>
      <c r="H11" s="23">
        <f t="shared" si="2"/>
        <v>-5</v>
      </c>
      <c r="I11" s="23">
        <f t="shared" si="3"/>
        <v>0</v>
      </c>
      <c r="J11" s="22">
        <v>1</v>
      </c>
      <c r="K11" s="22">
        <v>1</v>
      </c>
      <c r="L11" s="22">
        <f t="shared" si="4"/>
        <v>0</v>
      </c>
      <c r="M11" s="22">
        <f t="shared" si="5"/>
        <v>1</v>
      </c>
      <c r="N11" s="23">
        <v>73</v>
      </c>
      <c r="O11" s="23">
        <v>65</v>
      </c>
      <c r="P11" s="23">
        <f t="shared" si="6"/>
        <v>8</v>
      </c>
      <c r="Q11" s="23">
        <f t="shared" si="7"/>
        <v>1</v>
      </c>
      <c r="R11" s="22">
        <v>73</v>
      </c>
      <c r="S11" s="22">
        <v>50</v>
      </c>
      <c r="T11" s="22">
        <f t="shared" si="8"/>
        <v>23</v>
      </c>
      <c r="U11" s="22">
        <f t="shared" si="9"/>
        <v>1</v>
      </c>
      <c r="V11" s="23">
        <v>29</v>
      </c>
      <c r="W11" s="23">
        <v>50</v>
      </c>
      <c r="X11" s="23">
        <f t="shared" si="10"/>
        <v>-21</v>
      </c>
      <c r="Y11" s="23">
        <f t="shared" si="11"/>
        <v>0</v>
      </c>
    </row>
    <row r="12" spans="1:25" x14ac:dyDescent="0.2">
      <c r="A12" s="25" t="s">
        <v>178</v>
      </c>
      <c r="B12" s="22">
        <v>61</v>
      </c>
      <c r="C12" s="22">
        <v>62</v>
      </c>
      <c r="D12" s="22">
        <f t="shared" si="1"/>
        <v>-1</v>
      </c>
      <c r="E12" s="22">
        <f t="shared" si="0"/>
        <v>0</v>
      </c>
      <c r="F12" s="23">
        <v>18</v>
      </c>
      <c r="G12" s="23">
        <v>21</v>
      </c>
      <c r="H12" s="23">
        <f t="shared" si="2"/>
        <v>-3</v>
      </c>
      <c r="I12" s="23">
        <f t="shared" si="3"/>
        <v>0</v>
      </c>
      <c r="J12" s="22">
        <v>4</v>
      </c>
      <c r="K12" s="22">
        <v>7</v>
      </c>
      <c r="L12" s="22">
        <f t="shared" si="4"/>
        <v>-3</v>
      </c>
      <c r="M12" s="22">
        <f t="shared" si="5"/>
        <v>1</v>
      </c>
      <c r="N12" s="23">
        <v>82</v>
      </c>
      <c r="O12" s="23">
        <v>82</v>
      </c>
      <c r="P12" s="23">
        <f t="shared" si="6"/>
        <v>0</v>
      </c>
      <c r="Q12" s="23">
        <f t="shared" si="7"/>
        <v>1</v>
      </c>
      <c r="R12" s="22">
        <v>56</v>
      </c>
      <c r="S12" s="22">
        <v>57</v>
      </c>
      <c r="T12" s="22">
        <f t="shared" si="8"/>
        <v>-1</v>
      </c>
      <c r="U12" s="22">
        <f t="shared" si="9"/>
        <v>0</v>
      </c>
      <c r="V12" s="23">
        <v>25</v>
      </c>
      <c r="W12" s="23">
        <v>0</v>
      </c>
      <c r="X12" s="23">
        <f t="shared" si="10"/>
        <v>25</v>
      </c>
      <c r="Y12" s="23">
        <f t="shared" si="11"/>
        <v>1</v>
      </c>
    </row>
    <row r="13" spans="1:25" x14ac:dyDescent="0.2">
      <c r="A13" s="25" t="s">
        <v>179</v>
      </c>
      <c r="B13" s="22">
        <v>73</v>
      </c>
      <c r="C13" s="22">
        <v>58</v>
      </c>
      <c r="D13" s="22">
        <f t="shared" si="1"/>
        <v>15</v>
      </c>
      <c r="E13" s="22">
        <f t="shared" si="0"/>
        <v>1</v>
      </c>
      <c r="F13" s="23">
        <v>3</v>
      </c>
      <c r="G13" s="23">
        <v>16</v>
      </c>
      <c r="H13" s="23">
        <f t="shared" si="2"/>
        <v>-13</v>
      </c>
      <c r="I13" s="23">
        <f t="shared" si="3"/>
        <v>0</v>
      </c>
      <c r="J13" s="22">
        <v>7</v>
      </c>
      <c r="K13" s="22">
        <v>5</v>
      </c>
      <c r="L13" s="22">
        <f t="shared" si="4"/>
        <v>2</v>
      </c>
      <c r="M13" s="22">
        <f t="shared" si="5"/>
        <v>0</v>
      </c>
      <c r="N13" s="23">
        <v>73</v>
      </c>
      <c r="O13" s="23">
        <v>71</v>
      </c>
      <c r="P13" s="23">
        <f t="shared" si="6"/>
        <v>2</v>
      </c>
      <c r="Q13" s="23">
        <f t="shared" si="7"/>
        <v>1</v>
      </c>
      <c r="R13" s="22">
        <v>67</v>
      </c>
      <c r="S13" s="22">
        <v>49</v>
      </c>
      <c r="T13" s="22">
        <f t="shared" si="8"/>
        <v>18</v>
      </c>
      <c r="U13" s="22">
        <f t="shared" si="9"/>
        <v>1</v>
      </c>
      <c r="V13" s="23">
        <v>36</v>
      </c>
      <c r="W13" s="23">
        <v>50</v>
      </c>
      <c r="X13" s="23">
        <f t="shared" si="10"/>
        <v>-14</v>
      </c>
      <c r="Y13" s="23">
        <f t="shared" si="11"/>
        <v>0</v>
      </c>
    </row>
    <row r="14" spans="1:25" x14ac:dyDescent="0.2">
      <c r="A14" s="25" t="s">
        <v>179</v>
      </c>
      <c r="B14" s="22">
        <v>64</v>
      </c>
      <c r="C14" s="22">
        <v>61</v>
      </c>
      <c r="D14" s="22">
        <f t="shared" si="1"/>
        <v>3</v>
      </c>
      <c r="E14" s="22">
        <f t="shared" si="0"/>
        <v>1</v>
      </c>
      <c r="F14" s="23">
        <v>10</v>
      </c>
      <c r="G14" s="23">
        <v>9</v>
      </c>
      <c r="H14" s="23">
        <f t="shared" si="2"/>
        <v>1</v>
      </c>
      <c r="I14" s="23">
        <f t="shared" si="3"/>
        <v>1</v>
      </c>
      <c r="J14" s="22">
        <v>0</v>
      </c>
      <c r="K14" s="22">
        <v>1</v>
      </c>
      <c r="L14" s="22">
        <f t="shared" si="4"/>
        <v>-1</v>
      </c>
      <c r="M14" s="22">
        <f t="shared" si="5"/>
        <v>1</v>
      </c>
      <c r="N14" s="23">
        <v>78</v>
      </c>
      <c r="O14" s="23">
        <v>67</v>
      </c>
      <c r="P14" s="23">
        <f t="shared" si="6"/>
        <v>11</v>
      </c>
      <c r="Q14" s="23">
        <f t="shared" si="7"/>
        <v>1</v>
      </c>
      <c r="R14" s="22">
        <v>64</v>
      </c>
      <c r="S14" s="22">
        <v>49</v>
      </c>
      <c r="T14" s="22">
        <f t="shared" si="8"/>
        <v>15</v>
      </c>
      <c r="U14" s="22">
        <f t="shared" si="9"/>
        <v>1</v>
      </c>
      <c r="V14" s="23">
        <v>24</v>
      </c>
      <c r="W14" s="23">
        <v>50</v>
      </c>
      <c r="X14" s="23">
        <f t="shared" si="10"/>
        <v>-26</v>
      </c>
      <c r="Y14" s="23">
        <f t="shared" si="11"/>
        <v>0</v>
      </c>
    </row>
    <row r="15" spans="1:25" x14ac:dyDescent="0.2">
      <c r="A15" s="25" t="s">
        <v>179</v>
      </c>
      <c r="B15" s="22">
        <v>52</v>
      </c>
      <c r="C15" s="22">
        <v>61</v>
      </c>
      <c r="D15" s="22">
        <f t="shared" si="1"/>
        <v>-9</v>
      </c>
      <c r="E15" s="22">
        <f t="shared" si="0"/>
        <v>0</v>
      </c>
      <c r="F15" s="23">
        <v>10</v>
      </c>
      <c r="G15" s="23">
        <v>2</v>
      </c>
      <c r="H15" s="23">
        <f t="shared" si="2"/>
        <v>8</v>
      </c>
      <c r="I15" s="23">
        <f t="shared" si="3"/>
        <v>1</v>
      </c>
      <c r="J15" s="22">
        <v>4</v>
      </c>
      <c r="K15" s="22">
        <v>1</v>
      </c>
      <c r="L15" s="22">
        <f t="shared" si="4"/>
        <v>3</v>
      </c>
      <c r="M15" s="22">
        <f t="shared" si="5"/>
        <v>0</v>
      </c>
      <c r="N15" s="23">
        <v>78</v>
      </c>
      <c r="O15" s="23">
        <v>64</v>
      </c>
      <c r="P15" s="23">
        <f t="shared" si="6"/>
        <v>14</v>
      </c>
      <c r="Q15" s="23">
        <f t="shared" si="7"/>
        <v>1</v>
      </c>
      <c r="R15" s="22">
        <v>44</v>
      </c>
      <c r="S15" s="22">
        <v>50</v>
      </c>
      <c r="T15" s="22">
        <f t="shared" si="8"/>
        <v>-6</v>
      </c>
      <c r="U15" s="22">
        <f t="shared" si="9"/>
        <v>0</v>
      </c>
      <c r="V15" s="23">
        <v>38</v>
      </c>
      <c r="W15" s="23">
        <v>25</v>
      </c>
      <c r="X15" s="23">
        <f t="shared" si="10"/>
        <v>13</v>
      </c>
      <c r="Y15" s="23">
        <f t="shared" si="11"/>
        <v>1</v>
      </c>
    </row>
    <row r="16" spans="1:25" x14ac:dyDescent="0.2">
      <c r="A16" s="25" t="s">
        <v>179</v>
      </c>
      <c r="B16" s="22">
        <v>58</v>
      </c>
      <c r="C16" s="22">
        <v>73</v>
      </c>
      <c r="D16" s="22">
        <f t="shared" si="1"/>
        <v>-15</v>
      </c>
      <c r="E16" s="22">
        <f t="shared" si="0"/>
        <v>0</v>
      </c>
      <c r="F16" s="23">
        <v>17</v>
      </c>
      <c r="G16" s="23">
        <v>7</v>
      </c>
      <c r="H16" s="23">
        <f t="shared" si="2"/>
        <v>10</v>
      </c>
      <c r="I16" s="23">
        <f t="shared" si="3"/>
        <v>1</v>
      </c>
      <c r="J16" s="22">
        <v>5</v>
      </c>
      <c r="K16" s="22">
        <v>1</v>
      </c>
      <c r="L16" s="22">
        <f t="shared" si="4"/>
        <v>4</v>
      </c>
      <c r="M16" s="22">
        <f t="shared" si="5"/>
        <v>0</v>
      </c>
      <c r="N16" s="23">
        <v>72</v>
      </c>
      <c r="O16" s="23">
        <v>71</v>
      </c>
      <c r="P16" s="23">
        <f t="shared" si="6"/>
        <v>1</v>
      </c>
      <c r="Q16" s="23">
        <f t="shared" si="7"/>
        <v>1</v>
      </c>
      <c r="R16" s="22">
        <v>50</v>
      </c>
      <c r="S16" s="22">
        <v>59</v>
      </c>
      <c r="T16" s="22">
        <f t="shared" si="8"/>
        <v>-9</v>
      </c>
      <c r="U16" s="22">
        <f t="shared" si="9"/>
        <v>0</v>
      </c>
      <c r="V16" s="23">
        <v>50</v>
      </c>
      <c r="W16" s="23">
        <v>57</v>
      </c>
      <c r="X16" s="23">
        <f t="shared" si="10"/>
        <v>-7</v>
      </c>
      <c r="Y16" s="23">
        <f t="shared" si="11"/>
        <v>0</v>
      </c>
    </row>
    <row r="17" spans="1:25" x14ac:dyDescent="0.2">
      <c r="A17" s="19">
        <v>2013</v>
      </c>
      <c r="B17" s="22">
        <v>63</v>
      </c>
      <c r="C17" s="22">
        <v>60</v>
      </c>
      <c r="D17" s="22">
        <f t="shared" si="1"/>
        <v>3</v>
      </c>
      <c r="E17" s="22">
        <f t="shared" si="0"/>
        <v>1</v>
      </c>
      <c r="F17" s="23">
        <v>8</v>
      </c>
      <c r="G17" s="23">
        <v>7</v>
      </c>
      <c r="H17" s="23">
        <f t="shared" si="2"/>
        <v>1</v>
      </c>
      <c r="I17" s="23">
        <f t="shared" si="3"/>
        <v>1</v>
      </c>
      <c r="J17" s="22">
        <v>3</v>
      </c>
      <c r="K17" s="22">
        <v>5</v>
      </c>
      <c r="L17" s="22">
        <f t="shared" si="4"/>
        <v>-2</v>
      </c>
      <c r="M17" s="22">
        <f t="shared" si="5"/>
        <v>1</v>
      </c>
      <c r="N17" s="23">
        <v>75</v>
      </c>
      <c r="O17" s="23">
        <v>81</v>
      </c>
      <c r="P17" s="23">
        <f t="shared" si="6"/>
        <v>-6</v>
      </c>
      <c r="Q17" s="23">
        <f t="shared" si="7"/>
        <v>0</v>
      </c>
      <c r="R17" s="22">
        <v>66</v>
      </c>
      <c r="S17" s="22">
        <v>41</v>
      </c>
      <c r="T17" s="22">
        <f t="shared" si="8"/>
        <v>25</v>
      </c>
      <c r="U17" s="22">
        <f t="shared" si="9"/>
        <v>1</v>
      </c>
      <c r="V17" s="23">
        <v>27</v>
      </c>
      <c r="W17" s="23">
        <v>0</v>
      </c>
      <c r="X17" s="23">
        <f t="shared" si="10"/>
        <v>27</v>
      </c>
      <c r="Y17" s="23">
        <f t="shared" si="11"/>
        <v>1</v>
      </c>
    </row>
    <row r="18" spans="1:25" x14ac:dyDescent="0.2">
      <c r="A18" s="25" t="s">
        <v>178</v>
      </c>
      <c r="B18" s="22">
        <v>63</v>
      </c>
      <c r="C18" s="22">
        <v>60</v>
      </c>
      <c r="D18" s="22">
        <f t="shared" si="1"/>
        <v>3</v>
      </c>
      <c r="E18" s="22">
        <f t="shared" si="0"/>
        <v>1</v>
      </c>
      <c r="F18" s="23">
        <v>6</v>
      </c>
      <c r="G18" s="23">
        <v>1</v>
      </c>
      <c r="H18" s="23">
        <f t="shared" si="2"/>
        <v>5</v>
      </c>
      <c r="I18" s="23">
        <f t="shared" si="3"/>
        <v>1</v>
      </c>
      <c r="J18" s="22">
        <v>0</v>
      </c>
      <c r="K18" s="22">
        <v>3</v>
      </c>
      <c r="L18" s="22">
        <f t="shared" si="4"/>
        <v>-3</v>
      </c>
      <c r="M18" s="22">
        <f t="shared" si="5"/>
        <v>1</v>
      </c>
      <c r="N18" s="23">
        <v>91</v>
      </c>
      <c r="O18" s="23">
        <v>56</v>
      </c>
      <c r="P18" s="23">
        <f t="shared" si="6"/>
        <v>35</v>
      </c>
      <c r="Q18" s="23">
        <f t="shared" si="7"/>
        <v>1</v>
      </c>
      <c r="R18" s="22">
        <v>79</v>
      </c>
      <c r="S18" s="22">
        <v>30</v>
      </c>
      <c r="T18" s="22">
        <f t="shared" si="8"/>
        <v>49</v>
      </c>
      <c r="U18" s="22">
        <f t="shared" si="9"/>
        <v>1</v>
      </c>
      <c r="V18" s="23">
        <v>100</v>
      </c>
      <c r="W18" s="23">
        <v>0</v>
      </c>
      <c r="X18" s="23">
        <f t="shared" si="10"/>
        <v>100</v>
      </c>
      <c r="Y18" s="23">
        <f t="shared" si="11"/>
        <v>1</v>
      </c>
    </row>
    <row r="19" spans="1:25" x14ac:dyDescent="0.2">
      <c r="A19" s="25" t="s">
        <v>178</v>
      </c>
      <c r="B19" s="22">
        <v>64</v>
      </c>
      <c r="C19" s="22">
        <v>61</v>
      </c>
      <c r="D19" s="22">
        <f t="shared" si="1"/>
        <v>3</v>
      </c>
      <c r="E19" s="22">
        <f t="shared" si="0"/>
        <v>1</v>
      </c>
      <c r="F19" s="23">
        <v>21</v>
      </c>
      <c r="G19" s="23">
        <v>5</v>
      </c>
      <c r="H19" s="23">
        <f t="shared" si="2"/>
        <v>16</v>
      </c>
      <c r="I19" s="23">
        <f t="shared" si="3"/>
        <v>1</v>
      </c>
      <c r="J19" s="22">
        <v>0</v>
      </c>
      <c r="K19" s="22">
        <v>2</v>
      </c>
      <c r="L19" s="22">
        <f t="shared" si="4"/>
        <v>-2</v>
      </c>
      <c r="M19" s="22">
        <f t="shared" si="5"/>
        <v>1</v>
      </c>
      <c r="N19" s="23">
        <v>75</v>
      </c>
      <c r="O19" s="23">
        <v>73</v>
      </c>
      <c r="P19" s="23">
        <f t="shared" si="6"/>
        <v>2</v>
      </c>
      <c r="Q19" s="23">
        <f t="shared" si="7"/>
        <v>1</v>
      </c>
      <c r="R19" s="22">
        <v>63</v>
      </c>
      <c r="S19" s="22">
        <v>42</v>
      </c>
      <c r="T19" s="22">
        <f t="shared" si="8"/>
        <v>21</v>
      </c>
      <c r="U19" s="22">
        <f t="shared" si="9"/>
        <v>1</v>
      </c>
      <c r="V19" s="23">
        <v>38</v>
      </c>
      <c r="W19" s="23">
        <v>33</v>
      </c>
      <c r="X19" s="23">
        <f t="shared" si="10"/>
        <v>5</v>
      </c>
      <c r="Y19" s="23">
        <f t="shared" si="11"/>
        <v>1</v>
      </c>
    </row>
    <row r="20" spans="1:25" x14ac:dyDescent="0.2">
      <c r="A20" s="25" t="s">
        <v>179</v>
      </c>
      <c r="B20" s="22">
        <v>67</v>
      </c>
      <c r="C20" s="22">
        <v>60</v>
      </c>
      <c r="D20" s="22">
        <f t="shared" si="1"/>
        <v>7</v>
      </c>
      <c r="E20" s="22">
        <f t="shared" si="0"/>
        <v>1</v>
      </c>
      <c r="F20" s="23">
        <v>10</v>
      </c>
      <c r="G20" s="23">
        <v>8</v>
      </c>
      <c r="H20" s="23">
        <f t="shared" si="2"/>
        <v>2</v>
      </c>
      <c r="I20" s="23">
        <f t="shared" si="3"/>
        <v>1</v>
      </c>
      <c r="J20" s="22">
        <v>2</v>
      </c>
      <c r="K20" s="22">
        <v>5</v>
      </c>
      <c r="L20" s="22">
        <f t="shared" si="4"/>
        <v>-3</v>
      </c>
      <c r="M20" s="22">
        <f t="shared" si="5"/>
        <v>1</v>
      </c>
      <c r="N20" s="23">
        <v>78</v>
      </c>
      <c r="O20" s="23">
        <v>66</v>
      </c>
      <c r="P20" s="23">
        <f t="shared" si="6"/>
        <v>12</v>
      </c>
      <c r="Q20" s="23">
        <f t="shared" si="7"/>
        <v>1</v>
      </c>
      <c r="R20" s="22">
        <v>63</v>
      </c>
      <c r="S20" s="22">
        <v>42</v>
      </c>
      <c r="T20" s="22">
        <f t="shared" si="8"/>
        <v>21</v>
      </c>
      <c r="U20" s="22">
        <f t="shared" si="9"/>
        <v>1</v>
      </c>
      <c r="V20" s="23">
        <v>43</v>
      </c>
      <c r="W20" s="23">
        <v>25</v>
      </c>
      <c r="X20" s="23">
        <f t="shared" si="10"/>
        <v>18</v>
      </c>
      <c r="Y20" s="23">
        <f t="shared" si="11"/>
        <v>1</v>
      </c>
    </row>
    <row r="21" spans="1:25" x14ac:dyDescent="0.2">
      <c r="A21" s="25" t="s">
        <v>179</v>
      </c>
      <c r="B21" s="22">
        <v>69</v>
      </c>
      <c r="C21" s="22">
        <v>47</v>
      </c>
      <c r="D21" s="22">
        <f t="shared" si="1"/>
        <v>22</v>
      </c>
      <c r="E21" s="22">
        <f t="shared" si="0"/>
        <v>1</v>
      </c>
      <c r="F21" s="23">
        <v>16</v>
      </c>
      <c r="G21" s="23">
        <v>15</v>
      </c>
      <c r="H21" s="23">
        <f t="shared" si="2"/>
        <v>1</v>
      </c>
      <c r="I21" s="23">
        <f t="shared" si="3"/>
        <v>1</v>
      </c>
      <c r="J21" s="22">
        <v>0</v>
      </c>
      <c r="K21" s="22">
        <v>4</v>
      </c>
      <c r="L21" s="22">
        <f t="shared" si="4"/>
        <v>-4</v>
      </c>
      <c r="M21" s="22">
        <f t="shared" si="5"/>
        <v>1</v>
      </c>
      <c r="N21" s="23">
        <v>72</v>
      </c>
      <c r="O21" s="23">
        <v>73</v>
      </c>
      <c r="P21" s="23">
        <f t="shared" si="6"/>
        <v>-1</v>
      </c>
      <c r="Q21" s="23">
        <f t="shared" si="7"/>
        <v>0</v>
      </c>
      <c r="R21" s="22">
        <v>50</v>
      </c>
      <c r="S21" s="22">
        <v>47</v>
      </c>
      <c r="T21" s="22">
        <f t="shared" si="8"/>
        <v>3</v>
      </c>
      <c r="U21" s="22">
        <f t="shared" si="9"/>
        <v>1</v>
      </c>
      <c r="V21" s="23">
        <v>38</v>
      </c>
      <c r="W21" s="23">
        <v>58</v>
      </c>
      <c r="X21" s="23">
        <f t="shared" si="10"/>
        <v>-20</v>
      </c>
      <c r="Y21" s="23">
        <f t="shared" si="11"/>
        <v>0</v>
      </c>
    </row>
    <row r="22" spans="1:25" x14ac:dyDescent="0.2">
      <c r="A22" s="25" t="s">
        <v>179</v>
      </c>
      <c r="B22" s="22">
        <v>68</v>
      </c>
      <c r="C22" s="22">
        <v>68</v>
      </c>
      <c r="D22" s="22">
        <f t="shared" si="1"/>
        <v>0</v>
      </c>
      <c r="E22" s="22">
        <f>IF(B22&gt;=C22,1,0)</f>
        <v>1</v>
      </c>
      <c r="F22" s="23">
        <v>7</v>
      </c>
      <c r="G22" s="23">
        <v>6</v>
      </c>
      <c r="H22" s="23">
        <f t="shared" si="2"/>
        <v>1</v>
      </c>
      <c r="I22" s="23">
        <f t="shared" si="3"/>
        <v>1</v>
      </c>
      <c r="J22" s="22">
        <v>1</v>
      </c>
      <c r="K22" s="22">
        <v>3</v>
      </c>
      <c r="L22" s="22">
        <f t="shared" si="4"/>
        <v>-2</v>
      </c>
      <c r="M22" s="22">
        <f t="shared" si="5"/>
        <v>1</v>
      </c>
      <c r="N22" s="23">
        <v>80</v>
      </c>
      <c r="O22" s="23">
        <v>60</v>
      </c>
      <c r="P22" s="23">
        <f t="shared" si="6"/>
        <v>20</v>
      </c>
      <c r="Q22" s="23">
        <f t="shared" si="7"/>
        <v>1</v>
      </c>
      <c r="R22" s="22">
        <v>29</v>
      </c>
      <c r="S22" s="22">
        <v>20</v>
      </c>
      <c r="T22" s="22">
        <f t="shared" si="8"/>
        <v>9</v>
      </c>
      <c r="U22" s="22">
        <f t="shared" si="9"/>
        <v>1</v>
      </c>
      <c r="V22" s="23">
        <v>73</v>
      </c>
      <c r="W22" s="23">
        <v>40</v>
      </c>
      <c r="X22" s="23">
        <f t="shared" si="10"/>
        <v>33</v>
      </c>
      <c r="Y22" s="23">
        <f t="shared" si="11"/>
        <v>1</v>
      </c>
    </row>
    <row r="23" spans="1:25" x14ac:dyDescent="0.2">
      <c r="A23" s="25" t="s">
        <v>179</v>
      </c>
      <c r="B23" s="22">
        <v>61</v>
      </c>
      <c r="C23" s="22">
        <v>67</v>
      </c>
      <c r="D23" s="22">
        <f t="shared" si="1"/>
        <v>-6</v>
      </c>
      <c r="E23" s="22">
        <f t="shared" ref="E23:E86" si="12">IF(B23&gt;=C23,1,0)</f>
        <v>0</v>
      </c>
      <c r="F23" s="23">
        <v>6</v>
      </c>
      <c r="G23" s="23">
        <v>20</v>
      </c>
      <c r="H23" s="23">
        <f t="shared" si="2"/>
        <v>-14</v>
      </c>
      <c r="I23" s="23">
        <f t="shared" si="3"/>
        <v>0</v>
      </c>
      <c r="J23" s="22">
        <v>3</v>
      </c>
      <c r="K23" s="22">
        <v>1</v>
      </c>
      <c r="L23" s="22">
        <f t="shared" si="4"/>
        <v>2</v>
      </c>
      <c r="M23" s="22">
        <f t="shared" si="5"/>
        <v>0</v>
      </c>
      <c r="N23" s="23">
        <v>77</v>
      </c>
      <c r="O23" s="23">
        <v>75</v>
      </c>
      <c r="P23" s="23">
        <f t="shared" si="6"/>
        <v>2</v>
      </c>
      <c r="Q23" s="23">
        <f t="shared" si="7"/>
        <v>1</v>
      </c>
      <c r="R23" s="22">
        <v>56</v>
      </c>
      <c r="S23" s="22">
        <v>47</v>
      </c>
      <c r="T23" s="22">
        <f t="shared" si="8"/>
        <v>9</v>
      </c>
      <c r="U23" s="22">
        <f t="shared" si="9"/>
        <v>1</v>
      </c>
      <c r="V23" s="23">
        <v>22</v>
      </c>
      <c r="W23" s="23">
        <v>56</v>
      </c>
      <c r="X23" s="23">
        <f t="shared" si="10"/>
        <v>-34</v>
      </c>
      <c r="Y23" s="23">
        <f t="shared" si="11"/>
        <v>0</v>
      </c>
    </row>
    <row r="24" spans="1:25" x14ac:dyDescent="0.2">
      <c r="A24" s="19">
        <v>2012</v>
      </c>
      <c r="B24" s="22">
        <v>59</v>
      </c>
      <c r="C24" s="22">
        <v>67</v>
      </c>
      <c r="D24" s="22">
        <f t="shared" si="1"/>
        <v>-8</v>
      </c>
      <c r="E24" s="22">
        <f t="shared" si="12"/>
        <v>0</v>
      </c>
      <c r="F24" s="23">
        <v>9</v>
      </c>
      <c r="G24" s="23">
        <v>10</v>
      </c>
      <c r="H24" s="23">
        <f t="shared" si="2"/>
        <v>-1</v>
      </c>
      <c r="I24" s="23">
        <f t="shared" si="3"/>
        <v>0</v>
      </c>
      <c r="J24" s="22">
        <v>2</v>
      </c>
      <c r="K24" s="22">
        <v>4</v>
      </c>
      <c r="L24" s="22">
        <f t="shared" si="4"/>
        <v>-2</v>
      </c>
      <c r="M24" s="22">
        <f t="shared" si="5"/>
        <v>1</v>
      </c>
      <c r="N24" s="23">
        <v>68</v>
      </c>
      <c r="O24" s="23">
        <v>66</v>
      </c>
      <c r="P24" s="23">
        <f t="shared" si="6"/>
        <v>2</v>
      </c>
      <c r="Q24" s="23">
        <f t="shared" si="7"/>
        <v>1</v>
      </c>
      <c r="R24" s="22">
        <v>63</v>
      </c>
      <c r="S24" s="22">
        <v>45</v>
      </c>
      <c r="T24" s="22">
        <f t="shared" si="8"/>
        <v>18</v>
      </c>
      <c r="U24" s="22">
        <f t="shared" si="9"/>
        <v>1</v>
      </c>
      <c r="V24" s="23">
        <v>35</v>
      </c>
      <c r="W24" s="23">
        <v>67</v>
      </c>
      <c r="X24" s="23">
        <f t="shared" si="10"/>
        <v>-32</v>
      </c>
      <c r="Y24" s="23">
        <f t="shared" si="11"/>
        <v>0</v>
      </c>
    </row>
    <row r="25" spans="1:25" x14ac:dyDescent="0.2">
      <c r="A25" s="25" t="s">
        <v>178</v>
      </c>
      <c r="B25" s="22">
        <v>61</v>
      </c>
      <c r="C25" s="22">
        <v>63</v>
      </c>
      <c r="D25" s="22">
        <f t="shared" si="1"/>
        <v>-2</v>
      </c>
      <c r="E25" s="22">
        <f t="shared" si="12"/>
        <v>0</v>
      </c>
      <c r="F25" s="23">
        <v>11</v>
      </c>
      <c r="G25" s="23">
        <v>9</v>
      </c>
      <c r="H25" s="23">
        <f t="shared" si="2"/>
        <v>2</v>
      </c>
      <c r="I25" s="23">
        <f t="shared" si="3"/>
        <v>1</v>
      </c>
      <c r="J25" s="22">
        <v>6</v>
      </c>
      <c r="K25" s="22">
        <v>10</v>
      </c>
      <c r="L25" s="22">
        <f t="shared" si="4"/>
        <v>-4</v>
      </c>
      <c r="M25" s="22">
        <f t="shared" si="5"/>
        <v>1</v>
      </c>
      <c r="N25" s="23">
        <v>66</v>
      </c>
      <c r="O25" s="23">
        <v>64</v>
      </c>
      <c r="P25" s="23">
        <f t="shared" si="6"/>
        <v>2</v>
      </c>
      <c r="Q25" s="23">
        <f t="shared" si="7"/>
        <v>1</v>
      </c>
      <c r="R25" s="22">
        <v>45</v>
      </c>
      <c r="S25" s="22">
        <v>30</v>
      </c>
      <c r="T25" s="22">
        <f t="shared" si="8"/>
        <v>15</v>
      </c>
      <c r="U25" s="22">
        <f t="shared" si="9"/>
        <v>1</v>
      </c>
      <c r="V25" s="23">
        <v>42</v>
      </c>
      <c r="W25" s="23">
        <v>29</v>
      </c>
      <c r="X25" s="23">
        <f t="shared" si="10"/>
        <v>13</v>
      </c>
      <c r="Y25" s="23">
        <f t="shared" si="11"/>
        <v>1</v>
      </c>
    </row>
    <row r="26" spans="1:25" x14ac:dyDescent="0.2">
      <c r="A26" s="25" t="s">
        <v>178</v>
      </c>
      <c r="B26" s="22">
        <v>77</v>
      </c>
      <c r="C26" s="22">
        <v>64</v>
      </c>
      <c r="D26" s="22">
        <f t="shared" si="1"/>
        <v>13</v>
      </c>
      <c r="E26" s="22">
        <f t="shared" si="12"/>
        <v>1</v>
      </c>
      <c r="F26" s="23">
        <v>4</v>
      </c>
      <c r="G26" s="23">
        <v>11</v>
      </c>
      <c r="H26" s="23">
        <f t="shared" si="2"/>
        <v>-7</v>
      </c>
      <c r="I26" s="23">
        <f t="shared" si="3"/>
        <v>0</v>
      </c>
      <c r="J26" s="22">
        <v>1</v>
      </c>
      <c r="K26" s="22">
        <v>5</v>
      </c>
      <c r="L26" s="22">
        <f t="shared" si="4"/>
        <v>-4</v>
      </c>
      <c r="M26" s="22">
        <f t="shared" si="5"/>
        <v>1</v>
      </c>
      <c r="N26" s="23">
        <v>69</v>
      </c>
      <c r="O26" s="23">
        <v>66</v>
      </c>
      <c r="P26" s="23">
        <f t="shared" si="6"/>
        <v>3</v>
      </c>
      <c r="Q26" s="23">
        <f t="shared" si="7"/>
        <v>1</v>
      </c>
      <c r="R26" s="22">
        <v>63</v>
      </c>
      <c r="S26" s="22">
        <v>55</v>
      </c>
      <c r="T26" s="22">
        <f t="shared" si="8"/>
        <v>8</v>
      </c>
      <c r="U26" s="22">
        <f t="shared" si="9"/>
        <v>1</v>
      </c>
      <c r="V26" s="23">
        <v>38</v>
      </c>
      <c r="W26" s="23">
        <v>30</v>
      </c>
      <c r="X26" s="23">
        <f t="shared" si="10"/>
        <v>8</v>
      </c>
      <c r="Y26" s="23">
        <f t="shared" si="11"/>
        <v>1</v>
      </c>
    </row>
    <row r="27" spans="1:25" x14ac:dyDescent="0.2">
      <c r="A27" s="25" t="s">
        <v>179</v>
      </c>
      <c r="B27" s="22">
        <v>53</v>
      </c>
      <c r="C27" s="22">
        <v>65</v>
      </c>
      <c r="D27" s="22">
        <f t="shared" si="1"/>
        <v>-12</v>
      </c>
      <c r="E27" s="22">
        <f t="shared" si="12"/>
        <v>0</v>
      </c>
      <c r="F27" s="23">
        <v>3</v>
      </c>
      <c r="G27" s="23">
        <v>2</v>
      </c>
      <c r="H27" s="23">
        <f t="shared" si="2"/>
        <v>1</v>
      </c>
      <c r="I27" s="23">
        <f t="shared" si="3"/>
        <v>1</v>
      </c>
      <c r="J27" s="22">
        <v>0</v>
      </c>
      <c r="K27" s="22">
        <v>1</v>
      </c>
      <c r="L27" s="22">
        <f t="shared" si="4"/>
        <v>-1</v>
      </c>
      <c r="M27" s="22">
        <f t="shared" si="5"/>
        <v>1</v>
      </c>
      <c r="N27" s="23">
        <v>71</v>
      </c>
      <c r="O27" s="23">
        <v>61</v>
      </c>
      <c r="P27" s="23">
        <f t="shared" si="6"/>
        <v>10</v>
      </c>
      <c r="Q27" s="23">
        <f t="shared" si="7"/>
        <v>1</v>
      </c>
      <c r="R27" s="22">
        <v>67</v>
      </c>
      <c r="S27" s="22">
        <v>50</v>
      </c>
      <c r="T27" s="22">
        <f t="shared" si="8"/>
        <v>17</v>
      </c>
      <c r="U27" s="22">
        <f t="shared" si="9"/>
        <v>1</v>
      </c>
      <c r="V27" s="23">
        <v>42</v>
      </c>
      <c r="W27" s="23">
        <v>50</v>
      </c>
      <c r="X27" s="23">
        <f t="shared" si="10"/>
        <v>-8</v>
      </c>
      <c r="Y27" s="23">
        <f t="shared" si="11"/>
        <v>0</v>
      </c>
    </row>
    <row r="28" spans="1:25" x14ac:dyDescent="0.2">
      <c r="A28" s="25" t="s">
        <v>179</v>
      </c>
      <c r="B28" s="22">
        <v>44</v>
      </c>
      <c r="C28" s="22">
        <v>60</v>
      </c>
      <c r="D28" s="22">
        <f t="shared" si="1"/>
        <v>-16</v>
      </c>
      <c r="E28" s="22">
        <f t="shared" si="12"/>
        <v>0</v>
      </c>
      <c r="F28" s="23">
        <v>4</v>
      </c>
      <c r="G28" s="23">
        <v>1</v>
      </c>
      <c r="H28" s="23">
        <f t="shared" si="2"/>
        <v>3</v>
      </c>
      <c r="I28" s="23">
        <f t="shared" si="3"/>
        <v>1</v>
      </c>
      <c r="J28" s="22">
        <v>3</v>
      </c>
      <c r="K28" s="22">
        <v>2</v>
      </c>
      <c r="L28" s="22">
        <f t="shared" si="4"/>
        <v>1</v>
      </c>
      <c r="M28" s="22">
        <f t="shared" si="5"/>
        <v>0</v>
      </c>
      <c r="N28" s="23">
        <v>78</v>
      </c>
      <c r="O28" s="23">
        <v>54</v>
      </c>
      <c r="P28" s="23">
        <f t="shared" si="6"/>
        <v>24</v>
      </c>
      <c r="Q28" s="23">
        <f t="shared" si="7"/>
        <v>1</v>
      </c>
      <c r="R28" s="22">
        <v>58</v>
      </c>
      <c r="S28" s="22">
        <v>37</v>
      </c>
      <c r="T28" s="22">
        <f t="shared" si="8"/>
        <v>21</v>
      </c>
      <c r="U28" s="22">
        <f t="shared" si="9"/>
        <v>1</v>
      </c>
      <c r="V28" s="23">
        <v>39</v>
      </c>
      <c r="W28" s="23">
        <v>20</v>
      </c>
      <c r="X28" s="23">
        <f t="shared" si="10"/>
        <v>19</v>
      </c>
      <c r="Y28" s="23">
        <f t="shared" si="11"/>
        <v>1</v>
      </c>
    </row>
    <row r="29" spans="1:25" x14ac:dyDescent="0.2">
      <c r="A29" s="25" t="s">
        <v>179</v>
      </c>
      <c r="B29" s="22">
        <v>57</v>
      </c>
      <c r="C29" s="22">
        <v>67</v>
      </c>
      <c r="D29" s="22">
        <f t="shared" si="1"/>
        <v>-10</v>
      </c>
      <c r="E29" s="22">
        <f t="shared" si="12"/>
        <v>0</v>
      </c>
      <c r="F29" s="23">
        <v>5</v>
      </c>
      <c r="G29" s="23">
        <v>5</v>
      </c>
      <c r="H29" s="23">
        <f t="shared" si="2"/>
        <v>0</v>
      </c>
      <c r="I29" s="23">
        <f t="shared" si="3"/>
        <v>1</v>
      </c>
      <c r="J29" s="22">
        <v>1</v>
      </c>
      <c r="K29" s="22">
        <v>3</v>
      </c>
      <c r="L29" s="22">
        <f t="shared" si="4"/>
        <v>-2</v>
      </c>
      <c r="M29" s="22">
        <f t="shared" si="5"/>
        <v>1</v>
      </c>
      <c r="N29" s="23">
        <v>89</v>
      </c>
      <c r="O29" s="23">
        <v>57</v>
      </c>
      <c r="P29" s="23">
        <f t="shared" si="6"/>
        <v>32</v>
      </c>
      <c r="Q29" s="23">
        <f t="shared" si="7"/>
        <v>1</v>
      </c>
      <c r="R29" s="22">
        <v>58</v>
      </c>
      <c r="S29" s="22">
        <v>55</v>
      </c>
      <c r="T29" s="22">
        <f t="shared" si="8"/>
        <v>3</v>
      </c>
      <c r="U29" s="22">
        <f t="shared" si="9"/>
        <v>1</v>
      </c>
      <c r="V29" s="23">
        <v>63</v>
      </c>
      <c r="W29" s="23">
        <v>17</v>
      </c>
      <c r="X29" s="23">
        <f t="shared" si="10"/>
        <v>46</v>
      </c>
      <c r="Y29" s="23">
        <f t="shared" si="11"/>
        <v>1</v>
      </c>
    </row>
    <row r="30" spans="1:25" x14ac:dyDescent="0.2">
      <c r="A30" s="25" t="s">
        <v>179</v>
      </c>
      <c r="B30" s="22">
        <v>71</v>
      </c>
      <c r="C30" s="22">
        <v>62</v>
      </c>
      <c r="D30" s="22">
        <f t="shared" si="1"/>
        <v>9</v>
      </c>
      <c r="E30" s="22">
        <f t="shared" si="12"/>
        <v>1</v>
      </c>
      <c r="F30" s="23">
        <v>6</v>
      </c>
      <c r="G30" s="23">
        <v>17</v>
      </c>
      <c r="H30" s="23">
        <f t="shared" si="2"/>
        <v>-11</v>
      </c>
      <c r="I30" s="23">
        <f t="shared" si="3"/>
        <v>0</v>
      </c>
      <c r="J30" s="22">
        <v>2</v>
      </c>
      <c r="K30" s="22">
        <v>5</v>
      </c>
      <c r="L30" s="22">
        <f t="shared" si="4"/>
        <v>-3</v>
      </c>
      <c r="M30" s="22">
        <f t="shared" si="5"/>
        <v>1</v>
      </c>
      <c r="N30" s="23">
        <v>76</v>
      </c>
      <c r="O30" s="23">
        <v>74</v>
      </c>
      <c r="P30" s="23">
        <f t="shared" si="6"/>
        <v>2</v>
      </c>
      <c r="Q30" s="23">
        <f t="shared" si="7"/>
        <v>1</v>
      </c>
      <c r="R30" s="22">
        <v>49</v>
      </c>
      <c r="S30" s="22">
        <v>45</v>
      </c>
      <c r="T30" s="22">
        <f t="shared" si="8"/>
        <v>4</v>
      </c>
      <c r="U30" s="22">
        <f t="shared" si="9"/>
        <v>1</v>
      </c>
      <c r="V30" s="23">
        <v>38</v>
      </c>
      <c r="W30" s="23">
        <v>15</v>
      </c>
      <c r="X30" s="23">
        <f t="shared" si="10"/>
        <v>23</v>
      </c>
      <c r="Y30" s="23">
        <f t="shared" si="11"/>
        <v>1</v>
      </c>
    </row>
    <row r="31" spans="1:25" x14ac:dyDescent="0.2">
      <c r="A31" s="19" t="s">
        <v>204</v>
      </c>
      <c r="B31" s="22">
        <v>67</v>
      </c>
      <c r="C31" s="22">
        <v>65</v>
      </c>
      <c r="D31" s="22">
        <f t="shared" si="1"/>
        <v>2</v>
      </c>
      <c r="E31" s="22">
        <f t="shared" si="12"/>
        <v>1</v>
      </c>
      <c r="F31" s="23">
        <v>9</v>
      </c>
      <c r="G31" s="23">
        <v>6</v>
      </c>
      <c r="H31" s="23">
        <f t="shared" si="2"/>
        <v>3</v>
      </c>
      <c r="I31" s="23">
        <f t="shared" si="3"/>
        <v>1</v>
      </c>
      <c r="J31" s="22">
        <v>3</v>
      </c>
      <c r="K31" s="22">
        <v>0</v>
      </c>
      <c r="L31" s="22">
        <f t="shared" si="4"/>
        <v>3</v>
      </c>
      <c r="M31" s="22">
        <f t="shared" si="5"/>
        <v>0</v>
      </c>
      <c r="N31" s="23">
        <v>76</v>
      </c>
      <c r="O31" s="23">
        <v>63</v>
      </c>
      <c r="P31" s="23">
        <f t="shared" si="6"/>
        <v>13</v>
      </c>
      <c r="Q31" s="23">
        <f t="shared" si="7"/>
        <v>1</v>
      </c>
      <c r="R31" s="22">
        <v>50</v>
      </c>
      <c r="S31" s="22">
        <v>53</v>
      </c>
      <c r="T31" s="22">
        <f t="shared" si="8"/>
        <v>-3</v>
      </c>
      <c r="U31" s="22">
        <f t="shared" si="9"/>
        <v>0</v>
      </c>
      <c r="V31" s="23">
        <v>27</v>
      </c>
      <c r="W31" s="23">
        <v>20</v>
      </c>
      <c r="X31" s="23">
        <f t="shared" si="10"/>
        <v>7</v>
      </c>
      <c r="Y31" s="23">
        <f t="shared" si="11"/>
        <v>1</v>
      </c>
    </row>
    <row r="32" spans="1:25" x14ac:dyDescent="0.2">
      <c r="A32" s="25" t="s">
        <v>178</v>
      </c>
      <c r="B32" s="22">
        <v>70</v>
      </c>
      <c r="C32" s="22">
        <v>66</v>
      </c>
      <c r="D32" s="22">
        <f t="shared" si="1"/>
        <v>4</v>
      </c>
      <c r="E32" s="22">
        <f t="shared" si="12"/>
        <v>1</v>
      </c>
      <c r="F32" s="23">
        <v>8</v>
      </c>
      <c r="G32" s="23">
        <v>12</v>
      </c>
      <c r="H32" s="23">
        <f t="shared" si="2"/>
        <v>-4</v>
      </c>
      <c r="I32" s="23">
        <f t="shared" si="3"/>
        <v>0</v>
      </c>
      <c r="J32" s="22">
        <v>2</v>
      </c>
      <c r="K32" s="22">
        <v>1</v>
      </c>
      <c r="L32" s="22">
        <f t="shared" si="4"/>
        <v>1</v>
      </c>
      <c r="M32" s="22">
        <f t="shared" si="5"/>
        <v>0</v>
      </c>
      <c r="N32" s="23">
        <v>68</v>
      </c>
      <c r="O32" s="23">
        <v>64</v>
      </c>
      <c r="P32" s="23">
        <f t="shared" si="6"/>
        <v>4</v>
      </c>
      <c r="Q32" s="23">
        <f t="shared" si="7"/>
        <v>1</v>
      </c>
      <c r="R32" s="22">
        <v>67</v>
      </c>
      <c r="S32" s="22">
        <v>55</v>
      </c>
      <c r="T32" s="22">
        <f t="shared" si="8"/>
        <v>12</v>
      </c>
      <c r="U32" s="22">
        <f t="shared" si="9"/>
        <v>1</v>
      </c>
      <c r="V32" s="23">
        <v>32</v>
      </c>
      <c r="W32" s="23">
        <v>75</v>
      </c>
      <c r="X32" s="23">
        <f t="shared" si="10"/>
        <v>-43</v>
      </c>
      <c r="Y32" s="23">
        <f t="shared" si="11"/>
        <v>0</v>
      </c>
    </row>
    <row r="33" spans="1:25" x14ac:dyDescent="0.2">
      <c r="A33" s="25" t="s">
        <v>178</v>
      </c>
      <c r="B33" s="22">
        <v>52</v>
      </c>
      <c r="C33" s="22">
        <v>69</v>
      </c>
      <c r="D33" s="22">
        <f t="shared" si="1"/>
        <v>-17</v>
      </c>
      <c r="E33" s="22">
        <f t="shared" si="12"/>
        <v>0</v>
      </c>
      <c r="F33" s="23">
        <v>15</v>
      </c>
      <c r="G33" s="23">
        <v>8</v>
      </c>
      <c r="H33" s="23">
        <f t="shared" si="2"/>
        <v>7</v>
      </c>
      <c r="I33" s="23">
        <f t="shared" si="3"/>
        <v>1</v>
      </c>
      <c r="J33" s="22">
        <v>6</v>
      </c>
      <c r="K33" s="22">
        <v>2</v>
      </c>
      <c r="L33" s="22">
        <f t="shared" si="4"/>
        <v>4</v>
      </c>
      <c r="M33" s="22">
        <f t="shared" si="5"/>
        <v>0</v>
      </c>
      <c r="N33" s="23">
        <v>76</v>
      </c>
      <c r="O33" s="23">
        <v>72</v>
      </c>
      <c r="P33" s="23">
        <f t="shared" si="6"/>
        <v>4</v>
      </c>
      <c r="Q33" s="23">
        <f t="shared" si="7"/>
        <v>1</v>
      </c>
      <c r="R33" s="22">
        <v>59</v>
      </c>
      <c r="S33" s="22">
        <v>56</v>
      </c>
      <c r="T33" s="22">
        <f t="shared" si="8"/>
        <v>3</v>
      </c>
      <c r="U33" s="22">
        <f t="shared" si="9"/>
        <v>1</v>
      </c>
      <c r="V33" s="23">
        <v>20</v>
      </c>
      <c r="W33" s="23">
        <v>6</v>
      </c>
      <c r="X33" s="23">
        <f t="shared" si="10"/>
        <v>14</v>
      </c>
      <c r="Y33" s="23">
        <f t="shared" si="11"/>
        <v>1</v>
      </c>
    </row>
    <row r="34" spans="1:25" x14ac:dyDescent="0.2">
      <c r="A34" s="25" t="s">
        <v>179</v>
      </c>
      <c r="B34" s="22">
        <v>63</v>
      </c>
      <c r="C34" s="22">
        <v>60</v>
      </c>
      <c r="D34" s="22">
        <f t="shared" si="1"/>
        <v>3</v>
      </c>
      <c r="E34" s="22">
        <f t="shared" si="12"/>
        <v>1</v>
      </c>
      <c r="F34" s="23">
        <v>3</v>
      </c>
      <c r="G34" s="23">
        <v>3</v>
      </c>
      <c r="H34" s="23">
        <f t="shared" si="2"/>
        <v>0</v>
      </c>
      <c r="I34" s="23">
        <f t="shared" si="3"/>
        <v>1</v>
      </c>
      <c r="J34" s="22">
        <v>0</v>
      </c>
      <c r="K34" s="22">
        <v>2</v>
      </c>
      <c r="L34" s="22">
        <f t="shared" si="4"/>
        <v>-2</v>
      </c>
      <c r="M34" s="22">
        <f t="shared" si="5"/>
        <v>1</v>
      </c>
      <c r="N34" s="23">
        <v>76</v>
      </c>
      <c r="O34" s="23">
        <v>59</v>
      </c>
      <c r="P34" s="23">
        <f t="shared" si="6"/>
        <v>17</v>
      </c>
      <c r="Q34" s="23">
        <f t="shared" si="7"/>
        <v>1</v>
      </c>
      <c r="R34" s="22">
        <v>60</v>
      </c>
      <c r="S34" s="22">
        <v>38</v>
      </c>
      <c r="T34" s="22">
        <f t="shared" si="8"/>
        <v>22</v>
      </c>
      <c r="U34" s="22">
        <f t="shared" si="9"/>
        <v>1</v>
      </c>
      <c r="V34" s="23">
        <v>39</v>
      </c>
      <c r="W34" s="23">
        <v>40</v>
      </c>
      <c r="X34" s="23">
        <f t="shared" si="10"/>
        <v>-1</v>
      </c>
      <c r="Y34" s="23">
        <f t="shared" si="11"/>
        <v>0</v>
      </c>
    </row>
    <row r="35" spans="1:25" x14ac:dyDescent="0.2">
      <c r="A35" s="25" t="s">
        <v>179</v>
      </c>
      <c r="B35" s="22">
        <v>58</v>
      </c>
      <c r="C35" s="22">
        <v>56</v>
      </c>
      <c r="D35" s="22">
        <f t="shared" si="1"/>
        <v>2</v>
      </c>
      <c r="E35" s="22">
        <f t="shared" si="12"/>
        <v>1</v>
      </c>
      <c r="F35" s="23">
        <v>9</v>
      </c>
      <c r="G35" s="23">
        <v>2</v>
      </c>
      <c r="H35" s="23">
        <f t="shared" si="2"/>
        <v>7</v>
      </c>
      <c r="I35" s="23">
        <f t="shared" si="3"/>
        <v>1</v>
      </c>
      <c r="J35" s="22">
        <v>2</v>
      </c>
      <c r="K35" s="22">
        <v>11</v>
      </c>
      <c r="L35" s="22">
        <f t="shared" si="4"/>
        <v>-9</v>
      </c>
      <c r="M35" s="22">
        <f t="shared" si="5"/>
        <v>1</v>
      </c>
      <c r="N35" s="23">
        <v>78</v>
      </c>
      <c r="O35" s="23">
        <v>68</v>
      </c>
      <c r="P35" s="23">
        <f t="shared" si="6"/>
        <v>10</v>
      </c>
      <c r="Q35" s="23">
        <f t="shared" si="7"/>
        <v>1</v>
      </c>
      <c r="R35" s="22">
        <v>42</v>
      </c>
      <c r="S35" s="22">
        <v>35</v>
      </c>
      <c r="T35" s="22">
        <f t="shared" si="8"/>
        <v>7</v>
      </c>
      <c r="U35" s="22">
        <f t="shared" si="9"/>
        <v>1</v>
      </c>
      <c r="V35" s="23">
        <v>50</v>
      </c>
      <c r="W35" s="23">
        <v>45</v>
      </c>
      <c r="X35" s="23">
        <f t="shared" si="10"/>
        <v>5</v>
      </c>
      <c r="Y35" s="23">
        <f t="shared" si="11"/>
        <v>1</v>
      </c>
    </row>
    <row r="36" spans="1:25" x14ac:dyDescent="0.2">
      <c r="A36" s="25" t="s">
        <v>179</v>
      </c>
      <c r="B36" s="22">
        <v>61</v>
      </c>
      <c r="C36" s="22">
        <v>66</v>
      </c>
      <c r="D36" s="22">
        <f t="shared" si="1"/>
        <v>-5</v>
      </c>
      <c r="E36" s="22">
        <f t="shared" si="12"/>
        <v>0</v>
      </c>
      <c r="F36" s="23">
        <v>10</v>
      </c>
      <c r="G36" s="23">
        <v>5</v>
      </c>
      <c r="H36" s="23">
        <f t="shared" si="2"/>
        <v>5</v>
      </c>
      <c r="I36" s="23">
        <f t="shared" si="3"/>
        <v>1</v>
      </c>
      <c r="J36" s="22">
        <v>1</v>
      </c>
      <c r="K36" s="22">
        <v>6</v>
      </c>
      <c r="L36" s="22">
        <f t="shared" si="4"/>
        <v>-5</v>
      </c>
      <c r="M36" s="22">
        <f t="shared" si="5"/>
        <v>1</v>
      </c>
      <c r="N36" s="23">
        <v>83</v>
      </c>
      <c r="O36" s="23">
        <v>67</v>
      </c>
      <c r="P36" s="23">
        <f t="shared" si="6"/>
        <v>16</v>
      </c>
      <c r="Q36" s="23">
        <f t="shared" si="7"/>
        <v>1</v>
      </c>
      <c r="R36" s="22">
        <v>50</v>
      </c>
      <c r="S36" s="22">
        <v>43</v>
      </c>
      <c r="T36" s="22">
        <f t="shared" si="8"/>
        <v>7</v>
      </c>
      <c r="U36" s="22">
        <f t="shared" si="9"/>
        <v>1</v>
      </c>
      <c r="V36" s="23">
        <v>32</v>
      </c>
      <c r="W36" s="23">
        <v>57</v>
      </c>
      <c r="X36" s="23">
        <f t="shared" si="10"/>
        <v>-25</v>
      </c>
      <c r="Y36" s="23">
        <f t="shared" si="11"/>
        <v>0</v>
      </c>
    </row>
    <row r="37" spans="1:25" x14ac:dyDescent="0.2">
      <c r="A37" s="25" t="s">
        <v>179</v>
      </c>
      <c r="B37" s="22">
        <v>54</v>
      </c>
      <c r="C37" s="22">
        <v>63</v>
      </c>
      <c r="D37" s="22">
        <f t="shared" si="1"/>
        <v>-9</v>
      </c>
      <c r="E37" s="22">
        <f t="shared" si="12"/>
        <v>0</v>
      </c>
      <c r="F37" s="23">
        <v>4</v>
      </c>
      <c r="G37" s="23">
        <v>7</v>
      </c>
      <c r="H37" s="23">
        <f t="shared" si="2"/>
        <v>-3</v>
      </c>
      <c r="I37" s="23">
        <f t="shared" si="3"/>
        <v>0</v>
      </c>
      <c r="J37" s="22"/>
      <c r="K37" s="22"/>
      <c r="L37" s="22">
        <f t="shared" si="4"/>
        <v>0</v>
      </c>
      <c r="M37" s="22">
        <f t="shared" si="5"/>
        <v>1</v>
      </c>
      <c r="N37" s="23">
        <v>88</v>
      </c>
      <c r="O37" s="23">
        <v>68</v>
      </c>
      <c r="P37" s="23">
        <f t="shared" si="6"/>
        <v>20</v>
      </c>
      <c r="Q37" s="23">
        <f t="shared" si="7"/>
        <v>1</v>
      </c>
      <c r="R37" s="22">
        <v>62</v>
      </c>
      <c r="S37" s="22">
        <v>56</v>
      </c>
      <c r="T37" s="22">
        <f t="shared" si="8"/>
        <v>6</v>
      </c>
      <c r="U37" s="22">
        <f t="shared" si="9"/>
        <v>1</v>
      </c>
      <c r="V37" s="23">
        <v>38</v>
      </c>
      <c r="W37" s="23">
        <v>0</v>
      </c>
      <c r="X37" s="23">
        <f t="shared" si="10"/>
        <v>38</v>
      </c>
      <c r="Y37" s="23">
        <f t="shared" si="11"/>
        <v>1</v>
      </c>
    </row>
    <row r="38" spans="1:25" x14ac:dyDescent="0.2">
      <c r="A38" s="19">
        <v>2014</v>
      </c>
      <c r="B38" s="22">
        <v>70</v>
      </c>
      <c r="C38" s="22">
        <v>65</v>
      </c>
      <c r="D38" s="22">
        <f t="shared" si="1"/>
        <v>5</v>
      </c>
      <c r="E38" s="22">
        <f t="shared" si="12"/>
        <v>1</v>
      </c>
      <c r="F38" s="23">
        <v>3</v>
      </c>
      <c r="G38" s="23">
        <v>11</v>
      </c>
      <c r="H38" s="23">
        <f t="shared" si="2"/>
        <v>-8</v>
      </c>
      <c r="I38" s="23">
        <f t="shared" si="3"/>
        <v>0</v>
      </c>
      <c r="J38" s="22">
        <v>4</v>
      </c>
      <c r="K38" s="22">
        <v>3</v>
      </c>
      <c r="L38" s="22">
        <f t="shared" si="4"/>
        <v>1</v>
      </c>
      <c r="M38" s="22">
        <f t="shared" si="5"/>
        <v>0</v>
      </c>
      <c r="N38" s="23">
        <v>73</v>
      </c>
      <c r="O38" s="23">
        <v>72</v>
      </c>
      <c r="P38" s="23">
        <f t="shared" si="6"/>
        <v>1</v>
      </c>
      <c r="Q38" s="23">
        <f t="shared" si="7"/>
        <v>1</v>
      </c>
      <c r="R38" s="22">
        <v>50</v>
      </c>
      <c r="S38" s="22">
        <v>36</v>
      </c>
      <c r="T38" s="22">
        <f t="shared" si="8"/>
        <v>14</v>
      </c>
      <c r="U38" s="22">
        <f t="shared" si="9"/>
        <v>1</v>
      </c>
      <c r="V38" s="23">
        <v>60</v>
      </c>
      <c r="W38" s="23">
        <v>33</v>
      </c>
      <c r="X38" s="23">
        <f t="shared" si="10"/>
        <v>27</v>
      </c>
      <c r="Y38" s="23">
        <f t="shared" si="11"/>
        <v>1</v>
      </c>
    </row>
    <row r="39" spans="1:25" x14ac:dyDescent="0.2">
      <c r="A39" s="25" t="s">
        <v>178</v>
      </c>
      <c r="B39" s="22">
        <v>76</v>
      </c>
      <c r="C39" s="22">
        <v>52</v>
      </c>
      <c r="D39" s="22">
        <f t="shared" si="1"/>
        <v>24</v>
      </c>
      <c r="E39" s="22">
        <f t="shared" si="12"/>
        <v>1</v>
      </c>
      <c r="F39" s="23">
        <v>2</v>
      </c>
      <c r="G39" s="23">
        <v>2</v>
      </c>
      <c r="H39" s="23">
        <f t="shared" si="2"/>
        <v>0</v>
      </c>
      <c r="I39" s="23">
        <f t="shared" si="3"/>
        <v>1</v>
      </c>
      <c r="J39" s="22">
        <v>2</v>
      </c>
      <c r="K39" s="22">
        <v>3</v>
      </c>
      <c r="L39" s="22">
        <f t="shared" si="4"/>
        <v>-1</v>
      </c>
      <c r="M39" s="22">
        <f t="shared" si="5"/>
        <v>1</v>
      </c>
      <c r="N39" s="23">
        <v>91</v>
      </c>
      <c r="O39" s="23">
        <v>63</v>
      </c>
      <c r="P39" s="23">
        <f t="shared" si="6"/>
        <v>28</v>
      </c>
      <c r="Q39" s="23">
        <f t="shared" si="7"/>
        <v>1</v>
      </c>
      <c r="R39" s="22">
        <v>57</v>
      </c>
      <c r="S39" s="22">
        <v>34</v>
      </c>
      <c r="T39" s="22">
        <f t="shared" si="8"/>
        <v>23</v>
      </c>
      <c r="U39" s="22">
        <f t="shared" si="9"/>
        <v>1</v>
      </c>
      <c r="V39" s="23">
        <v>100</v>
      </c>
      <c r="W39" s="23">
        <v>0</v>
      </c>
      <c r="X39" s="23">
        <f t="shared" si="10"/>
        <v>100</v>
      </c>
      <c r="Y39" s="23">
        <f t="shared" si="11"/>
        <v>1</v>
      </c>
    </row>
    <row r="40" spans="1:25" x14ac:dyDescent="0.2">
      <c r="A40" s="25" t="s">
        <v>178</v>
      </c>
      <c r="B40" s="22">
        <v>67</v>
      </c>
      <c r="C40" s="22">
        <v>57</v>
      </c>
      <c r="D40" s="22">
        <f t="shared" si="1"/>
        <v>10</v>
      </c>
      <c r="E40" s="22">
        <f t="shared" si="12"/>
        <v>1</v>
      </c>
      <c r="F40" s="23">
        <v>9</v>
      </c>
      <c r="G40" s="23">
        <v>13</v>
      </c>
      <c r="H40" s="23">
        <f t="shared" si="2"/>
        <v>-4</v>
      </c>
      <c r="I40" s="23">
        <f t="shared" si="3"/>
        <v>0</v>
      </c>
      <c r="J40" s="22">
        <v>1</v>
      </c>
      <c r="K40" s="22">
        <v>5</v>
      </c>
      <c r="L40" s="22">
        <f t="shared" si="4"/>
        <v>-4</v>
      </c>
      <c r="M40" s="22">
        <f t="shared" si="5"/>
        <v>1</v>
      </c>
      <c r="N40" s="23">
        <v>80</v>
      </c>
      <c r="O40" s="23">
        <v>70</v>
      </c>
      <c r="P40" s="23">
        <f t="shared" si="6"/>
        <v>10</v>
      </c>
      <c r="Q40" s="23">
        <f t="shared" si="7"/>
        <v>1</v>
      </c>
      <c r="R40" s="22">
        <v>43</v>
      </c>
      <c r="S40" s="22">
        <v>53</v>
      </c>
      <c r="T40" s="22">
        <f t="shared" si="8"/>
        <v>-10</v>
      </c>
      <c r="U40" s="22">
        <f t="shared" si="9"/>
        <v>0</v>
      </c>
      <c r="V40" s="23">
        <v>50</v>
      </c>
      <c r="W40" s="23">
        <v>29</v>
      </c>
      <c r="X40" s="23">
        <f t="shared" si="10"/>
        <v>21</v>
      </c>
      <c r="Y40" s="23">
        <f t="shared" si="11"/>
        <v>1</v>
      </c>
    </row>
    <row r="41" spans="1:25" x14ac:dyDescent="0.2">
      <c r="A41" s="25" t="s">
        <v>179</v>
      </c>
      <c r="B41" s="22">
        <v>62</v>
      </c>
      <c r="C41" s="22">
        <v>63</v>
      </c>
      <c r="D41" s="22">
        <f t="shared" si="1"/>
        <v>-1</v>
      </c>
      <c r="E41" s="22">
        <f t="shared" si="12"/>
        <v>0</v>
      </c>
      <c r="F41" s="23">
        <v>1</v>
      </c>
      <c r="G41" s="23">
        <v>2</v>
      </c>
      <c r="H41" s="23">
        <f t="shared" si="2"/>
        <v>-1</v>
      </c>
      <c r="I41" s="23">
        <f t="shared" si="3"/>
        <v>0</v>
      </c>
      <c r="J41" s="22">
        <v>1</v>
      </c>
      <c r="K41" s="22">
        <v>1</v>
      </c>
      <c r="L41" s="22">
        <f t="shared" si="4"/>
        <v>0</v>
      </c>
      <c r="M41" s="22">
        <f t="shared" si="5"/>
        <v>1</v>
      </c>
      <c r="N41" s="23">
        <v>68</v>
      </c>
      <c r="O41" s="23">
        <v>53</v>
      </c>
      <c r="P41" s="23">
        <f t="shared" si="6"/>
        <v>15</v>
      </c>
      <c r="Q41" s="23">
        <f t="shared" si="7"/>
        <v>1</v>
      </c>
      <c r="R41" s="22">
        <v>56</v>
      </c>
      <c r="S41" s="22">
        <v>43</v>
      </c>
      <c r="T41" s="22">
        <f t="shared" si="8"/>
        <v>13</v>
      </c>
      <c r="U41" s="22">
        <f t="shared" si="9"/>
        <v>1</v>
      </c>
      <c r="V41" s="23">
        <v>64</v>
      </c>
      <c r="W41" s="23">
        <v>21</v>
      </c>
      <c r="X41" s="23">
        <f t="shared" si="10"/>
        <v>43</v>
      </c>
      <c r="Y41" s="23">
        <f t="shared" si="11"/>
        <v>1</v>
      </c>
    </row>
    <row r="42" spans="1:25" x14ac:dyDescent="0.2">
      <c r="A42" s="25" t="s">
        <v>179</v>
      </c>
      <c r="B42" s="22">
        <v>62</v>
      </c>
      <c r="C42" s="22">
        <v>76</v>
      </c>
      <c r="D42" s="22">
        <f t="shared" si="1"/>
        <v>-14</v>
      </c>
      <c r="E42" s="22">
        <f t="shared" si="12"/>
        <v>0</v>
      </c>
      <c r="F42" s="23">
        <v>1</v>
      </c>
      <c r="G42" s="23">
        <v>4</v>
      </c>
      <c r="H42" s="23">
        <f t="shared" si="2"/>
        <v>-3</v>
      </c>
      <c r="I42" s="23">
        <f t="shared" si="3"/>
        <v>0</v>
      </c>
      <c r="J42" s="22">
        <v>2</v>
      </c>
      <c r="K42" s="22">
        <v>5</v>
      </c>
      <c r="L42" s="22">
        <f t="shared" si="4"/>
        <v>-3</v>
      </c>
      <c r="M42" s="22">
        <f t="shared" si="5"/>
        <v>1</v>
      </c>
      <c r="N42" s="23">
        <v>65</v>
      </c>
      <c r="O42" s="23">
        <v>60</v>
      </c>
      <c r="P42" s="23">
        <f t="shared" si="6"/>
        <v>5</v>
      </c>
      <c r="Q42" s="23">
        <f t="shared" si="7"/>
        <v>1</v>
      </c>
      <c r="R42" s="22">
        <v>61</v>
      </c>
      <c r="S42" s="22">
        <v>41</v>
      </c>
      <c r="T42" s="22">
        <f t="shared" si="8"/>
        <v>20</v>
      </c>
      <c r="U42" s="22">
        <f t="shared" si="9"/>
        <v>1</v>
      </c>
      <c r="V42" s="23">
        <v>39</v>
      </c>
      <c r="W42" s="23">
        <v>31</v>
      </c>
      <c r="X42" s="23">
        <f t="shared" si="10"/>
        <v>8</v>
      </c>
      <c r="Y42" s="23">
        <f t="shared" si="11"/>
        <v>1</v>
      </c>
    </row>
    <row r="43" spans="1:25" x14ac:dyDescent="0.2">
      <c r="A43" s="25" t="s">
        <v>179</v>
      </c>
      <c r="B43" s="22">
        <v>59</v>
      </c>
      <c r="C43" s="22">
        <v>50</v>
      </c>
      <c r="D43" s="22">
        <f t="shared" si="1"/>
        <v>9</v>
      </c>
      <c r="E43" s="22">
        <f t="shared" si="12"/>
        <v>1</v>
      </c>
      <c r="F43" s="23">
        <v>10</v>
      </c>
      <c r="G43" s="23">
        <v>3</v>
      </c>
      <c r="H43" s="23">
        <f t="shared" si="2"/>
        <v>7</v>
      </c>
      <c r="I43" s="23">
        <f t="shared" si="3"/>
        <v>1</v>
      </c>
      <c r="J43" s="22">
        <v>1</v>
      </c>
      <c r="K43" s="22">
        <v>2</v>
      </c>
      <c r="L43" s="22">
        <f t="shared" si="4"/>
        <v>-1</v>
      </c>
      <c r="M43" s="22">
        <f t="shared" si="5"/>
        <v>1</v>
      </c>
      <c r="N43" s="23">
        <v>81</v>
      </c>
      <c r="O43" s="23">
        <v>69</v>
      </c>
      <c r="P43" s="23">
        <f t="shared" si="6"/>
        <v>12</v>
      </c>
      <c r="Q43" s="23">
        <f t="shared" si="7"/>
        <v>1</v>
      </c>
      <c r="R43" s="22">
        <v>59</v>
      </c>
      <c r="S43" s="22">
        <v>44</v>
      </c>
      <c r="T43" s="22">
        <f t="shared" si="8"/>
        <v>15</v>
      </c>
      <c r="U43" s="22">
        <f t="shared" si="9"/>
        <v>1</v>
      </c>
      <c r="V43" s="23">
        <v>63</v>
      </c>
      <c r="W43" s="23">
        <v>33</v>
      </c>
      <c r="X43" s="23">
        <f t="shared" si="10"/>
        <v>30</v>
      </c>
      <c r="Y43" s="23">
        <f t="shared" si="11"/>
        <v>1</v>
      </c>
    </row>
    <row r="44" spans="1:25" x14ac:dyDescent="0.2">
      <c r="A44" s="25" t="s">
        <v>179</v>
      </c>
      <c r="B44" s="22">
        <v>68</v>
      </c>
      <c r="C44" s="22">
        <v>70</v>
      </c>
      <c r="D44" s="22">
        <f t="shared" si="1"/>
        <v>-2</v>
      </c>
      <c r="E44" s="22">
        <f t="shared" si="12"/>
        <v>0</v>
      </c>
      <c r="F44" s="23">
        <v>4</v>
      </c>
      <c r="G44" s="23">
        <v>21</v>
      </c>
      <c r="H44" s="23">
        <f t="shared" si="2"/>
        <v>-17</v>
      </c>
      <c r="I44" s="23">
        <f t="shared" si="3"/>
        <v>0</v>
      </c>
      <c r="J44" s="22">
        <v>1</v>
      </c>
      <c r="K44" s="22">
        <v>4</v>
      </c>
      <c r="L44" s="22">
        <f t="shared" si="4"/>
        <v>-3</v>
      </c>
      <c r="M44" s="22">
        <f t="shared" si="5"/>
        <v>1</v>
      </c>
      <c r="N44" s="23">
        <v>75</v>
      </c>
      <c r="O44" s="23">
        <v>79</v>
      </c>
      <c r="P44" s="23">
        <f t="shared" si="6"/>
        <v>-4</v>
      </c>
      <c r="Q44" s="23">
        <f t="shared" si="7"/>
        <v>0</v>
      </c>
      <c r="R44" s="22">
        <v>74</v>
      </c>
      <c r="S44" s="22">
        <v>29</v>
      </c>
      <c r="T44" s="22">
        <f t="shared" si="8"/>
        <v>45</v>
      </c>
      <c r="U44" s="22">
        <f t="shared" si="9"/>
        <v>1</v>
      </c>
      <c r="V44" s="23">
        <v>33</v>
      </c>
      <c r="W44" s="23">
        <v>50</v>
      </c>
      <c r="X44" s="23">
        <f t="shared" si="10"/>
        <v>-17</v>
      </c>
      <c r="Y44" s="23">
        <f t="shared" si="11"/>
        <v>0</v>
      </c>
    </row>
    <row r="45" spans="1:25" x14ac:dyDescent="0.2">
      <c r="A45" s="19">
        <v>2013</v>
      </c>
      <c r="B45" s="22">
        <v>70</v>
      </c>
      <c r="C45" s="22">
        <v>62</v>
      </c>
      <c r="D45" s="22">
        <f t="shared" si="1"/>
        <v>8</v>
      </c>
      <c r="E45" s="22">
        <f t="shared" si="12"/>
        <v>1</v>
      </c>
      <c r="F45" s="23">
        <v>5</v>
      </c>
      <c r="G45" s="23">
        <v>1</v>
      </c>
      <c r="H45" s="23">
        <f t="shared" si="2"/>
        <v>4</v>
      </c>
      <c r="I45" s="23">
        <f t="shared" si="3"/>
        <v>1</v>
      </c>
      <c r="J45" s="22">
        <v>2</v>
      </c>
      <c r="K45" s="22">
        <v>5</v>
      </c>
      <c r="L45" s="22">
        <f t="shared" si="4"/>
        <v>-3</v>
      </c>
      <c r="M45" s="22">
        <f t="shared" si="5"/>
        <v>1</v>
      </c>
      <c r="N45" s="23">
        <v>70</v>
      </c>
      <c r="O45" s="23">
        <v>58</v>
      </c>
      <c r="P45" s="23">
        <f t="shared" si="6"/>
        <v>12</v>
      </c>
      <c r="Q45" s="23">
        <f t="shared" si="7"/>
        <v>1</v>
      </c>
      <c r="R45" s="22">
        <v>42</v>
      </c>
      <c r="S45" s="22">
        <v>25</v>
      </c>
      <c r="T45" s="22">
        <f t="shared" si="8"/>
        <v>17</v>
      </c>
      <c r="U45" s="22">
        <f t="shared" si="9"/>
        <v>1</v>
      </c>
      <c r="V45" s="23">
        <v>50</v>
      </c>
      <c r="W45" s="23">
        <v>25</v>
      </c>
      <c r="X45" s="23">
        <f t="shared" si="10"/>
        <v>25</v>
      </c>
      <c r="Y45" s="23">
        <f t="shared" si="11"/>
        <v>1</v>
      </c>
    </row>
    <row r="46" spans="1:25" x14ac:dyDescent="0.2">
      <c r="A46" s="25" t="s">
        <v>178</v>
      </c>
      <c r="B46" s="22">
        <v>64</v>
      </c>
      <c r="C46" s="22">
        <v>67</v>
      </c>
      <c r="D46" s="22">
        <f t="shared" si="1"/>
        <v>-3</v>
      </c>
      <c r="E46" s="22">
        <f t="shared" si="12"/>
        <v>0</v>
      </c>
      <c r="F46" s="23">
        <v>6</v>
      </c>
      <c r="G46" s="23">
        <v>5</v>
      </c>
      <c r="H46" s="23">
        <f t="shared" si="2"/>
        <v>1</v>
      </c>
      <c r="I46" s="23">
        <f t="shared" si="3"/>
        <v>1</v>
      </c>
      <c r="J46" s="22">
        <v>3</v>
      </c>
      <c r="K46" s="22">
        <v>2</v>
      </c>
      <c r="L46" s="22">
        <f t="shared" si="4"/>
        <v>1</v>
      </c>
      <c r="M46" s="22">
        <f t="shared" si="5"/>
        <v>0</v>
      </c>
      <c r="N46" s="23">
        <v>72</v>
      </c>
      <c r="O46" s="23">
        <v>64</v>
      </c>
      <c r="P46" s="23">
        <f t="shared" si="6"/>
        <v>8</v>
      </c>
      <c r="Q46" s="23">
        <f t="shared" si="7"/>
        <v>1</v>
      </c>
      <c r="R46" s="22">
        <v>60</v>
      </c>
      <c r="S46" s="22">
        <v>53</v>
      </c>
      <c r="T46" s="22">
        <f t="shared" si="8"/>
        <v>7</v>
      </c>
      <c r="U46" s="22">
        <f t="shared" si="9"/>
        <v>1</v>
      </c>
      <c r="V46" s="23">
        <v>50</v>
      </c>
      <c r="W46" s="23">
        <v>56</v>
      </c>
      <c r="X46" s="23">
        <f t="shared" si="10"/>
        <v>-6</v>
      </c>
      <c r="Y46" s="23">
        <f t="shared" si="11"/>
        <v>0</v>
      </c>
    </row>
    <row r="47" spans="1:25" x14ac:dyDescent="0.2">
      <c r="A47" s="25" t="s">
        <v>178</v>
      </c>
      <c r="B47" s="22">
        <v>60</v>
      </c>
      <c r="C47" s="22">
        <v>58</v>
      </c>
      <c r="D47" s="22">
        <f t="shared" si="1"/>
        <v>2</v>
      </c>
      <c r="E47" s="22">
        <f t="shared" si="12"/>
        <v>1</v>
      </c>
      <c r="F47" s="23">
        <v>3</v>
      </c>
      <c r="G47" s="23">
        <v>6</v>
      </c>
      <c r="H47" s="23">
        <f t="shared" si="2"/>
        <v>-3</v>
      </c>
      <c r="I47" s="23">
        <f t="shared" si="3"/>
        <v>0</v>
      </c>
      <c r="J47" s="22">
        <v>1</v>
      </c>
      <c r="K47" s="22">
        <v>3</v>
      </c>
      <c r="L47" s="22">
        <f t="shared" si="4"/>
        <v>-2</v>
      </c>
      <c r="M47" s="22">
        <f t="shared" si="5"/>
        <v>1</v>
      </c>
      <c r="N47" s="23">
        <v>66</v>
      </c>
      <c r="O47" s="23">
        <v>62</v>
      </c>
      <c r="P47" s="23">
        <f t="shared" si="6"/>
        <v>4</v>
      </c>
      <c r="Q47" s="23">
        <f t="shared" si="7"/>
        <v>1</v>
      </c>
      <c r="R47" s="22">
        <v>66</v>
      </c>
      <c r="S47" s="22">
        <v>40</v>
      </c>
      <c r="T47" s="22">
        <f t="shared" si="8"/>
        <v>26</v>
      </c>
      <c r="U47" s="22">
        <f t="shared" si="9"/>
        <v>1</v>
      </c>
      <c r="V47" s="23">
        <v>35</v>
      </c>
      <c r="W47" s="23">
        <v>40</v>
      </c>
      <c r="X47" s="23">
        <f t="shared" si="10"/>
        <v>-5</v>
      </c>
      <c r="Y47" s="23">
        <f t="shared" si="11"/>
        <v>0</v>
      </c>
    </row>
    <row r="48" spans="1:25" x14ac:dyDescent="0.2">
      <c r="A48" s="25" t="s">
        <v>179</v>
      </c>
      <c r="B48" s="22">
        <v>64</v>
      </c>
      <c r="C48" s="22">
        <v>60</v>
      </c>
      <c r="D48" s="22">
        <f t="shared" si="1"/>
        <v>4</v>
      </c>
      <c r="E48" s="22">
        <f t="shared" si="12"/>
        <v>1</v>
      </c>
      <c r="F48" s="23">
        <v>11</v>
      </c>
      <c r="G48" s="23">
        <v>4</v>
      </c>
      <c r="H48" s="23">
        <f t="shared" si="2"/>
        <v>7</v>
      </c>
      <c r="I48" s="23">
        <f t="shared" si="3"/>
        <v>1</v>
      </c>
      <c r="J48" s="22">
        <v>0</v>
      </c>
      <c r="K48" s="22">
        <v>5</v>
      </c>
      <c r="L48" s="22">
        <f t="shared" si="4"/>
        <v>-5</v>
      </c>
      <c r="M48" s="22">
        <f t="shared" si="5"/>
        <v>1</v>
      </c>
      <c r="N48" s="23">
        <v>82</v>
      </c>
      <c r="O48" s="23">
        <v>66</v>
      </c>
      <c r="P48" s="23">
        <f t="shared" si="6"/>
        <v>16</v>
      </c>
      <c r="Q48" s="23">
        <f t="shared" si="7"/>
        <v>1</v>
      </c>
      <c r="R48" s="22">
        <v>79</v>
      </c>
      <c r="S48" s="22">
        <v>43</v>
      </c>
      <c r="T48" s="22">
        <f t="shared" si="8"/>
        <v>36</v>
      </c>
      <c r="U48" s="22">
        <f t="shared" si="9"/>
        <v>1</v>
      </c>
      <c r="V48" s="23">
        <v>42</v>
      </c>
      <c r="W48" s="23">
        <v>100</v>
      </c>
      <c r="X48" s="23">
        <f t="shared" si="10"/>
        <v>-58</v>
      </c>
      <c r="Y48" s="23">
        <f t="shared" si="11"/>
        <v>0</v>
      </c>
    </row>
    <row r="49" spans="1:25" x14ac:dyDescent="0.2">
      <c r="A49" s="25" t="s">
        <v>179</v>
      </c>
      <c r="B49" s="22">
        <v>75</v>
      </c>
      <c r="C49" s="22">
        <v>60</v>
      </c>
      <c r="D49" s="22">
        <f t="shared" si="1"/>
        <v>15</v>
      </c>
      <c r="E49" s="22">
        <f t="shared" si="12"/>
        <v>1</v>
      </c>
      <c r="F49" s="23">
        <v>5</v>
      </c>
      <c r="G49" s="23">
        <v>3</v>
      </c>
      <c r="H49" s="23">
        <f t="shared" si="2"/>
        <v>2</v>
      </c>
      <c r="I49" s="23">
        <f t="shared" si="3"/>
        <v>1</v>
      </c>
      <c r="J49" s="22">
        <v>0</v>
      </c>
      <c r="K49" s="22">
        <v>4</v>
      </c>
      <c r="L49" s="22">
        <f t="shared" si="4"/>
        <v>-4</v>
      </c>
      <c r="M49" s="22">
        <f t="shared" si="5"/>
        <v>1</v>
      </c>
      <c r="N49" s="23">
        <v>73</v>
      </c>
      <c r="O49" s="23">
        <v>58</v>
      </c>
      <c r="P49" s="23">
        <f t="shared" si="6"/>
        <v>15</v>
      </c>
      <c r="Q49" s="23">
        <f t="shared" si="7"/>
        <v>1</v>
      </c>
      <c r="R49" s="22">
        <v>61</v>
      </c>
      <c r="S49" s="22">
        <v>34</v>
      </c>
      <c r="T49" s="22">
        <f t="shared" si="8"/>
        <v>27</v>
      </c>
      <c r="U49" s="22">
        <f t="shared" si="9"/>
        <v>1</v>
      </c>
      <c r="V49" s="23">
        <v>58</v>
      </c>
      <c r="W49" s="23">
        <v>20</v>
      </c>
      <c r="X49" s="23">
        <f t="shared" si="10"/>
        <v>38</v>
      </c>
      <c r="Y49" s="23">
        <f t="shared" si="11"/>
        <v>1</v>
      </c>
    </row>
    <row r="50" spans="1:25" x14ac:dyDescent="0.2">
      <c r="A50" s="25" t="s">
        <v>179</v>
      </c>
      <c r="B50" s="22">
        <v>47</v>
      </c>
      <c r="C50" s="22">
        <v>59</v>
      </c>
      <c r="D50" s="22">
        <f t="shared" si="1"/>
        <v>-12</v>
      </c>
      <c r="E50" s="22">
        <f t="shared" si="12"/>
        <v>0</v>
      </c>
      <c r="F50" s="23">
        <v>1</v>
      </c>
      <c r="G50" s="23">
        <v>2</v>
      </c>
      <c r="H50" s="23">
        <f t="shared" si="2"/>
        <v>-1</v>
      </c>
      <c r="I50" s="23">
        <f t="shared" si="3"/>
        <v>0</v>
      </c>
      <c r="J50" s="22">
        <v>3</v>
      </c>
      <c r="K50" s="22">
        <v>2</v>
      </c>
      <c r="L50" s="22">
        <f t="shared" si="4"/>
        <v>1</v>
      </c>
      <c r="M50" s="22">
        <f t="shared" si="5"/>
        <v>0</v>
      </c>
      <c r="N50" s="23">
        <v>86</v>
      </c>
      <c r="O50" s="23">
        <v>55</v>
      </c>
      <c r="P50" s="23">
        <f t="shared" si="6"/>
        <v>31</v>
      </c>
      <c r="Q50" s="23">
        <f t="shared" si="7"/>
        <v>1</v>
      </c>
      <c r="R50" s="22">
        <v>67</v>
      </c>
      <c r="S50" s="22">
        <v>32</v>
      </c>
      <c r="T50" s="22">
        <f t="shared" si="8"/>
        <v>35</v>
      </c>
      <c r="U50" s="22">
        <f t="shared" si="9"/>
        <v>1</v>
      </c>
      <c r="V50" s="23">
        <v>58</v>
      </c>
      <c r="W50" s="23">
        <v>0</v>
      </c>
      <c r="X50" s="23">
        <f t="shared" si="10"/>
        <v>58</v>
      </c>
      <c r="Y50" s="23">
        <f t="shared" si="11"/>
        <v>1</v>
      </c>
    </row>
    <row r="51" spans="1:25" x14ac:dyDescent="0.2">
      <c r="A51" s="25" t="s">
        <v>179</v>
      </c>
      <c r="B51" s="22">
        <v>75</v>
      </c>
      <c r="C51" s="22">
        <v>67</v>
      </c>
      <c r="D51" s="22">
        <f t="shared" si="1"/>
        <v>8</v>
      </c>
      <c r="E51" s="22">
        <f t="shared" si="12"/>
        <v>1</v>
      </c>
      <c r="F51" s="23">
        <v>2</v>
      </c>
      <c r="G51" s="23">
        <v>0</v>
      </c>
      <c r="H51" s="23">
        <f t="shared" si="2"/>
        <v>2</v>
      </c>
      <c r="I51" s="23">
        <f t="shared" si="3"/>
        <v>1</v>
      </c>
      <c r="J51" s="22">
        <v>0</v>
      </c>
      <c r="K51" s="22">
        <v>3</v>
      </c>
      <c r="L51" s="22">
        <f t="shared" si="4"/>
        <v>-3</v>
      </c>
      <c r="M51" s="22">
        <f t="shared" si="5"/>
        <v>1</v>
      </c>
      <c r="N51" s="23">
        <v>81</v>
      </c>
      <c r="O51" s="23">
        <v>58</v>
      </c>
      <c r="P51" s="23">
        <f t="shared" si="6"/>
        <v>23</v>
      </c>
      <c r="Q51" s="23">
        <f t="shared" si="7"/>
        <v>1</v>
      </c>
      <c r="R51" s="22">
        <v>53</v>
      </c>
      <c r="S51" s="22">
        <v>42</v>
      </c>
      <c r="T51" s="22">
        <f t="shared" si="8"/>
        <v>11</v>
      </c>
      <c r="U51" s="22">
        <f t="shared" si="9"/>
        <v>1</v>
      </c>
      <c r="V51" s="23">
        <v>43</v>
      </c>
      <c r="W51" s="23">
        <v>67</v>
      </c>
      <c r="X51" s="23">
        <f t="shared" si="10"/>
        <v>-24</v>
      </c>
      <c r="Y51" s="23">
        <f t="shared" si="11"/>
        <v>0</v>
      </c>
    </row>
    <row r="52" spans="1:25" x14ac:dyDescent="0.2">
      <c r="A52" s="19">
        <v>2012</v>
      </c>
      <c r="B52" s="22">
        <v>62</v>
      </c>
      <c r="C52" s="22">
        <v>59</v>
      </c>
      <c r="D52" s="22">
        <f t="shared" si="1"/>
        <v>3</v>
      </c>
      <c r="E52" s="22">
        <f t="shared" si="12"/>
        <v>1</v>
      </c>
      <c r="F52" s="23">
        <v>4</v>
      </c>
      <c r="G52" s="23">
        <v>3</v>
      </c>
      <c r="H52" s="23">
        <f t="shared" si="2"/>
        <v>1</v>
      </c>
      <c r="I52" s="23">
        <f t="shared" si="3"/>
        <v>1</v>
      </c>
      <c r="J52" s="22">
        <v>4</v>
      </c>
      <c r="K52" s="22">
        <v>4</v>
      </c>
      <c r="L52" s="22">
        <f t="shared" si="4"/>
        <v>0</v>
      </c>
      <c r="M52" s="22">
        <f t="shared" si="5"/>
        <v>1</v>
      </c>
      <c r="N52" s="23">
        <v>62</v>
      </c>
      <c r="O52" s="23">
        <v>62</v>
      </c>
      <c r="P52" s="23">
        <f t="shared" si="6"/>
        <v>0</v>
      </c>
      <c r="Q52" s="23">
        <f t="shared" si="7"/>
        <v>1</v>
      </c>
      <c r="R52" s="22">
        <v>53</v>
      </c>
      <c r="S52" s="22">
        <v>44</v>
      </c>
      <c r="T52" s="22">
        <f t="shared" si="8"/>
        <v>9</v>
      </c>
      <c r="U52" s="22">
        <f t="shared" si="9"/>
        <v>1</v>
      </c>
      <c r="V52" s="23">
        <v>53</v>
      </c>
      <c r="W52" s="23">
        <v>70</v>
      </c>
      <c r="X52" s="23">
        <f t="shared" si="10"/>
        <v>-17</v>
      </c>
      <c r="Y52" s="23">
        <f t="shared" si="11"/>
        <v>0</v>
      </c>
    </row>
    <row r="53" spans="1:25" x14ac:dyDescent="0.2">
      <c r="A53" s="25" t="s">
        <v>178</v>
      </c>
      <c r="B53" s="22">
        <v>68</v>
      </c>
      <c r="C53" s="22">
        <v>56</v>
      </c>
      <c r="D53" s="22">
        <f t="shared" si="1"/>
        <v>12</v>
      </c>
      <c r="E53" s="22">
        <f t="shared" si="12"/>
        <v>1</v>
      </c>
      <c r="F53" s="23">
        <v>6</v>
      </c>
      <c r="G53" s="23">
        <v>9</v>
      </c>
      <c r="H53" s="23">
        <f t="shared" si="2"/>
        <v>-3</v>
      </c>
      <c r="I53" s="23">
        <f t="shared" si="3"/>
        <v>0</v>
      </c>
      <c r="J53" s="22">
        <v>2</v>
      </c>
      <c r="K53" s="22">
        <v>3</v>
      </c>
      <c r="L53" s="22">
        <f t="shared" si="4"/>
        <v>-1</v>
      </c>
      <c r="M53" s="22">
        <f t="shared" si="5"/>
        <v>1</v>
      </c>
      <c r="N53" s="23">
        <v>73</v>
      </c>
      <c r="O53" s="23">
        <v>56</v>
      </c>
      <c r="P53" s="23">
        <f t="shared" si="6"/>
        <v>17</v>
      </c>
      <c r="Q53" s="23">
        <f t="shared" si="7"/>
        <v>1</v>
      </c>
      <c r="R53" s="22">
        <v>48</v>
      </c>
      <c r="S53" s="22">
        <v>45</v>
      </c>
      <c r="T53" s="22">
        <f t="shared" si="8"/>
        <v>3</v>
      </c>
      <c r="U53" s="22">
        <f t="shared" si="9"/>
        <v>1</v>
      </c>
      <c r="V53" s="23">
        <v>70</v>
      </c>
      <c r="W53" s="23">
        <v>50</v>
      </c>
      <c r="X53" s="23">
        <f t="shared" si="10"/>
        <v>20</v>
      </c>
      <c r="Y53" s="23">
        <f t="shared" si="11"/>
        <v>1</v>
      </c>
    </row>
    <row r="54" spans="1:25" x14ac:dyDescent="0.2">
      <c r="A54" s="25" t="s">
        <v>178</v>
      </c>
      <c r="B54" s="22">
        <v>60</v>
      </c>
      <c r="C54" s="22">
        <v>56</v>
      </c>
      <c r="D54" s="22">
        <f t="shared" si="1"/>
        <v>4</v>
      </c>
      <c r="E54" s="22">
        <f t="shared" si="12"/>
        <v>1</v>
      </c>
      <c r="F54" s="23">
        <v>2</v>
      </c>
      <c r="G54" s="23">
        <v>1</v>
      </c>
      <c r="H54" s="23">
        <f t="shared" si="2"/>
        <v>1</v>
      </c>
      <c r="I54" s="23">
        <f t="shared" si="3"/>
        <v>1</v>
      </c>
      <c r="J54" s="22">
        <v>1</v>
      </c>
      <c r="K54" s="22">
        <v>3</v>
      </c>
      <c r="L54" s="22">
        <f t="shared" si="4"/>
        <v>-2</v>
      </c>
      <c r="M54" s="22">
        <f t="shared" si="5"/>
        <v>1</v>
      </c>
      <c r="N54" s="23">
        <v>85</v>
      </c>
      <c r="O54" s="23">
        <v>51</v>
      </c>
      <c r="P54" s="23">
        <f t="shared" si="6"/>
        <v>34</v>
      </c>
      <c r="Q54" s="23">
        <f t="shared" si="7"/>
        <v>1</v>
      </c>
      <c r="R54" s="22">
        <v>58</v>
      </c>
      <c r="S54" s="22">
        <v>41</v>
      </c>
      <c r="T54" s="22">
        <f t="shared" si="8"/>
        <v>17</v>
      </c>
      <c r="U54" s="22">
        <f t="shared" si="9"/>
        <v>1</v>
      </c>
      <c r="V54" s="23">
        <v>70</v>
      </c>
      <c r="W54" s="23">
        <v>0</v>
      </c>
      <c r="X54" s="23">
        <f t="shared" si="10"/>
        <v>70</v>
      </c>
      <c r="Y54" s="23">
        <f t="shared" si="11"/>
        <v>1</v>
      </c>
    </row>
    <row r="55" spans="1:25" x14ac:dyDescent="0.2">
      <c r="A55" s="25" t="s">
        <v>179</v>
      </c>
      <c r="B55" s="22">
        <v>67</v>
      </c>
      <c r="C55" s="22">
        <v>68</v>
      </c>
      <c r="D55" s="22">
        <f t="shared" si="1"/>
        <v>-1</v>
      </c>
      <c r="E55" s="22">
        <f t="shared" si="12"/>
        <v>0</v>
      </c>
      <c r="F55" s="23">
        <v>7</v>
      </c>
      <c r="G55" s="23">
        <v>6</v>
      </c>
      <c r="H55" s="23">
        <f t="shared" si="2"/>
        <v>1</v>
      </c>
      <c r="I55" s="23">
        <f t="shared" si="3"/>
        <v>1</v>
      </c>
      <c r="J55" s="22">
        <v>2</v>
      </c>
      <c r="K55" s="22">
        <v>3</v>
      </c>
      <c r="L55" s="22">
        <f t="shared" si="4"/>
        <v>-1</v>
      </c>
      <c r="M55" s="22">
        <f t="shared" si="5"/>
        <v>1</v>
      </c>
      <c r="N55" s="23">
        <v>71</v>
      </c>
      <c r="O55" s="23">
        <v>65</v>
      </c>
      <c r="P55" s="23">
        <f t="shared" si="6"/>
        <v>6</v>
      </c>
      <c r="Q55" s="23">
        <f t="shared" si="7"/>
        <v>1</v>
      </c>
      <c r="R55" s="22">
        <v>53</v>
      </c>
      <c r="S55" s="22">
        <v>42</v>
      </c>
      <c r="T55" s="22">
        <f t="shared" si="8"/>
        <v>11</v>
      </c>
      <c r="U55" s="22">
        <f t="shared" si="9"/>
        <v>1</v>
      </c>
      <c r="V55" s="23">
        <v>46</v>
      </c>
      <c r="W55" s="23">
        <v>36</v>
      </c>
      <c r="X55" s="23">
        <f t="shared" si="10"/>
        <v>10</v>
      </c>
      <c r="Y55" s="23">
        <f t="shared" si="11"/>
        <v>1</v>
      </c>
    </row>
    <row r="56" spans="1:25" x14ac:dyDescent="0.2">
      <c r="A56" s="25" t="s">
        <v>179</v>
      </c>
      <c r="B56" s="22">
        <v>58</v>
      </c>
      <c r="C56" s="22">
        <v>59</v>
      </c>
      <c r="D56" s="22">
        <f t="shared" si="1"/>
        <v>-1</v>
      </c>
      <c r="E56" s="22">
        <f t="shared" si="12"/>
        <v>0</v>
      </c>
      <c r="F56" s="23">
        <v>11</v>
      </c>
      <c r="G56" s="23">
        <v>6</v>
      </c>
      <c r="H56" s="23">
        <f t="shared" si="2"/>
        <v>5</v>
      </c>
      <c r="I56" s="23">
        <f t="shared" si="3"/>
        <v>1</v>
      </c>
      <c r="J56" s="22">
        <v>1</v>
      </c>
      <c r="K56" s="22">
        <v>4</v>
      </c>
      <c r="L56" s="22">
        <f t="shared" si="4"/>
        <v>-3</v>
      </c>
      <c r="M56" s="22">
        <f t="shared" si="5"/>
        <v>1</v>
      </c>
      <c r="N56" s="23">
        <v>69</v>
      </c>
      <c r="O56" s="23">
        <v>74</v>
      </c>
      <c r="P56" s="23">
        <f t="shared" si="6"/>
        <v>-5</v>
      </c>
      <c r="Q56" s="23">
        <f t="shared" si="7"/>
        <v>0</v>
      </c>
      <c r="R56" s="22">
        <v>60</v>
      </c>
      <c r="S56" s="22">
        <v>31</v>
      </c>
      <c r="T56" s="22">
        <f t="shared" si="8"/>
        <v>29</v>
      </c>
      <c r="U56" s="22">
        <f t="shared" si="9"/>
        <v>1</v>
      </c>
      <c r="V56" s="23">
        <v>44</v>
      </c>
      <c r="W56" s="23">
        <v>40</v>
      </c>
      <c r="X56" s="23">
        <f t="shared" si="10"/>
        <v>4</v>
      </c>
      <c r="Y56" s="23">
        <f t="shared" si="11"/>
        <v>1</v>
      </c>
    </row>
    <row r="57" spans="1:25" x14ac:dyDescent="0.2">
      <c r="A57" s="25" t="s">
        <v>179</v>
      </c>
      <c r="B57" s="22">
        <v>64</v>
      </c>
      <c r="C57" s="22">
        <v>53</v>
      </c>
      <c r="D57" s="22">
        <f t="shared" si="1"/>
        <v>11</v>
      </c>
      <c r="E57" s="22">
        <f t="shared" si="12"/>
        <v>1</v>
      </c>
      <c r="F57" s="23">
        <v>3</v>
      </c>
      <c r="G57" s="23">
        <v>3</v>
      </c>
      <c r="H57" s="23">
        <f t="shared" si="2"/>
        <v>0</v>
      </c>
      <c r="I57" s="23">
        <f t="shared" si="3"/>
        <v>1</v>
      </c>
      <c r="J57" s="22">
        <v>5</v>
      </c>
      <c r="K57" s="22">
        <v>1</v>
      </c>
      <c r="L57" s="22">
        <f t="shared" si="4"/>
        <v>4</v>
      </c>
      <c r="M57" s="22">
        <f t="shared" si="5"/>
        <v>0</v>
      </c>
      <c r="N57" s="23">
        <v>68</v>
      </c>
      <c r="O57" s="23">
        <v>60</v>
      </c>
      <c r="P57" s="23">
        <f t="shared" si="6"/>
        <v>8</v>
      </c>
      <c r="Q57" s="23">
        <f t="shared" si="7"/>
        <v>1</v>
      </c>
      <c r="R57" s="22">
        <v>39</v>
      </c>
      <c r="S57" s="22">
        <v>39</v>
      </c>
      <c r="T57" s="22">
        <f t="shared" si="8"/>
        <v>0</v>
      </c>
      <c r="U57" s="22">
        <f t="shared" si="9"/>
        <v>1</v>
      </c>
      <c r="V57" s="23">
        <v>53</v>
      </c>
      <c r="W57" s="23">
        <v>33</v>
      </c>
      <c r="X57" s="23">
        <f t="shared" si="10"/>
        <v>20</v>
      </c>
      <c r="Y57" s="23">
        <f t="shared" si="11"/>
        <v>1</v>
      </c>
    </row>
    <row r="58" spans="1:25" x14ac:dyDescent="0.2">
      <c r="A58" s="25" t="s">
        <v>179</v>
      </c>
      <c r="B58" s="22">
        <v>66</v>
      </c>
      <c r="C58" s="22">
        <v>63</v>
      </c>
      <c r="D58" s="22">
        <f t="shared" si="1"/>
        <v>3</v>
      </c>
      <c r="E58" s="22">
        <f t="shared" si="12"/>
        <v>1</v>
      </c>
      <c r="F58" s="23">
        <v>10</v>
      </c>
      <c r="G58" s="23">
        <v>4</v>
      </c>
      <c r="H58" s="23">
        <f t="shared" si="2"/>
        <v>6</v>
      </c>
      <c r="I58" s="23">
        <f t="shared" si="3"/>
        <v>1</v>
      </c>
      <c r="J58" s="22">
        <v>1</v>
      </c>
      <c r="K58" s="22">
        <v>1</v>
      </c>
      <c r="L58" s="22">
        <f t="shared" si="4"/>
        <v>0</v>
      </c>
      <c r="M58" s="22">
        <f t="shared" si="5"/>
        <v>1</v>
      </c>
      <c r="N58" s="23">
        <v>84</v>
      </c>
      <c r="O58" s="23">
        <v>70</v>
      </c>
      <c r="P58" s="23">
        <f t="shared" si="6"/>
        <v>14</v>
      </c>
      <c r="Q58" s="23">
        <f t="shared" si="7"/>
        <v>1</v>
      </c>
      <c r="R58" s="22">
        <v>50</v>
      </c>
      <c r="S58" s="22">
        <v>45</v>
      </c>
      <c r="T58" s="22">
        <f t="shared" si="8"/>
        <v>5</v>
      </c>
      <c r="U58" s="22">
        <f t="shared" si="9"/>
        <v>1</v>
      </c>
      <c r="V58" s="23">
        <v>50</v>
      </c>
      <c r="W58" s="23">
        <v>0</v>
      </c>
      <c r="X58" s="23">
        <f t="shared" si="10"/>
        <v>50</v>
      </c>
      <c r="Y58" s="23">
        <f t="shared" si="11"/>
        <v>1</v>
      </c>
    </row>
    <row r="59" spans="1:25" x14ac:dyDescent="0.2">
      <c r="A59" s="19" t="s">
        <v>201</v>
      </c>
      <c r="B59" s="22">
        <v>66</v>
      </c>
      <c r="C59" s="22">
        <v>67</v>
      </c>
      <c r="D59" s="22">
        <f t="shared" si="1"/>
        <v>-1</v>
      </c>
      <c r="E59" s="22">
        <f t="shared" si="12"/>
        <v>0</v>
      </c>
      <c r="F59" s="23">
        <v>13</v>
      </c>
      <c r="G59" s="23">
        <v>14</v>
      </c>
      <c r="H59" s="23">
        <f t="shared" si="2"/>
        <v>-1</v>
      </c>
      <c r="I59" s="23">
        <f t="shared" si="3"/>
        <v>0</v>
      </c>
      <c r="J59" s="22">
        <v>1</v>
      </c>
      <c r="K59" s="22">
        <v>3</v>
      </c>
      <c r="L59" s="22">
        <f t="shared" si="4"/>
        <v>-2</v>
      </c>
      <c r="M59" s="22">
        <f t="shared" si="5"/>
        <v>1</v>
      </c>
      <c r="N59" s="23">
        <v>74</v>
      </c>
      <c r="O59" s="23">
        <v>74</v>
      </c>
      <c r="P59" s="23">
        <f t="shared" si="6"/>
        <v>0</v>
      </c>
      <c r="Q59" s="23">
        <f t="shared" si="7"/>
        <v>1</v>
      </c>
      <c r="R59" s="22">
        <v>60</v>
      </c>
      <c r="S59" s="22">
        <v>49</v>
      </c>
      <c r="T59" s="22">
        <f t="shared" si="8"/>
        <v>11</v>
      </c>
      <c r="U59" s="22">
        <f t="shared" si="9"/>
        <v>1</v>
      </c>
      <c r="V59" s="23">
        <v>40</v>
      </c>
      <c r="W59" s="23">
        <v>14</v>
      </c>
      <c r="X59" s="23">
        <f t="shared" si="10"/>
        <v>26</v>
      </c>
      <c r="Y59" s="23">
        <f t="shared" si="11"/>
        <v>1</v>
      </c>
    </row>
    <row r="60" spans="1:25" x14ac:dyDescent="0.2">
      <c r="A60" s="25" t="s">
        <v>178</v>
      </c>
      <c r="B60" s="22">
        <v>76</v>
      </c>
      <c r="C60" s="22">
        <v>51</v>
      </c>
      <c r="D60" s="22">
        <f t="shared" si="1"/>
        <v>25</v>
      </c>
      <c r="E60" s="22">
        <f t="shared" si="12"/>
        <v>1</v>
      </c>
      <c r="F60" s="23">
        <v>12</v>
      </c>
      <c r="G60" s="23">
        <v>6</v>
      </c>
      <c r="H60" s="23">
        <f t="shared" si="2"/>
        <v>6</v>
      </c>
      <c r="I60" s="23">
        <f t="shared" si="3"/>
        <v>1</v>
      </c>
      <c r="J60" s="22">
        <v>2</v>
      </c>
      <c r="K60" s="22">
        <v>6</v>
      </c>
      <c r="L60" s="22">
        <f t="shared" si="4"/>
        <v>-4</v>
      </c>
      <c r="M60" s="22">
        <f t="shared" si="5"/>
        <v>1</v>
      </c>
      <c r="N60" s="23">
        <v>78</v>
      </c>
      <c r="O60" s="23">
        <v>66</v>
      </c>
      <c r="P60" s="23">
        <f t="shared" si="6"/>
        <v>12</v>
      </c>
      <c r="Q60" s="23">
        <f t="shared" si="7"/>
        <v>1</v>
      </c>
      <c r="R60" s="22">
        <v>46</v>
      </c>
      <c r="S60" s="22">
        <v>55</v>
      </c>
      <c r="T60" s="22">
        <f t="shared" si="8"/>
        <v>-9</v>
      </c>
      <c r="U60" s="22">
        <f t="shared" si="9"/>
        <v>0</v>
      </c>
      <c r="V60" s="23">
        <v>38</v>
      </c>
      <c r="W60" s="23">
        <v>25</v>
      </c>
      <c r="X60" s="23">
        <f t="shared" si="10"/>
        <v>13</v>
      </c>
      <c r="Y60" s="23">
        <f t="shared" si="11"/>
        <v>1</v>
      </c>
    </row>
    <row r="61" spans="1:25" x14ac:dyDescent="0.2">
      <c r="A61" s="25" t="s">
        <v>178</v>
      </c>
      <c r="B61" s="22">
        <v>76</v>
      </c>
      <c r="C61" s="22">
        <v>74</v>
      </c>
      <c r="D61" s="22">
        <f t="shared" si="1"/>
        <v>2</v>
      </c>
      <c r="E61" s="22">
        <f t="shared" si="12"/>
        <v>1</v>
      </c>
      <c r="F61" s="23">
        <v>20</v>
      </c>
      <c r="G61" s="23">
        <v>12</v>
      </c>
      <c r="H61" s="23">
        <f t="shared" si="2"/>
        <v>8</v>
      </c>
      <c r="I61" s="23">
        <f t="shared" si="3"/>
        <v>1</v>
      </c>
      <c r="J61" s="22">
        <v>1</v>
      </c>
      <c r="K61" s="22">
        <v>1</v>
      </c>
      <c r="L61" s="22">
        <f t="shared" si="4"/>
        <v>0</v>
      </c>
      <c r="M61" s="22">
        <f t="shared" si="5"/>
        <v>1</v>
      </c>
      <c r="N61" s="23">
        <v>84</v>
      </c>
      <c r="O61" s="23">
        <v>71</v>
      </c>
      <c r="P61" s="23">
        <f t="shared" si="6"/>
        <v>13</v>
      </c>
      <c r="Q61" s="23">
        <f t="shared" si="7"/>
        <v>1</v>
      </c>
      <c r="R61" s="22">
        <v>55</v>
      </c>
      <c r="S61" s="22">
        <v>50</v>
      </c>
      <c r="T61" s="22">
        <f t="shared" si="8"/>
        <v>5</v>
      </c>
      <c r="U61" s="22">
        <f t="shared" si="9"/>
        <v>1</v>
      </c>
      <c r="V61" s="23">
        <v>30</v>
      </c>
      <c r="W61" s="23">
        <v>0</v>
      </c>
      <c r="X61" s="23">
        <f t="shared" si="10"/>
        <v>30</v>
      </c>
      <c r="Y61" s="23">
        <f t="shared" si="11"/>
        <v>1</v>
      </c>
    </row>
    <row r="62" spans="1:25" x14ac:dyDescent="0.2">
      <c r="A62" s="25" t="s">
        <v>179</v>
      </c>
      <c r="B62" s="22">
        <v>72</v>
      </c>
      <c r="C62" s="22">
        <v>55</v>
      </c>
      <c r="D62" s="22">
        <f t="shared" si="1"/>
        <v>17</v>
      </c>
      <c r="E62" s="22">
        <f t="shared" si="12"/>
        <v>1</v>
      </c>
      <c r="F62" s="23">
        <v>4</v>
      </c>
      <c r="G62" s="23">
        <v>8</v>
      </c>
      <c r="H62" s="23">
        <f t="shared" si="2"/>
        <v>-4</v>
      </c>
      <c r="I62" s="23">
        <f t="shared" si="3"/>
        <v>0</v>
      </c>
      <c r="J62" s="22">
        <v>1</v>
      </c>
      <c r="K62" s="22">
        <v>0</v>
      </c>
      <c r="L62" s="22">
        <f t="shared" si="4"/>
        <v>1</v>
      </c>
      <c r="M62" s="22">
        <f t="shared" si="5"/>
        <v>0</v>
      </c>
      <c r="N62" s="23">
        <v>79</v>
      </c>
      <c r="O62" s="23">
        <v>76</v>
      </c>
      <c r="P62" s="23">
        <f t="shared" si="6"/>
        <v>3</v>
      </c>
      <c r="Q62" s="23">
        <f t="shared" si="7"/>
        <v>1</v>
      </c>
      <c r="R62" s="22">
        <v>74</v>
      </c>
      <c r="S62" s="22">
        <v>49</v>
      </c>
      <c r="T62" s="22">
        <f t="shared" si="8"/>
        <v>25</v>
      </c>
      <c r="U62" s="22">
        <f t="shared" si="9"/>
        <v>1</v>
      </c>
      <c r="V62" s="23">
        <v>60</v>
      </c>
      <c r="W62" s="23">
        <v>0</v>
      </c>
      <c r="X62" s="23">
        <f t="shared" si="10"/>
        <v>60</v>
      </c>
      <c r="Y62" s="23">
        <f t="shared" si="11"/>
        <v>1</v>
      </c>
    </row>
    <row r="63" spans="1:25" x14ac:dyDescent="0.2">
      <c r="A63" s="25" t="s">
        <v>179</v>
      </c>
      <c r="B63" s="22">
        <v>67</v>
      </c>
      <c r="C63" s="22">
        <v>61</v>
      </c>
      <c r="D63" s="22">
        <f t="shared" si="1"/>
        <v>6</v>
      </c>
      <c r="E63" s="22">
        <f t="shared" si="12"/>
        <v>1</v>
      </c>
      <c r="F63" s="23">
        <v>6</v>
      </c>
      <c r="G63" s="23">
        <v>22</v>
      </c>
      <c r="H63" s="23">
        <f t="shared" si="2"/>
        <v>-16</v>
      </c>
      <c r="I63" s="23">
        <f t="shared" si="3"/>
        <v>0</v>
      </c>
      <c r="J63" s="22">
        <v>4</v>
      </c>
      <c r="K63" s="22">
        <v>1</v>
      </c>
      <c r="L63" s="22">
        <f t="shared" si="4"/>
        <v>3</v>
      </c>
      <c r="M63" s="22">
        <f t="shared" si="5"/>
        <v>0</v>
      </c>
      <c r="N63" s="23">
        <v>74</v>
      </c>
      <c r="O63" s="23">
        <v>78</v>
      </c>
      <c r="P63" s="23">
        <f t="shared" si="6"/>
        <v>-4</v>
      </c>
      <c r="Q63" s="23">
        <f t="shared" si="7"/>
        <v>0</v>
      </c>
      <c r="R63" s="22">
        <v>66</v>
      </c>
      <c r="S63" s="22">
        <v>55</v>
      </c>
      <c r="T63" s="22">
        <f t="shared" si="8"/>
        <v>11</v>
      </c>
      <c r="U63" s="22">
        <f t="shared" si="9"/>
        <v>1</v>
      </c>
      <c r="V63" s="23">
        <v>56</v>
      </c>
      <c r="W63" s="23">
        <v>44</v>
      </c>
      <c r="X63" s="23">
        <f t="shared" si="10"/>
        <v>12</v>
      </c>
      <c r="Y63" s="23">
        <f t="shared" si="11"/>
        <v>1</v>
      </c>
    </row>
    <row r="64" spans="1:25" x14ac:dyDescent="0.2">
      <c r="A64" s="25" t="s">
        <v>179</v>
      </c>
      <c r="B64" s="22">
        <v>64</v>
      </c>
      <c r="C64" s="22">
        <v>59</v>
      </c>
      <c r="D64" s="22">
        <f t="shared" si="1"/>
        <v>5</v>
      </c>
      <c r="E64" s="22">
        <f t="shared" si="12"/>
        <v>1</v>
      </c>
      <c r="F64" s="23">
        <v>4</v>
      </c>
      <c r="G64" s="23">
        <v>9</v>
      </c>
      <c r="H64" s="23">
        <f t="shared" si="2"/>
        <v>-5</v>
      </c>
      <c r="I64" s="23">
        <f t="shared" si="3"/>
        <v>0</v>
      </c>
      <c r="J64" s="22">
        <v>3</v>
      </c>
      <c r="K64" s="22">
        <v>3</v>
      </c>
      <c r="L64" s="22">
        <f t="shared" si="4"/>
        <v>0</v>
      </c>
      <c r="M64" s="22">
        <f t="shared" si="5"/>
        <v>1</v>
      </c>
      <c r="N64" s="23">
        <v>84</v>
      </c>
      <c r="O64" s="23">
        <v>80</v>
      </c>
      <c r="P64" s="23">
        <f t="shared" si="6"/>
        <v>4</v>
      </c>
      <c r="Q64" s="23">
        <f t="shared" si="7"/>
        <v>1</v>
      </c>
      <c r="R64" s="22">
        <v>56</v>
      </c>
      <c r="S64" s="22">
        <v>47</v>
      </c>
      <c r="T64" s="22">
        <f t="shared" si="8"/>
        <v>9</v>
      </c>
      <c r="U64" s="22">
        <f t="shared" si="9"/>
        <v>1</v>
      </c>
      <c r="V64" s="23">
        <v>38</v>
      </c>
      <c r="W64" s="23">
        <v>0</v>
      </c>
      <c r="X64" s="23">
        <f t="shared" si="10"/>
        <v>38</v>
      </c>
      <c r="Y64" s="23">
        <f t="shared" si="11"/>
        <v>1</v>
      </c>
    </row>
    <row r="65" spans="1:25" x14ac:dyDescent="0.2">
      <c r="A65" s="25" t="s">
        <v>179</v>
      </c>
      <c r="B65" s="22">
        <v>73</v>
      </c>
      <c r="C65" s="22">
        <v>58</v>
      </c>
      <c r="D65" s="22">
        <f t="shared" si="1"/>
        <v>15</v>
      </c>
      <c r="E65" s="22">
        <f t="shared" si="12"/>
        <v>1</v>
      </c>
      <c r="F65" s="23">
        <v>11</v>
      </c>
      <c r="G65" s="23">
        <v>1</v>
      </c>
      <c r="H65" s="23">
        <f t="shared" si="2"/>
        <v>10</v>
      </c>
      <c r="I65" s="23">
        <f t="shared" si="3"/>
        <v>1</v>
      </c>
      <c r="J65" s="22">
        <v>1</v>
      </c>
      <c r="K65" s="22">
        <v>2</v>
      </c>
      <c r="L65" s="22">
        <f t="shared" si="4"/>
        <v>-1</v>
      </c>
      <c r="M65" s="22">
        <f t="shared" si="5"/>
        <v>1</v>
      </c>
      <c r="N65" s="23">
        <v>80</v>
      </c>
      <c r="O65" s="23">
        <v>60</v>
      </c>
      <c r="P65" s="23">
        <f t="shared" si="6"/>
        <v>20</v>
      </c>
      <c r="Q65" s="23">
        <f t="shared" si="7"/>
        <v>1</v>
      </c>
      <c r="R65" s="22">
        <v>60</v>
      </c>
      <c r="S65" s="22">
        <v>54</v>
      </c>
      <c r="T65" s="22">
        <f t="shared" si="8"/>
        <v>6</v>
      </c>
      <c r="U65" s="22">
        <f t="shared" si="9"/>
        <v>1</v>
      </c>
      <c r="V65" s="23">
        <v>63</v>
      </c>
      <c r="W65" s="23">
        <v>100</v>
      </c>
      <c r="X65" s="23">
        <f t="shared" si="10"/>
        <v>-37</v>
      </c>
      <c r="Y65" s="23">
        <f t="shared" si="11"/>
        <v>0</v>
      </c>
    </row>
    <row r="66" spans="1:25" x14ac:dyDescent="0.2">
      <c r="A66" s="19">
        <v>2014</v>
      </c>
      <c r="B66" s="22">
        <v>62</v>
      </c>
      <c r="C66" s="22">
        <v>69</v>
      </c>
      <c r="D66" s="22">
        <f t="shared" si="1"/>
        <v>-7</v>
      </c>
      <c r="E66" s="22">
        <f t="shared" si="12"/>
        <v>0</v>
      </c>
      <c r="F66" s="23">
        <v>13</v>
      </c>
      <c r="G66" s="23">
        <v>29</v>
      </c>
      <c r="H66" s="23">
        <f t="shared" si="2"/>
        <v>-16</v>
      </c>
      <c r="I66" s="23">
        <f t="shared" si="3"/>
        <v>0</v>
      </c>
      <c r="J66" s="22">
        <v>3</v>
      </c>
      <c r="K66" s="22">
        <v>5</v>
      </c>
      <c r="L66" s="22">
        <f t="shared" si="4"/>
        <v>-2</v>
      </c>
      <c r="M66" s="22">
        <f t="shared" si="5"/>
        <v>1</v>
      </c>
      <c r="N66" s="23">
        <v>73</v>
      </c>
      <c r="O66" s="23">
        <v>77</v>
      </c>
      <c r="P66" s="23">
        <f t="shared" si="6"/>
        <v>-4</v>
      </c>
      <c r="Q66" s="23">
        <f t="shared" si="7"/>
        <v>0</v>
      </c>
      <c r="R66" s="22">
        <v>65</v>
      </c>
      <c r="S66" s="22">
        <v>44</v>
      </c>
      <c r="T66" s="22">
        <f t="shared" si="8"/>
        <v>21</v>
      </c>
      <c r="U66" s="22">
        <f t="shared" si="9"/>
        <v>1</v>
      </c>
      <c r="V66" s="23">
        <v>27</v>
      </c>
      <c r="W66" s="23">
        <v>43</v>
      </c>
      <c r="X66" s="23">
        <f t="shared" si="10"/>
        <v>-16</v>
      </c>
      <c r="Y66" s="23">
        <f t="shared" si="11"/>
        <v>0</v>
      </c>
    </row>
    <row r="67" spans="1:25" x14ac:dyDescent="0.2">
      <c r="A67" s="25" t="s">
        <v>178</v>
      </c>
      <c r="B67" s="22">
        <v>70</v>
      </c>
      <c r="C67" s="22">
        <v>63</v>
      </c>
      <c r="D67" s="22">
        <f t="shared" si="1"/>
        <v>7</v>
      </c>
      <c r="E67" s="22">
        <f t="shared" si="12"/>
        <v>1</v>
      </c>
      <c r="F67" s="23">
        <v>17</v>
      </c>
      <c r="G67" s="23">
        <v>15</v>
      </c>
      <c r="H67" s="23">
        <f t="shared" si="2"/>
        <v>2</v>
      </c>
      <c r="I67" s="23">
        <f t="shared" si="3"/>
        <v>1</v>
      </c>
      <c r="J67" s="22">
        <v>2</v>
      </c>
      <c r="K67" s="22">
        <v>8</v>
      </c>
      <c r="L67" s="22">
        <f t="shared" si="4"/>
        <v>-6</v>
      </c>
      <c r="M67" s="22">
        <f t="shared" si="5"/>
        <v>1</v>
      </c>
      <c r="N67" s="23">
        <v>73</v>
      </c>
      <c r="O67" s="23">
        <v>82</v>
      </c>
      <c r="P67" s="23">
        <f t="shared" si="6"/>
        <v>-9</v>
      </c>
      <c r="Q67" s="23">
        <f t="shared" si="7"/>
        <v>0</v>
      </c>
      <c r="R67" s="22">
        <v>56</v>
      </c>
      <c r="S67" s="22">
        <v>45</v>
      </c>
      <c r="T67" s="22">
        <f t="shared" si="8"/>
        <v>11</v>
      </c>
      <c r="U67" s="22">
        <f t="shared" si="9"/>
        <v>1</v>
      </c>
      <c r="V67" s="23">
        <v>50</v>
      </c>
      <c r="W67" s="23">
        <v>27</v>
      </c>
      <c r="X67" s="23">
        <f t="shared" si="10"/>
        <v>23</v>
      </c>
      <c r="Y67" s="23">
        <f t="shared" si="11"/>
        <v>1</v>
      </c>
    </row>
    <row r="68" spans="1:25" x14ac:dyDescent="0.2">
      <c r="A68" s="25" t="s">
        <v>178</v>
      </c>
      <c r="B68" s="22">
        <v>65</v>
      </c>
      <c r="C68" s="22">
        <v>55</v>
      </c>
      <c r="D68" s="22">
        <f t="shared" ref="D68:D114" si="13">B68-C68</f>
        <v>10</v>
      </c>
      <c r="E68" s="22">
        <f t="shared" si="12"/>
        <v>1</v>
      </c>
      <c r="F68" s="23">
        <v>6</v>
      </c>
      <c r="G68" s="23">
        <v>17</v>
      </c>
      <c r="H68" s="23">
        <f t="shared" ref="H68:H114" si="14">F68-G68</f>
        <v>-11</v>
      </c>
      <c r="I68" s="23">
        <f t="shared" ref="I68:I114" si="15">IF(F68&gt;=G68,1,0)</f>
        <v>0</v>
      </c>
      <c r="J68" s="22">
        <v>1</v>
      </c>
      <c r="K68" s="22">
        <v>4</v>
      </c>
      <c r="L68" s="22">
        <f t="shared" ref="L68:L114" si="16">J68-K68</f>
        <v>-3</v>
      </c>
      <c r="M68" s="22">
        <f t="shared" ref="M68:M114" si="17">IF(J68&lt;=K68,1,0)</f>
        <v>1</v>
      </c>
      <c r="N68" s="23">
        <v>81</v>
      </c>
      <c r="O68" s="23">
        <v>80</v>
      </c>
      <c r="P68" s="23">
        <f t="shared" ref="P68:P114" si="18">N68-O68</f>
        <v>1</v>
      </c>
      <c r="Q68" s="23">
        <f t="shared" ref="Q68:Q114" si="19">IF(N68&gt;=O68,1,0)</f>
        <v>1</v>
      </c>
      <c r="R68" s="22">
        <v>68</v>
      </c>
      <c r="S68" s="22">
        <v>50</v>
      </c>
      <c r="T68" s="22">
        <f t="shared" ref="T68:T114" si="20">R68-S68</f>
        <v>18</v>
      </c>
      <c r="U68" s="22">
        <f t="shared" ref="U68:U114" si="21">IF(R68&gt;=S68,1,0)</f>
        <v>1</v>
      </c>
      <c r="V68" s="23">
        <v>43</v>
      </c>
      <c r="W68" s="23">
        <v>0</v>
      </c>
      <c r="X68" s="23">
        <f t="shared" ref="X68:X114" si="22">V68-W68</f>
        <v>43</v>
      </c>
      <c r="Y68" s="23">
        <f t="shared" ref="Y68:Y114" si="23">IF(V68&gt;=W68,1,0)</f>
        <v>1</v>
      </c>
    </row>
    <row r="69" spans="1:25" x14ac:dyDescent="0.2">
      <c r="A69" s="25" t="s">
        <v>179</v>
      </c>
      <c r="B69" s="22">
        <v>70</v>
      </c>
      <c r="C69" s="22">
        <v>56</v>
      </c>
      <c r="D69" s="22">
        <f t="shared" si="13"/>
        <v>14</v>
      </c>
      <c r="E69" s="22">
        <f t="shared" si="12"/>
        <v>1</v>
      </c>
      <c r="F69" s="23">
        <v>10</v>
      </c>
      <c r="G69" s="23">
        <v>10</v>
      </c>
      <c r="H69" s="23">
        <f t="shared" si="14"/>
        <v>0</v>
      </c>
      <c r="I69" s="23">
        <f t="shared" si="15"/>
        <v>1</v>
      </c>
      <c r="J69" s="22">
        <v>3</v>
      </c>
      <c r="K69" s="22">
        <v>6</v>
      </c>
      <c r="L69" s="22">
        <f t="shared" si="16"/>
        <v>-3</v>
      </c>
      <c r="M69" s="22">
        <f t="shared" si="17"/>
        <v>1</v>
      </c>
      <c r="N69" s="23">
        <v>74</v>
      </c>
      <c r="O69" s="23">
        <v>69</v>
      </c>
      <c r="P69" s="23">
        <f t="shared" si="18"/>
        <v>5</v>
      </c>
      <c r="Q69" s="23">
        <f t="shared" si="19"/>
        <v>1</v>
      </c>
      <c r="R69" s="22">
        <v>57</v>
      </c>
      <c r="S69" s="22">
        <v>41</v>
      </c>
      <c r="T69" s="22">
        <f t="shared" si="20"/>
        <v>16</v>
      </c>
      <c r="U69" s="22">
        <f t="shared" si="21"/>
        <v>1</v>
      </c>
      <c r="V69" s="23">
        <v>37</v>
      </c>
      <c r="W69" s="23">
        <v>50</v>
      </c>
      <c r="X69" s="23">
        <f t="shared" si="22"/>
        <v>-13</v>
      </c>
      <c r="Y69" s="23">
        <f t="shared" si="23"/>
        <v>0</v>
      </c>
    </row>
    <row r="70" spans="1:25" x14ac:dyDescent="0.2">
      <c r="A70" s="25" t="s">
        <v>179</v>
      </c>
      <c r="B70" s="22">
        <v>63</v>
      </c>
      <c r="C70" s="22">
        <v>61</v>
      </c>
      <c r="D70" s="22">
        <f t="shared" si="13"/>
        <v>2</v>
      </c>
      <c r="E70" s="22">
        <f t="shared" si="12"/>
        <v>1</v>
      </c>
      <c r="F70" s="23">
        <v>10</v>
      </c>
      <c r="G70" s="23">
        <v>5</v>
      </c>
      <c r="H70" s="23">
        <f t="shared" si="14"/>
        <v>5</v>
      </c>
      <c r="I70" s="23">
        <f t="shared" si="15"/>
        <v>1</v>
      </c>
      <c r="J70" s="22">
        <v>3</v>
      </c>
      <c r="K70" s="22">
        <v>5</v>
      </c>
      <c r="L70" s="22">
        <f t="shared" si="16"/>
        <v>-2</v>
      </c>
      <c r="M70" s="22">
        <f t="shared" si="17"/>
        <v>1</v>
      </c>
      <c r="N70" s="23">
        <v>77</v>
      </c>
      <c r="O70" s="23">
        <v>72</v>
      </c>
      <c r="P70" s="23">
        <f t="shared" si="18"/>
        <v>5</v>
      </c>
      <c r="Q70" s="23">
        <f t="shared" si="19"/>
        <v>1</v>
      </c>
      <c r="R70" s="22">
        <v>59</v>
      </c>
      <c r="S70" s="22">
        <v>31</v>
      </c>
      <c r="T70" s="22">
        <f t="shared" si="20"/>
        <v>28</v>
      </c>
      <c r="U70" s="22">
        <f t="shared" si="21"/>
        <v>1</v>
      </c>
      <c r="V70" s="23">
        <v>56</v>
      </c>
      <c r="W70" s="23">
        <v>50</v>
      </c>
      <c r="X70" s="23">
        <f t="shared" si="22"/>
        <v>6</v>
      </c>
      <c r="Y70" s="23">
        <f t="shared" si="23"/>
        <v>1</v>
      </c>
    </row>
    <row r="71" spans="1:25" x14ac:dyDescent="0.2">
      <c r="A71" s="25" t="s">
        <v>179</v>
      </c>
      <c r="B71" s="22">
        <v>65</v>
      </c>
      <c r="C71" s="22">
        <v>60</v>
      </c>
      <c r="D71" s="22">
        <f t="shared" si="13"/>
        <v>5</v>
      </c>
      <c r="E71" s="22">
        <f t="shared" si="12"/>
        <v>1</v>
      </c>
      <c r="F71" s="23">
        <v>10</v>
      </c>
      <c r="G71" s="23">
        <v>9</v>
      </c>
      <c r="H71" s="23">
        <f t="shared" si="14"/>
        <v>1</v>
      </c>
      <c r="I71" s="23">
        <f t="shared" si="15"/>
        <v>1</v>
      </c>
      <c r="J71" s="22">
        <v>1</v>
      </c>
      <c r="K71" s="22">
        <v>1</v>
      </c>
      <c r="L71" s="22">
        <f t="shared" si="16"/>
        <v>0</v>
      </c>
      <c r="M71" s="22">
        <f t="shared" si="17"/>
        <v>1</v>
      </c>
      <c r="N71" s="23">
        <v>79</v>
      </c>
      <c r="O71" s="23">
        <v>77</v>
      </c>
      <c r="P71" s="23">
        <f t="shared" si="18"/>
        <v>2</v>
      </c>
      <c r="Q71" s="23">
        <f t="shared" si="19"/>
        <v>1</v>
      </c>
      <c r="R71" s="22">
        <v>69</v>
      </c>
      <c r="S71" s="22">
        <v>62</v>
      </c>
      <c r="T71" s="22">
        <f t="shared" si="20"/>
        <v>7</v>
      </c>
      <c r="U71" s="22">
        <f t="shared" si="21"/>
        <v>1</v>
      </c>
      <c r="V71" s="23">
        <v>29</v>
      </c>
      <c r="W71" s="23">
        <v>25</v>
      </c>
      <c r="X71" s="23">
        <f t="shared" si="22"/>
        <v>4</v>
      </c>
      <c r="Y71" s="23">
        <f t="shared" si="23"/>
        <v>1</v>
      </c>
    </row>
    <row r="72" spans="1:25" x14ac:dyDescent="0.2">
      <c r="A72" s="25" t="s">
        <v>179</v>
      </c>
      <c r="B72" s="22">
        <v>70</v>
      </c>
      <c r="C72" s="22">
        <v>72</v>
      </c>
      <c r="D72" s="22">
        <f t="shared" si="13"/>
        <v>-2</v>
      </c>
      <c r="E72" s="22">
        <f t="shared" si="12"/>
        <v>0</v>
      </c>
      <c r="F72" s="23">
        <v>39</v>
      </c>
      <c r="G72" s="23">
        <v>15</v>
      </c>
      <c r="H72" s="23">
        <f t="shared" si="14"/>
        <v>24</v>
      </c>
      <c r="I72" s="23">
        <f t="shared" si="15"/>
        <v>1</v>
      </c>
      <c r="J72" s="22">
        <v>2</v>
      </c>
      <c r="K72" s="22">
        <v>1</v>
      </c>
      <c r="L72" s="22">
        <f t="shared" si="16"/>
        <v>1</v>
      </c>
      <c r="M72" s="22">
        <f t="shared" si="17"/>
        <v>0</v>
      </c>
      <c r="N72" s="23">
        <v>88</v>
      </c>
      <c r="O72" s="23">
        <v>67</v>
      </c>
      <c r="P72" s="23">
        <f t="shared" si="18"/>
        <v>21</v>
      </c>
      <c r="Q72" s="23">
        <f t="shared" si="19"/>
        <v>1</v>
      </c>
      <c r="R72" s="22">
        <v>67</v>
      </c>
      <c r="S72" s="22">
        <v>54</v>
      </c>
      <c r="T72" s="22">
        <f t="shared" si="20"/>
        <v>13</v>
      </c>
      <c r="U72" s="22">
        <f t="shared" si="21"/>
        <v>1</v>
      </c>
      <c r="V72" s="23">
        <v>44</v>
      </c>
      <c r="W72" s="23">
        <v>100</v>
      </c>
      <c r="X72" s="23">
        <f t="shared" si="22"/>
        <v>-56</v>
      </c>
      <c r="Y72" s="23">
        <f t="shared" si="23"/>
        <v>0</v>
      </c>
    </row>
    <row r="73" spans="1:25" x14ac:dyDescent="0.2">
      <c r="A73" s="19">
        <v>2013</v>
      </c>
      <c r="B73" s="22">
        <v>64</v>
      </c>
      <c r="C73" s="22">
        <v>65</v>
      </c>
      <c r="D73" s="22">
        <f t="shared" si="13"/>
        <v>-1</v>
      </c>
      <c r="E73" s="22">
        <f t="shared" si="12"/>
        <v>0</v>
      </c>
      <c r="F73" s="23">
        <v>9</v>
      </c>
      <c r="G73" s="23">
        <v>4</v>
      </c>
      <c r="H73" s="23">
        <f t="shared" si="14"/>
        <v>5</v>
      </c>
      <c r="I73" s="23">
        <f t="shared" si="15"/>
        <v>1</v>
      </c>
      <c r="J73" s="22">
        <v>2</v>
      </c>
      <c r="K73" s="22">
        <v>4</v>
      </c>
      <c r="L73" s="22">
        <f t="shared" si="16"/>
        <v>-2</v>
      </c>
      <c r="M73" s="22">
        <f t="shared" si="17"/>
        <v>1</v>
      </c>
      <c r="N73" s="23">
        <v>72</v>
      </c>
      <c r="O73" s="23">
        <v>59</v>
      </c>
      <c r="P73" s="23">
        <f t="shared" si="18"/>
        <v>13</v>
      </c>
      <c r="Q73" s="23">
        <f t="shared" si="19"/>
        <v>1</v>
      </c>
      <c r="R73" s="22">
        <v>42</v>
      </c>
      <c r="S73" s="22">
        <v>41</v>
      </c>
      <c r="T73" s="22">
        <f t="shared" si="20"/>
        <v>1</v>
      </c>
      <c r="U73" s="22">
        <f t="shared" si="21"/>
        <v>1</v>
      </c>
      <c r="V73" s="23">
        <v>41</v>
      </c>
      <c r="W73" s="23">
        <v>31</v>
      </c>
      <c r="X73" s="23">
        <f t="shared" si="22"/>
        <v>10</v>
      </c>
      <c r="Y73" s="23">
        <f t="shared" si="23"/>
        <v>1</v>
      </c>
    </row>
    <row r="74" spans="1:25" x14ac:dyDescent="0.2">
      <c r="A74" s="25" t="s">
        <v>178</v>
      </c>
      <c r="B74" s="22">
        <v>69</v>
      </c>
      <c r="C74" s="22">
        <v>60</v>
      </c>
      <c r="D74" s="22">
        <f t="shared" si="13"/>
        <v>9</v>
      </c>
      <c r="E74" s="22">
        <f t="shared" si="12"/>
        <v>1</v>
      </c>
      <c r="F74" s="23">
        <v>22</v>
      </c>
      <c r="G74" s="23">
        <v>4</v>
      </c>
      <c r="H74" s="23">
        <f t="shared" si="14"/>
        <v>18</v>
      </c>
      <c r="I74" s="23">
        <f t="shared" si="15"/>
        <v>1</v>
      </c>
      <c r="J74" s="22">
        <v>2</v>
      </c>
      <c r="K74" s="22">
        <v>4</v>
      </c>
      <c r="L74" s="22">
        <f t="shared" si="16"/>
        <v>-2</v>
      </c>
      <c r="M74" s="22">
        <f t="shared" si="17"/>
        <v>1</v>
      </c>
      <c r="N74" s="23">
        <v>83</v>
      </c>
      <c r="O74" s="23">
        <v>72</v>
      </c>
      <c r="P74" s="23">
        <f t="shared" si="18"/>
        <v>11</v>
      </c>
      <c r="Q74" s="23">
        <f t="shared" si="19"/>
        <v>1</v>
      </c>
      <c r="R74" s="22">
        <v>39</v>
      </c>
      <c r="S74" s="22">
        <v>55</v>
      </c>
      <c r="T74" s="22">
        <f t="shared" si="20"/>
        <v>-16</v>
      </c>
      <c r="U74" s="22">
        <f t="shared" si="21"/>
        <v>0</v>
      </c>
      <c r="V74" s="23">
        <v>20</v>
      </c>
      <c r="W74" s="23">
        <v>29</v>
      </c>
      <c r="X74" s="23">
        <f t="shared" si="22"/>
        <v>-9</v>
      </c>
      <c r="Y74" s="23">
        <f t="shared" si="23"/>
        <v>0</v>
      </c>
    </row>
    <row r="75" spans="1:25" x14ac:dyDescent="0.2">
      <c r="A75" s="25" t="s">
        <v>178</v>
      </c>
      <c r="B75" s="22">
        <v>70</v>
      </c>
      <c r="C75" s="22">
        <v>55</v>
      </c>
      <c r="D75" s="22">
        <f t="shared" si="13"/>
        <v>15</v>
      </c>
      <c r="E75" s="22">
        <f t="shared" si="12"/>
        <v>1</v>
      </c>
      <c r="F75" s="23">
        <v>20</v>
      </c>
      <c r="G75" s="23">
        <v>9</v>
      </c>
      <c r="H75" s="23">
        <f t="shared" si="14"/>
        <v>11</v>
      </c>
      <c r="I75" s="23">
        <f t="shared" si="15"/>
        <v>1</v>
      </c>
      <c r="J75" s="22">
        <v>1</v>
      </c>
      <c r="K75" s="22">
        <v>11</v>
      </c>
      <c r="L75" s="22">
        <f t="shared" si="16"/>
        <v>-10</v>
      </c>
      <c r="M75" s="22">
        <f t="shared" si="17"/>
        <v>1</v>
      </c>
      <c r="N75" s="23">
        <v>76</v>
      </c>
      <c r="O75" s="23">
        <v>75</v>
      </c>
      <c r="P75" s="23">
        <f t="shared" si="18"/>
        <v>1</v>
      </c>
      <c r="Q75" s="23">
        <f t="shared" si="19"/>
        <v>1</v>
      </c>
      <c r="R75" s="22">
        <v>71</v>
      </c>
      <c r="S75" s="22">
        <v>47</v>
      </c>
      <c r="T75" s="22">
        <f t="shared" si="20"/>
        <v>24</v>
      </c>
      <c r="U75" s="22">
        <f t="shared" si="21"/>
        <v>1</v>
      </c>
      <c r="V75" s="23">
        <v>38</v>
      </c>
      <c r="W75" s="23">
        <v>14</v>
      </c>
      <c r="X75" s="23">
        <f t="shared" si="22"/>
        <v>24</v>
      </c>
      <c r="Y75" s="23">
        <f t="shared" si="23"/>
        <v>1</v>
      </c>
    </row>
    <row r="76" spans="1:25" x14ac:dyDescent="0.2">
      <c r="A76" s="25" t="s">
        <v>179</v>
      </c>
      <c r="B76" s="22">
        <v>61</v>
      </c>
      <c r="C76" s="22">
        <v>53</v>
      </c>
      <c r="D76" s="22">
        <f t="shared" si="13"/>
        <v>8</v>
      </c>
      <c r="E76" s="22">
        <f t="shared" si="12"/>
        <v>1</v>
      </c>
      <c r="F76" s="23">
        <v>16</v>
      </c>
      <c r="G76" s="23">
        <v>6</v>
      </c>
      <c r="H76" s="23">
        <f t="shared" si="14"/>
        <v>10</v>
      </c>
      <c r="I76" s="23">
        <f t="shared" si="15"/>
        <v>1</v>
      </c>
      <c r="J76" s="22">
        <v>1</v>
      </c>
      <c r="K76" s="22">
        <v>4</v>
      </c>
      <c r="L76" s="22">
        <f t="shared" si="16"/>
        <v>-3</v>
      </c>
      <c r="M76" s="22">
        <f t="shared" si="17"/>
        <v>1</v>
      </c>
      <c r="N76" s="23">
        <v>78</v>
      </c>
      <c r="O76" s="23">
        <v>63</v>
      </c>
      <c r="P76" s="23">
        <f t="shared" si="18"/>
        <v>15</v>
      </c>
      <c r="Q76" s="23">
        <f t="shared" si="19"/>
        <v>1</v>
      </c>
      <c r="R76" s="22">
        <v>60</v>
      </c>
      <c r="S76" s="22">
        <v>57</v>
      </c>
      <c r="T76" s="22">
        <f t="shared" si="20"/>
        <v>3</v>
      </c>
      <c r="U76" s="22">
        <f t="shared" si="21"/>
        <v>1</v>
      </c>
      <c r="V76" s="23">
        <v>40</v>
      </c>
      <c r="W76" s="23">
        <v>100</v>
      </c>
      <c r="X76" s="23">
        <f t="shared" si="22"/>
        <v>-60</v>
      </c>
      <c r="Y76" s="23">
        <f t="shared" si="23"/>
        <v>0</v>
      </c>
    </row>
    <row r="77" spans="1:25" x14ac:dyDescent="0.2">
      <c r="A77" s="25" t="s">
        <v>179</v>
      </c>
      <c r="B77" s="22">
        <v>72</v>
      </c>
      <c r="C77" s="22">
        <v>68</v>
      </c>
      <c r="D77" s="22">
        <f t="shared" si="13"/>
        <v>4</v>
      </c>
      <c r="E77" s="22">
        <f t="shared" si="12"/>
        <v>1</v>
      </c>
      <c r="F77" s="23">
        <v>12</v>
      </c>
      <c r="G77" s="23">
        <v>8</v>
      </c>
      <c r="H77" s="23">
        <f t="shared" si="14"/>
        <v>4</v>
      </c>
      <c r="I77" s="23">
        <f t="shared" si="15"/>
        <v>1</v>
      </c>
      <c r="J77" s="22">
        <v>0</v>
      </c>
      <c r="K77" s="22">
        <v>2</v>
      </c>
      <c r="L77" s="22">
        <f t="shared" si="16"/>
        <v>-2</v>
      </c>
      <c r="M77" s="22">
        <f t="shared" si="17"/>
        <v>1</v>
      </c>
      <c r="N77" s="23">
        <v>87</v>
      </c>
      <c r="O77" s="23">
        <v>64</v>
      </c>
      <c r="P77" s="23">
        <f t="shared" si="18"/>
        <v>23</v>
      </c>
      <c r="Q77" s="23">
        <f t="shared" si="19"/>
        <v>1</v>
      </c>
      <c r="R77" s="22">
        <v>46</v>
      </c>
      <c r="S77" s="22">
        <v>52</v>
      </c>
      <c r="T77" s="22">
        <f t="shared" si="20"/>
        <v>-6</v>
      </c>
      <c r="U77" s="22">
        <f t="shared" si="21"/>
        <v>0</v>
      </c>
      <c r="V77" s="23">
        <v>38</v>
      </c>
      <c r="W77" s="23">
        <v>0</v>
      </c>
      <c r="X77" s="23">
        <f t="shared" si="22"/>
        <v>38</v>
      </c>
      <c r="Y77" s="23">
        <f t="shared" si="23"/>
        <v>1</v>
      </c>
    </row>
    <row r="78" spans="1:25" x14ac:dyDescent="0.2">
      <c r="A78" s="25" t="s">
        <v>179</v>
      </c>
      <c r="B78" s="22">
        <v>68</v>
      </c>
      <c r="C78" s="22">
        <v>57</v>
      </c>
      <c r="D78" s="22">
        <f t="shared" si="13"/>
        <v>11</v>
      </c>
      <c r="E78" s="22">
        <f t="shared" si="12"/>
        <v>1</v>
      </c>
      <c r="F78" s="23">
        <v>30</v>
      </c>
      <c r="G78" s="23">
        <v>9</v>
      </c>
      <c r="H78" s="23">
        <f t="shared" si="14"/>
        <v>21</v>
      </c>
      <c r="I78" s="23">
        <f t="shared" si="15"/>
        <v>1</v>
      </c>
      <c r="J78" s="22">
        <v>9</v>
      </c>
      <c r="K78" s="22">
        <v>3</v>
      </c>
      <c r="L78" s="22">
        <f t="shared" si="16"/>
        <v>6</v>
      </c>
      <c r="M78" s="22">
        <f t="shared" si="17"/>
        <v>0</v>
      </c>
      <c r="N78" s="23">
        <v>90</v>
      </c>
      <c r="O78" s="23">
        <v>77</v>
      </c>
      <c r="P78" s="23">
        <f t="shared" si="18"/>
        <v>13</v>
      </c>
      <c r="Q78" s="23">
        <f t="shared" si="19"/>
        <v>1</v>
      </c>
      <c r="R78" s="22">
        <v>36</v>
      </c>
      <c r="S78" s="22">
        <v>47</v>
      </c>
      <c r="T78" s="22">
        <f t="shared" si="20"/>
        <v>-11</v>
      </c>
      <c r="U78" s="22">
        <f t="shared" si="21"/>
        <v>0</v>
      </c>
      <c r="V78" s="23">
        <v>30</v>
      </c>
      <c r="W78" s="23">
        <v>0</v>
      </c>
      <c r="X78" s="23">
        <f t="shared" si="22"/>
        <v>30</v>
      </c>
      <c r="Y78" s="23">
        <f t="shared" si="23"/>
        <v>1</v>
      </c>
    </row>
    <row r="79" spans="1:25" x14ac:dyDescent="0.2">
      <c r="A79" s="25" t="s">
        <v>179</v>
      </c>
      <c r="B79" s="22">
        <v>69</v>
      </c>
      <c r="C79" s="22">
        <v>59</v>
      </c>
      <c r="D79" s="22">
        <f t="shared" si="13"/>
        <v>10</v>
      </c>
      <c r="E79" s="22">
        <f t="shared" si="12"/>
        <v>1</v>
      </c>
      <c r="F79" s="23">
        <v>14</v>
      </c>
      <c r="G79" s="23">
        <v>11</v>
      </c>
      <c r="H79" s="23">
        <f t="shared" si="14"/>
        <v>3</v>
      </c>
      <c r="I79" s="23">
        <f t="shared" si="15"/>
        <v>1</v>
      </c>
      <c r="J79" s="22">
        <v>3</v>
      </c>
      <c r="K79" s="22">
        <v>9</v>
      </c>
      <c r="L79" s="22">
        <f t="shared" si="16"/>
        <v>-6</v>
      </c>
      <c r="M79" s="22">
        <f t="shared" si="17"/>
        <v>1</v>
      </c>
      <c r="N79" s="23">
        <v>77</v>
      </c>
      <c r="O79" s="23">
        <v>72</v>
      </c>
      <c r="P79" s="23">
        <f t="shared" si="18"/>
        <v>5</v>
      </c>
      <c r="Q79" s="23">
        <f t="shared" si="19"/>
        <v>1</v>
      </c>
      <c r="R79" s="22">
        <v>55</v>
      </c>
      <c r="S79" s="22">
        <v>48</v>
      </c>
      <c r="T79" s="22">
        <f t="shared" si="20"/>
        <v>7</v>
      </c>
      <c r="U79" s="22">
        <f t="shared" si="21"/>
        <v>1</v>
      </c>
      <c r="V79" s="23">
        <v>45</v>
      </c>
      <c r="W79" s="23">
        <v>43</v>
      </c>
      <c r="X79" s="23">
        <f t="shared" si="22"/>
        <v>2</v>
      </c>
      <c r="Y79" s="23">
        <f t="shared" si="23"/>
        <v>1</v>
      </c>
    </row>
    <row r="80" spans="1:25" x14ac:dyDescent="0.2">
      <c r="A80" s="19">
        <v>2012</v>
      </c>
      <c r="B80" s="22">
        <v>69</v>
      </c>
      <c r="C80" s="22">
        <v>56</v>
      </c>
      <c r="D80" s="22">
        <f t="shared" si="13"/>
        <v>13</v>
      </c>
      <c r="E80" s="22">
        <f t="shared" si="12"/>
        <v>1</v>
      </c>
      <c r="F80" s="23">
        <v>12</v>
      </c>
      <c r="G80" s="23">
        <v>16</v>
      </c>
      <c r="H80" s="23">
        <f t="shared" si="14"/>
        <v>-4</v>
      </c>
      <c r="I80" s="23">
        <f t="shared" si="15"/>
        <v>0</v>
      </c>
      <c r="J80" s="22">
        <v>3</v>
      </c>
      <c r="K80" s="22">
        <v>1</v>
      </c>
      <c r="L80" s="22">
        <f t="shared" si="16"/>
        <v>2</v>
      </c>
      <c r="M80" s="22">
        <f t="shared" si="17"/>
        <v>0</v>
      </c>
      <c r="N80" s="23">
        <v>76</v>
      </c>
      <c r="O80" s="23">
        <v>69</v>
      </c>
      <c r="P80" s="23">
        <f t="shared" si="18"/>
        <v>7</v>
      </c>
      <c r="Q80" s="23">
        <f t="shared" si="19"/>
        <v>1</v>
      </c>
      <c r="R80" s="22">
        <v>49</v>
      </c>
      <c r="S80" s="22">
        <v>48</v>
      </c>
      <c r="T80" s="22">
        <f t="shared" si="20"/>
        <v>1</v>
      </c>
      <c r="U80" s="22">
        <f t="shared" si="21"/>
        <v>1</v>
      </c>
      <c r="V80" s="23">
        <v>33</v>
      </c>
      <c r="W80" s="23">
        <v>29</v>
      </c>
      <c r="X80" s="23">
        <f t="shared" si="22"/>
        <v>4</v>
      </c>
      <c r="Y80" s="23">
        <f t="shared" si="23"/>
        <v>1</v>
      </c>
    </row>
    <row r="81" spans="1:25" x14ac:dyDescent="0.2">
      <c r="A81" s="25" t="s">
        <v>178</v>
      </c>
      <c r="B81" s="22">
        <v>64</v>
      </c>
      <c r="C81" s="22">
        <v>63</v>
      </c>
      <c r="D81" s="22">
        <f t="shared" si="13"/>
        <v>1</v>
      </c>
      <c r="E81" s="22">
        <f t="shared" si="12"/>
        <v>1</v>
      </c>
      <c r="F81" s="23">
        <v>12</v>
      </c>
      <c r="G81" s="23">
        <v>9</v>
      </c>
      <c r="H81" s="23">
        <f t="shared" si="14"/>
        <v>3</v>
      </c>
      <c r="I81" s="23">
        <f t="shared" si="15"/>
        <v>1</v>
      </c>
      <c r="J81" s="22">
        <v>0</v>
      </c>
      <c r="K81" s="22">
        <v>2</v>
      </c>
      <c r="L81" s="22">
        <f t="shared" si="16"/>
        <v>-2</v>
      </c>
      <c r="M81" s="22">
        <f t="shared" si="17"/>
        <v>1</v>
      </c>
      <c r="N81" s="23">
        <v>75</v>
      </c>
      <c r="O81" s="23">
        <v>71</v>
      </c>
      <c r="P81" s="23">
        <f t="shared" si="18"/>
        <v>4</v>
      </c>
      <c r="Q81" s="23">
        <f t="shared" si="19"/>
        <v>1</v>
      </c>
      <c r="R81" s="22">
        <v>72</v>
      </c>
      <c r="S81" s="22">
        <v>57</v>
      </c>
      <c r="T81" s="22">
        <f t="shared" si="20"/>
        <v>15</v>
      </c>
      <c r="U81" s="22">
        <f t="shared" si="21"/>
        <v>1</v>
      </c>
      <c r="V81" s="23">
        <v>27</v>
      </c>
      <c r="W81" s="23">
        <v>33</v>
      </c>
      <c r="X81" s="23">
        <f t="shared" si="22"/>
        <v>-6</v>
      </c>
      <c r="Y81" s="23">
        <f t="shared" si="23"/>
        <v>0</v>
      </c>
    </row>
    <row r="82" spans="1:25" x14ac:dyDescent="0.2">
      <c r="A82" s="25" t="s">
        <v>178</v>
      </c>
      <c r="B82" s="22">
        <v>60</v>
      </c>
      <c r="C82" s="22">
        <v>63</v>
      </c>
      <c r="D82" s="22">
        <f t="shared" si="13"/>
        <v>-3</v>
      </c>
      <c r="E82" s="22">
        <f t="shared" si="12"/>
        <v>0</v>
      </c>
      <c r="F82" s="23">
        <v>9</v>
      </c>
      <c r="G82" s="23">
        <v>11</v>
      </c>
      <c r="H82" s="23">
        <f t="shared" si="14"/>
        <v>-2</v>
      </c>
      <c r="I82" s="23">
        <f t="shared" si="15"/>
        <v>0</v>
      </c>
      <c r="J82" s="22">
        <v>2</v>
      </c>
      <c r="K82" s="22">
        <v>2</v>
      </c>
      <c r="L82" s="22">
        <f t="shared" si="16"/>
        <v>0</v>
      </c>
      <c r="M82" s="22">
        <f t="shared" si="17"/>
        <v>1</v>
      </c>
      <c r="N82" s="23">
        <v>75</v>
      </c>
      <c r="O82" s="23">
        <v>75</v>
      </c>
      <c r="P82" s="23">
        <f t="shared" si="18"/>
        <v>0</v>
      </c>
      <c r="Q82" s="23">
        <f t="shared" si="19"/>
        <v>1</v>
      </c>
      <c r="R82" s="22">
        <v>64</v>
      </c>
      <c r="S82" s="22">
        <v>32</v>
      </c>
      <c r="T82" s="22">
        <f t="shared" si="20"/>
        <v>32</v>
      </c>
      <c r="U82" s="22">
        <f t="shared" si="21"/>
        <v>1</v>
      </c>
      <c r="V82" s="23">
        <v>33</v>
      </c>
      <c r="W82" s="23">
        <v>25</v>
      </c>
      <c r="X82" s="23">
        <f t="shared" si="22"/>
        <v>8</v>
      </c>
      <c r="Y82" s="23">
        <f t="shared" si="23"/>
        <v>1</v>
      </c>
    </row>
    <row r="83" spans="1:25" x14ac:dyDescent="0.2">
      <c r="A83" s="25" t="s">
        <v>179</v>
      </c>
      <c r="B83" s="22">
        <v>65</v>
      </c>
      <c r="C83" s="22">
        <v>57</v>
      </c>
      <c r="D83" s="22">
        <f t="shared" si="13"/>
        <v>8</v>
      </c>
      <c r="E83" s="22">
        <f t="shared" si="12"/>
        <v>1</v>
      </c>
      <c r="F83" s="23">
        <v>7</v>
      </c>
      <c r="G83" s="23">
        <v>2</v>
      </c>
      <c r="H83" s="23">
        <f t="shared" si="14"/>
        <v>5</v>
      </c>
      <c r="I83" s="23">
        <f t="shared" si="15"/>
        <v>1</v>
      </c>
      <c r="J83" s="22">
        <v>3</v>
      </c>
      <c r="K83" s="22">
        <v>1</v>
      </c>
      <c r="L83" s="22">
        <f t="shared" si="16"/>
        <v>2</v>
      </c>
      <c r="M83" s="22">
        <f t="shared" si="17"/>
        <v>0</v>
      </c>
      <c r="N83" s="23">
        <v>76</v>
      </c>
      <c r="O83" s="23">
        <v>61</v>
      </c>
      <c r="P83" s="23">
        <f t="shared" si="18"/>
        <v>15</v>
      </c>
      <c r="Q83" s="23">
        <f t="shared" si="19"/>
        <v>1</v>
      </c>
      <c r="R83" s="22">
        <v>59</v>
      </c>
      <c r="S83" s="22">
        <v>45</v>
      </c>
      <c r="T83" s="22">
        <f t="shared" si="20"/>
        <v>14</v>
      </c>
      <c r="U83" s="22">
        <f t="shared" si="21"/>
        <v>1</v>
      </c>
      <c r="V83" s="23">
        <v>56</v>
      </c>
      <c r="W83" s="23">
        <v>13</v>
      </c>
      <c r="X83" s="23">
        <f t="shared" si="22"/>
        <v>43</v>
      </c>
      <c r="Y83" s="23">
        <f t="shared" si="23"/>
        <v>1</v>
      </c>
    </row>
    <row r="84" spans="1:25" x14ac:dyDescent="0.2">
      <c r="A84" s="25" t="s">
        <v>179</v>
      </c>
      <c r="B84" s="22">
        <v>62</v>
      </c>
      <c r="C84" s="22">
        <v>65</v>
      </c>
      <c r="D84" s="22">
        <f t="shared" si="13"/>
        <v>-3</v>
      </c>
      <c r="E84" s="22">
        <f t="shared" si="12"/>
        <v>0</v>
      </c>
      <c r="F84" s="23">
        <v>2</v>
      </c>
      <c r="G84" s="23">
        <v>3</v>
      </c>
      <c r="H84" s="23">
        <f t="shared" si="14"/>
        <v>-1</v>
      </c>
      <c r="I84" s="23">
        <f t="shared" si="15"/>
        <v>0</v>
      </c>
      <c r="J84" s="22">
        <v>0</v>
      </c>
      <c r="K84" s="22">
        <v>2</v>
      </c>
      <c r="L84" s="22">
        <f t="shared" si="16"/>
        <v>-2</v>
      </c>
      <c r="M84" s="22">
        <f t="shared" si="17"/>
        <v>1</v>
      </c>
      <c r="N84" s="23">
        <v>88</v>
      </c>
      <c r="O84" s="23">
        <v>51</v>
      </c>
      <c r="P84" s="23">
        <f t="shared" si="18"/>
        <v>37</v>
      </c>
      <c r="Q84" s="23">
        <f t="shared" si="19"/>
        <v>1</v>
      </c>
      <c r="R84" s="22">
        <v>52</v>
      </c>
      <c r="S84" s="22">
        <v>52</v>
      </c>
      <c r="T84" s="22">
        <f t="shared" si="20"/>
        <v>0</v>
      </c>
      <c r="U84" s="22">
        <f t="shared" si="21"/>
        <v>1</v>
      </c>
      <c r="V84" s="23">
        <v>30</v>
      </c>
      <c r="W84" s="23">
        <v>0</v>
      </c>
      <c r="X84" s="23">
        <f t="shared" si="22"/>
        <v>30</v>
      </c>
      <c r="Y84" s="23">
        <f t="shared" si="23"/>
        <v>1</v>
      </c>
    </row>
    <row r="85" spans="1:25" x14ac:dyDescent="0.2">
      <c r="A85" s="25" t="s">
        <v>179</v>
      </c>
      <c r="B85" s="22">
        <v>61</v>
      </c>
      <c r="C85" s="22">
        <v>68</v>
      </c>
      <c r="D85" s="22">
        <f t="shared" si="13"/>
        <v>-7</v>
      </c>
      <c r="E85" s="22">
        <f t="shared" si="12"/>
        <v>0</v>
      </c>
      <c r="F85" s="23">
        <v>18</v>
      </c>
      <c r="G85" s="23">
        <v>6</v>
      </c>
      <c r="H85" s="23">
        <f t="shared" si="14"/>
        <v>12</v>
      </c>
      <c r="I85" s="23">
        <f t="shared" si="15"/>
        <v>1</v>
      </c>
      <c r="J85" s="22">
        <v>3</v>
      </c>
      <c r="K85" s="22">
        <v>0</v>
      </c>
      <c r="L85" s="22">
        <f t="shared" si="16"/>
        <v>3</v>
      </c>
      <c r="M85" s="22">
        <f t="shared" si="17"/>
        <v>0</v>
      </c>
      <c r="N85" s="23">
        <v>80</v>
      </c>
      <c r="O85" s="23">
        <v>71</v>
      </c>
      <c r="P85" s="23">
        <f t="shared" si="18"/>
        <v>9</v>
      </c>
      <c r="Q85" s="23">
        <f t="shared" si="19"/>
        <v>1</v>
      </c>
      <c r="R85" s="22">
        <v>59</v>
      </c>
      <c r="S85" s="22">
        <v>53</v>
      </c>
      <c r="T85" s="22">
        <f t="shared" si="20"/>
        <v>6</v>
      </c>
      <c r="U85" s="22">
        <f t="shared" si="21"/>
        <v>1</v>
      </c>
      <c r="V85" s="23">
        <v>33</v>
      </c>
      <c r="W85" s="23">
        <v>17</v>
      </c>
      <c r="X85" s="23">
        <f t="shared" si="22"/>
        <v>16</v>
      </c>
      <c r="Y85" s="23">
        <f t="shared" si="23"/>
        <v>1</v>
      </c>
    </row>
    <row r="86" spans="1:25" x14ac:dyDescent="0.2">
      <c r="A86" s="25" t="s">
        <v>179</v>
      </c>
      <c r="B86" s="22">
        <v>63</v>
      </c>
      <c r="C86" s="22">
        <v>63</v>
      </c>
      <c r="D86" s="22">
        <f t="shared" si="13"/>
        <v>0</v>
      </c>
      <c r="E86" s="22">
        <f t="shared" si="12"/>
        <v>1</v>
      </c>
      <c r="F86" s="23">
        <v>17</v>
      </c>
      <c r="G86" s="23">
        <v>10</v>
      </c>
      <c r="H86" s="23">
        <f t="shared" si="14"/>
        <v>7</v>
      </c>
      <c r="I86" s="23">
        <f t="shared" si="15"/>
        <v>1</v>
      </c>
      <c r="J86" s="22">
        <v>0</v>
      </c>
      <c r="K86" s="22">
        <v>4</v>
      </c>
      <c r="L86" s="22">
        <f t="shared" si="16"/>
        <v>-4</v>
      </c>
      <c r="M86" s="22">
        <f t="shared" si="17"/>
        <v>1</v>
      </c>
      <c r="N86" s="23">
        <v>80</v>
      </c>
      <c r="O86" s="23">
        <v>71</v>
      </c>
      <c r="P86" s="23">
        <f t="shared" si="18"/>
        <v>9</v>
      </c>
      <c r="Q86" s="23">
        <f t="shared" si="19"/>
        <v>1</v>
      </c>
      <c r="R86" s="22">
        <v>59</v>
      </c>
      <c r="S86" s="22">
        <v>57</v>
      </c>
      <c r="T86" s="22">
        <f t="shared" si="20"/>
        <v>2</v>
      </c>
      <c r="U86" s="22">
        <f t="shared" si="21"/>
        <v>1</v>
      </c>
      <c r="V86" s="23">
        <v>30</v>
      </c>
      <c r="W86" s="23">
        <v>40</v>
      </c>
      <c r="X86" s="23">
        <f t="shared" si="22"/>
        <v>-10</v>
      </c>
      <c r="Y86" s="23">
        <f t="shared" si="23"/>
        <v>0</v>
      </c>
    </row>
    <row r="87" spans="1:25" x14ac:dyDescent="0.2">
      <c r="A87" s="19" t="s">
        <v>202</v>
      </c>
      <c r="B87" s="22">
        <v>52</v>
      </c>
      <c r="C87" s="22">
        <v>51</v>
      </c>
      <c r="D87" s="22">
        <f t="shared" si="13"/>
        <v>1</v>
      </c>
      <c r="E87" s="22">
        <f t="shared" ref="E87:E114" si="24">IF(B87&gt;=C87,1,0)</f>
        <v>1</v>
      </c>
      <c r="F87" s="23">
        <v>17</v>
      </c>
      <c r="G87" s="23">
        <v>2</v>
      </c>
      <c r="H87" s="23">
        <f t="shared" si="14"/>
        <v>15</v>
      </c>
      <c r="I87" s="23">
        <f t="shared" si="15"/>
        <v>1</v>
      </c>
      <c r="J87" s="22">
        <v>3</v>
      </c>
      <c r="K87" s="22">
        <v>1</v>
      </c>
      <c r="L87" s="22">
        <f t="shared" si="16"/>
        <v>2</v>
      </c>
      <c r="M87" s="22">
        <f t="shared" si="17"/>
        <v>0</v>
      </c>
      <c r="N87" s="23">
        <v>80</v>
      </c>
      <c r="O87" s="23">
        <v>55</v>
      </c>
      <c r="P87" s="23">
        <f t="shared" si="18"/>
        <v>25</v>
      </c>
      <c r="Q87" s="23">
        <f t="shared" si="19"/>
        <v>1</v>
      </c>
      <c r="R87" s="22">
        <v>61</v>
      </c>
      <c r="S87" s="22">
        <v>59</v>
      </c>
      <c r="T87" s="22">
        <f t="shared" si="20"/>
        <v>2</v>
      </c>
      <c r="U87" s="22">
        <f t="shared" si="21"/>
        <v>1</v>
      </c>
      <c r="V87" s="23">
        <v>45</v>
      </c>
      <c r="W87" s="23">
        <v>11</v>
      </c>
      <c r="X87" s="23">
        <f t="shared" si="22"/>
        <v>34</v>
      </c>
      <c r="Y87" s="23">
        <f t="shared" si="23"/>
        <v>1</v>
      </c>
    </row>
    <row r="88" spans="1:25" x14ac:dyDescent="0.2">
      <c r="A88" s="25" t="s">
        <v>178</v>
      </c>
      <c r="B88" s="22">
        <v>58</v>
      </c>
      <c r="C88" s="22">
        <v>59</v>
      </c>
      <c r="D88" s="22">
        <f t="shared" si="13"/>
        <v>-1</v>
      </c>
      <c r="E88" s="22">
        <f t="shared" si="24"/>
        <v>0</v>
      </c>
      <c r="F88" s="23">
        <v>5</v>
      </c>
      <c r="G88" s="23">
        <v>13</v>
      </c>
      <c r="H88" s="23">
        <f t="shared" si="14"/>
        <v>-8</v>
      </c>
      <c r="I88" s="23">
        <f t="shared" si="15"/>
        <v>0</v>
      </c>
      <c r="J88" s="22">
        <v>4</v>
      </c>
      <c r="K88" s="22">
        <v>4</v>
      </c>
      <c r="L88" s="22">
        <f t="shared" si="16"/>
        <v>0</v>
      </c>
      <c r="M88" s="22">
        <f t="shared" si="17"/>
        <v>1</v>
      </c>
      <c r="N88" s="23">
        <v>67</v>
      </c>
      <c r="O88" s="23">
        <v>80</v>
      </c>
      <c r="P88" s="23">
        <f t="shared" si="18"/>
        <v>-13</v>
      </c>
      <c r="Q88" s="23">
        <f t="shared" si="19"/>
        <v>0</v>
      </c>
      <c r="R88" s="22">
        <v>50</v>
      </c>
      <c r="S88" s="22">
        <v>30</v>
      </c>
      <c r="T88" s="22">
        <f t="shared" si="20"/>
        <v>20</v>
      </c>
      <c r="U88" s="22">
        <f t="shared" si="21"/>
        <v>1</v>
      </c>
      <c r="V88" s="23">
        <v>71</v>
      </c>
      <c r="W88" s="23">
        <v>31</v>
      </c>
      <c r="X88" s="23">
        <f t="shared" si="22"/>
        <v>40</v>
      </c>
      <c r="Y88" s="23">
        <f t="shared" si="23"/>
        <v>1</v>
      </c>
    </row>
    <row r="89" spans="1:25" x14ac:dyDescent="0.2">
      <c r="A89" s="25" t="s">
        <v>178</v>
      </c>
      <c r="B89" s="22">
        <v>56</v>
      </c>
      <c r="C89" s="22">
        <v>62</v>
      </c>
      <c r="D89" s="22">
        <f t="shared" si="13"/>
        <v>-6</v>
      </c>
      <c r="E89" s="22">
        <f t="shared" si="24"/>
        <v>0</v>
      </c>
      <c r="F89" s="23">
        <v>13</v>
      </c>
      <c r="G89" s="23">
        <v>12</v>
      </c>
      <c r="H89" s="23">
        <f t="shared" si="14"/>
        <v>1</v>
      </c>
      <c r="I89" s="23">
        <f t="shared" si="15"/>
        <v>1</v>
      </c>
      <c r="J89" s="22">
        <v>1</v>
      </c>
      <c r="K89" s="22">
        <v>1</v>
      </c>
      <c r="L89" s="22">
        <f t="shared" si="16"/>
        <v>0</v>
      </c>
      <c r="M89" s="22">
        <f t="shared" si="17"/>
        <v>1</v>
      </c>
      <c r="N89" s="23">
        <v>87</v>
      </c>
      <c r="O89" s="23">
        <v>71</v>
      </c>
      <c r="P89" s="23">
        <f t="shared" si="18"/>
        <v>16</v>
      </c>
      <c r="Q89" s="23">
        <f t="shared" si="19"/>
        <v>1</v>
      </c>
      <c r="R89" s="22">
        <v>56</v>
      </c>
      <c r="S89" s="22">
        <v>48</v>
      </c>
      <c r="T89" s="22">
        <f t="shared" si="20"/>
        <v>8</v>
      </c>
      <c r="U89" s="22">
        <f t="shared" si="21"/>
        <v>1</v>
      </c>
      <c r="V89" s="23">
        <v>50</v>
      </c>
      <c r="W89" s="23">
        <v>50</v>
      </c>
      <c r="X89" s="23">
        <f t="shared" si="22"/>
        <v>0</v>
      </c>
      <c r="Y89" s="23">
        <f t="shared" si="23"/>
        <v>1</v>
      </c>
    </row>
    <row r="90" spans="1:25" x14ac:dyDescent="0.2">
      <c r="A90" s="25" t="s">
        <v>179</v>
      </c>
      <c r="B90" s="22">
        <v>63</v>
      </c>
      <c r="C90" s="22">
        <v>56</v>
      </c>
      <c r="D90" s="22">
        <f t="shared" si="13"/>
        <v>7</v>
      </c>
      <c r="E90" s="22">
        <f t="shared" si="24"/>
        <v>1</v>
      </c>
      <c r="F90" s="23">
        <v>8</v>
      </c>
      <c r="G90" s="23">
        <v>9</v>
      </c>
      <c r="H90" s="23">
        <f t="shared" si="14"/>
        <v>-1</v>
      </c>
      <c r="I90" s="23">
        <f t="shared" si="15"/>
        <v>0</v>
      </c>
      <c r="J90" s="22">
        <v>3</v>
      </c>
      <c r="K90" s="22">
        <v>4</v>
      </c>
      <c r="L90" s="22">
        <f t="shared" si="16"/>
        <v>-1</v>
      </c>
      <c r="M90" s="22">
        <f t="shared" si="17"/>
        <v>1</v>
      </c>
      <c r="N90" s="23">
        <v>67</v>
      </c>
      <c r="O90" s="23">
        <v>65</v>
      </c>
      <c r="P90" s="23">
        <f t="shared" si="18"/>
        <v>2</v>
      </c>
      <c r="Q90" s="23">
        <f t="shared" si="19"/>
        <v>1</v>
      </c>
      <c r="R90" s="22">
        <v>52</v>
      </c>
      <c r="S90" s="22">
        <v>47</v>
      </c>
      <c r="T90" s="22">
        <f t="shared" si="20"/>
        <v>5</v>
      </c>
      <c r="U90" s="22">
        <f t="shared" si="21"/>
        <v>1</v>
      </c>
      <c r="V90" s="23">
        <v>70</v>
      </c>
      <c r="W90" s="23">
        <v>25</v>
      </c>
      <c r="X90" s="23">
        <f t="shared" si="22"/>
        <v>45</v>
      </c>
      <c r="Y90" s="23">
        <f t="shared" si="23"/>
        <v>1</v>
      </c>
    </row>
    <row r="91" spans="1:25" x14ac:dyDescent="0.2">
      <c r="A91" s="25" t="s">
        <v>179</v>
      </c>
      <c r="B91" s="22">
        <v>57</v>
      </c>
      <c r="C91" s="22">
        <v>63</v>
      </c>
      <c r="D91" s="22">
        <f t="shared" si="13"/>
        <v>-6</v>
      </c>
      <c r="E91" s="22">
        <f t="shared" si="24"/>
        <v>0</v>
      </c>
      <c r="F91" s="23">
        <v>5</v>
      </c>
      <c r="G91" s="23">
        <v>6</v>
      </c>
      <c r="H91" s="23">
        <f t="shared" si="14"/>
        <v>-1</v>
      </c>
      <c r="I91" s="23">
        <f t="shared" si="15"/>
        <v>0</v>
      </c>
      <c r="J91" s="22">
        <v>2</v>
      </c>
      <c r="K91" s="22">
        <v>10</v>
      </c>
      <c r="L91" s="22">
        <f t="shared" si="16"/>
        <v>-8</v>
      </c>
      <c r="M91" s="22">
        <f t="shared" si="17"/>
        <v>1</v>
      </c>
      <c r="N91" s="23">
        <v>76</v>
      </c>
      <c r="O91" s="23">
        <v>65</v>
      </c>
      <c r="P91" s="23">
        <f t="shared" si="18"/>
        <v>11</v>
      </c>
      <c r="Q91" s="23">
        <f t="shared" si="19"/>
        <v>1</v>
      </c>
      <c r="R91" s="22">
        <v>75</v>
      </c>
      <c r="S91" s="22">
        <v>51</v>
      </c>
      <c r="T91" s="22">
        <f t="shared" si="20"/>
        <v>24</v>
      </c>
      <c r="U91" s="22">
        <f t="shared" si="21"/>
        <v>1</v>
      </c>
      <c r="V91" s="23">
        <v>46</v>
      </c>
      <c r="W91" s="23">
        <v>33</v>
      </c>
      <c r="X91" s="23">
        <f t="shared" si="22"/>
        <v>13</v>
      </c>
      <c r="Y91" s="23">
        <f t="shared" si="23"/>
        <v>1</v>
      </c>
    </row>
    <row r="92" spans="1:25" x14ac:dyDescent="0.2">
      <c r="A92" s="25" t="s">
        <v>179</v>
      </c>
      <c r="B92" s="22">
        <v>59</v>
      </c>
      <c r="C92" s="22">
        <v>56</v>
      </c>
      <c r="D92" s="22">
        <f t="shared" si="13"/>
        <v>3</v>
      </c>
      <c r="E92" s="22">
        <f t="shared" si="24"/>
        <v>1</v>
      </c>
      <c r="F92" s="23">
        <v>3</v>
      </c>
      <c r="G92" s="23">
        <v>18</v>
      </c>
      <c r="H92" s="23">
        <f t="shared" si="14"/>
        <v>-15</v>
      </c>
      <c r="I92" s="23">
        <f t="shared" si="15"/>
        <v>0</v>
      </c>
      <c r="J92" s="22">
        <v>5</v>
      </c>
      <c r="K92" s="22">
        <v>8</v>
      </c>
      <c r="L92" s="22">
        <f t="shared" si="16"/>
        <v>-3</v>
      </c>
      <c r="M92" s="22">
        <f t="shared" si="17"/>
        <v>1</v>
      </c>
      <c r="N92" s="23">
        <v>76</v>
      </c>
      <c r="O92" s="23">
        <v>84</v>
      </c>
      <c r="P92" s="23">
        <f t="shared" si="18"/>
        <v>-8</v>
      </c>
      <c r="Q92" s="23">
        <f t="shared" si="19"/>
        <v>0</v>
      </c>
      <c r="R92" s="22">
        <v>53</v>
      </c>
      <c r="S92" s="22">
        <v>51</v>
      </c>
      <c r="T92" s="22">
        <f t="shared" si="20"/>
        <v>2</v>
      </c>
      <c r="U92" s="22">
        <f t="shared" si="21"/>
        <v>1</v>
      </c>
      <c r="V92" s="23">
        <v>30</v>
      </c>
      <c r="W92" s="23">
        <v>20</v>
      </c>
      <c r="X92" s="23">
        <f t="shared" si="22"/>
        <v>10</v>
      </c>
      <c r="Y92" s="23">
        <f t="shared" si="23"/>
        <v>1</v>
      </c>
    </row>
    <row r="93" spans="1:25" x14ac:dyDescent="0.2">
      <c r="A93" s="25" t="s">
        <v>179</v>
      </c>
      <c r="B93" s="22">
        <v>63</v>
      </c>
      <c r="C93" s="22">
        <v>50</v>
      </c>
      <c r="D93" s="22">
        <f t="shared" si="13"/>
        <v>13</v>
      </c>
      <c r="E93" s="22">
        <f t="shared" si="24"/>
        <v>1</v>
      </c>
      <c r="F93" s="23">
        <v>19</v>
      </c>
      <c r="G93" s="23">
        <v>4</v>
      </c>
      <c r="H93" s="23">
        <f t="shared" si="14"/>
        <v>15</v>
      </c>
      <c r="I93" s="23">
        <f t="shared" si="15"/>
        <v>1</v>
      </c>
      <c r="J93" s="22">
        <v>5</v>
      </c>
      <c r="K93" s="22">
        <v>5</v>
      </c>
      <c r="L93" s="22">
        <f t="shared" si="16"/>
        <v>0</v>
      </c>
      <c r="M93" s="22">
        <f t="shared" si="17"/>
        <v>1</v>
      </c>
      <c r="N93" s="23">
        <v>84</v>
      </c>
      <c r="O93" s="23">
        <v>72</v>
      </c>
      <c r="P93" s="23">
        <f t="shared" si="18"/>
        <v>12</v>
      </c>
      <c r="Q93" s="23">
        <f t="shared" si="19"/>
        <v>1</v>
      </c>
      <c r="R93" s="22">
        <v>45</v>
      </c>
      <c r="S93" s="22">
        <v>41</v>
      </c>
      <c r="T93" s="22">
        <f t="shared" si="20"/>
        <v>4</v>
      </c>
      <c r="U93" s="22">
        <f t="shared" si="21"/>
        <v>1</v>
      </c>
      <c r="V93" s="23">
        <v>63</v>
      </c>
      <c r="W93" s="23">
        <v>50</v>
      </c>
      <c r="X93" s="23">
        <f t="shared" si="22"/>
        <v>13</v>
      </c>
      <c r="Y93" s="23">
        <f t="shared" si="23"/>
        <v>1</v>
      </c>
    </row>
    <row r="94" spans="1:25" x14ac:dyDescent="0.2">
      <c r="A94" s="19">
        <v>2013</v>
      </c>
      <c r="B94" s="22">
        <v>64</v>
      </c>
      <c r="C94" s="22">
        <v>68</v>
      </c>
      <c r="D94" s="22">
        <f t="shared" si="13"/>
        <v>-4</v>
      </c>
      <c r="E94" s="22">
        <f t="shared" si="24"/>
        <v>0</v>
      </c>
      <c r="F94" s="23">
        <v>1</v>
      </c>
      <c r="G94" s="23">
        <v>6</v>
      </c>
      <c r="H94" s="23">
        <f t="shared" si="14"/>
        <v>-5</v>
      </c>
      <c r="I94" s="23">
        <f t="shared" si="15"/>
        <v>0</v>
      </c>
      <c r="J94" s="22">
        <v>1</v>
      </c>
      <c r="K94" s="22">
        <v>2</v>
      </c>
      <c r="L94" s="22">
        <f t="shared" si="16"/>
        <v>-1</v>
      </c>
      <c r="M94" s="22">
        <f t="shared" si="17"/>
        <v>1</v>
      </c>
      <c r="N94" s="23">
        <v>65</v>
      </c>
      <c r="O94" s="23">
        <v>58</v>
      </c>
      <c r="P94" s="23">
        <f t="shared" si="18"/>
        <v>7</v>
      </c>
      <c r="Q94" s="23">
        <f t="shared" si="19"/>
        <v>1</v>
      </c>
      <c r="R94" s="22">
        <v>56</v>
      </c>
      <c r="S94" s="22">
        <v>48</v>
      </c>
      <c r="T94" s="22">
        <f t="shared" si="20"/>
        <v>8</v>
      </c>
      <c r="U94" s="22">
        <f t="shared" si="21"/>
        <v>1</v>
      </c>
      <c r="V94" s="23">
        <v>58</v>
      </c>
      <c r="W94" s="23">
        <v>27</v>
      </c>
      <c r="X94" s="23">
        <f t="shared" si="22"/>
        <v>31</v>
      </c>
      <c r="Y94" s="23">
        <f t="shared" si="23"/>
        <v>1</v>
      </c>
    </row>
    <row r="95" spans="1:25" x14ac:dyDescent="0.2">
      <c r="A95" s="25" t="s">
        <v>178</v>
      </c>
      <c r="B95" s="22">
        <v>67</v>
      </c>
      <c r="C95" s="22">
        <v>50</v>
      </c>
      <c r="D95" s="22">
        <f t="shared" si="13"/>
        <v>17</v>
      </c>
      <c r="E95" s="22">
        <f t="shared" si="24"/>
        <v>1</v>
      </c>
      <c r="F95" s="23">
        <v>9</v>
      </c>
      <c r="G95" s="23">
        <v>8</v>
      </c>
      <c r="H95" s="23">
        <f t="shared" si="14"/>
        <v>1</v>
      </c>
      <c r="I95" s="23">
        <f t="shared" si="15"/>
        <v>1</v>
      </c>
      <c r="J95" s="22">
        <v>6</v>
      </c>
      <c r="K95" s="22">
        <v>7</v>
      </c>
      <c r="L95" s="22">
        <f t="shared" si="16"/>
        <v>-1</v>
      </c>
      <c r="M95" s="22">
        <f t="shared" si="17"/>
        <v>1</v>
      </c>
      <c r="N95" s="23">
        <v>69</v>
      </c>
      <c r="O95" s="23">
        <v>71</v>
      </c>
      <c r="P95" s="23">
        <f t="shared" si="18"/>
        <v>-2</v>
      </c>
      <c r="Q95" s="23">
        <f t="shared" si="19"/>
        <v>0</v>
      </c>
      <c r="R95" s="22">
        <v>56</v>
      </c>
      <c r="S95" s="22">
        <v>50</v>
      </c>
      <c r="T95" s="22">
        <f t="shared" si="20"/>
        <v>6</v>
      </c>
      <c r="U95" s="22">
        <f t="shared" si="21"/>
        <v>1</v>
      </c>
      <c r="V95" s="23">
        <v>21</v>
      </c>
      <c r="W95" s="23">
        <v>56</v>
      </c>
      <c r="X95" s="23">
        <f t="shared" si="22"/>
        <v>-35</v>
      </c>
      <c r="Y95" s="23">
        <f t="shared" si="23"/>
        <v>0</v>
      </c>
    </row>
    <row r="96" spans="1:25" x14ac:dyDescent="0.2">
      <c r="A96" s="25" t="s">
        <v>178</v>
      </c>
      <c r="B96" s="22">
        <v>71</v>
      </c>
      <c r="C96" s="22">
        <v>64</v>
      </c>
      <c r="D96" s="22">
        <f t="shared" si="13"/>
        <v>7</v>
      </c>
      <c r="E96" s="22">
        <f t="shared" si="24"/>
        <v>1</v>
      </c>
      <c r="F96" s="23">
        <v>3</v>
      </c>
      <c r="G96" s="23">
        <v>6</v>
      </c>
      <c r="H96" s="23">
        <f t="shared" si="14"/>
        <v>-3</v>
      </c>
      <c r="I96" s="23">
        <f t="shared" si="15"/>
        <v>0</v>
      </c>
      <c r="J96" s="22">
        <v>1</v>
      </c>
      <c r="K96" s="22">
        <v>4</v>
      </c>
      <c r="L96" s="22">
        <f t="shared" si="16"/>
        <v>-3</v>
      </c>
      <c r="M96" s="22">
        <f t="shared" si="17"/>
        <v>1</v>
      </c>
      <c r="N96" s="23">
        <v>76</v>
      </c>
      <c r="O96" s="23">
        <v>71</v>
      </c>
      <c r="P96" s="23">
        <f t="shared" si="18"/>
        <v>5</v>
      </c>
      <c r="Q96" s="23">
        <f t="shared" si="19"/>
        <v>1</v>
      </c>
      <c r="R96" s="22">
        <v>57</v>
      </c>
      <c r="S96" s="22">
        <v>45</v>
      </c>
      <c r="T96" s="22">
        <f t="shared" si="20"/>
        <v>12</v>
      </c>
      <c r="U96" s="22">
        <f t="shared" si="21"/>
        <v>1</v>
      </c>
      <c r="V96" s="23">
        <v>100</v>
      </c>
      <c r="W96" s="23">
        <v>17</v>
      </c>
      <c r="X96" s="23">
        <f t="shared" si="22"/>
        <v>83</v>
      </c>
      <c r="Y96" s="23">
        <f t="shared" si="23"/>
        <v>1</v>
      </c>
    </row>
    <row r="97" spans="1:25" x14ac:dyDescent="0.2">
      <c r="A97" s="25" t="s">
        <v>179</v>
      </c>
      <c r="B97" s="22">
        <v>68</v>
      </c>
      <c r="C97" s="22">
        <v>56</v>
      </c>
      <c r="D97" s="22">
        <f t="shared" si="13"/>
        <v>12</v>
      </c>
      <c r="E97" s="22">
        <f t="shared" si="24"/>
        <v>1</v>
      </c>
      <c r="F97" s="23">
        <v>5</v>
      </c>
      <c r="G97" s="23">
        <v>2</v>
      </c>
      <c r="H97" s="23">
        <f t="shared" si="14"/>
        <v>3</v>
      </c>
      <c r="I97" s="23">
        <f t="shared" si="15"/>
        <v>1</v>
      </c>
      <c r="J97" s="22">
        <v>1</v>
      </c>
      <c r="K97" s="22">
        <v>4</v>
      </c>
      <c r="L97" s="22">
        <f t="shared" si="16"/>
        <v>-3</v>
      </c>
      <c r="M97" s="22">
        <f t="shared" si="17"/>
        <v>1</v>
      </c>
      <c r="N97" s="23">
        <v>70</v>
      </c>
      <c r="O97" s="23">
        <v>53</v>
      </c>
      <c r="P97" s="23">
        <f t="shared" si="18"/>
        <v>17</v>
      </c>
      <c r="Q97" s="23">
        <f t="shared" si="19"/>
        <v>1</v>
      </c>
      <c r="R97" s="22">
        <v>58</v>
      </c>
      <c r="S97" s="22">
        <v>52</v>
      </c>
      <c r="T97" s="22">
        <f t="shared" si="20"/>
        <v>6</v>
      </c>
      <c r="U97" s="22">
        <f t="shared" si="21"/>
        <v>1</v>
      </c>
      <c r="V97" s="23">
        <v>58</v>
      </c>
      <c r="W97" s="23">
        <v>20</v>
      </c>
      <c r="X97" s="23">
        <f t="shared" si="22"/>
        <v>38</v>
      </c>
      <c r="Y97" s="23">
        <f t="shared" si="23"/>
        <v>1</v>
      </c>
    </row>
    <row r="98" spans="1:25" x14ac:dyDescent="0.2">
      <c r="A98" s="25" t="s">
        <v>179</v>
      </c>
      <c r="B98" s="22">
        <v>61</v>
      </c>
      <c r="C98" s="22">
        <v>52</v>
      </c>
      <c r="D98" s="22">
        <f t="shared" si="13"/>
        <v>9</v>
      </c>
      <c r="E98" s="22">
        <f t="shared" si="24"/>
        <v>1</v>
      </c>
      <c r="F98" s="23">
        <v>2</v>
      </c>
      <c r="G98" s="23">
        <v>3</v>
      </c>
      <c r="H98" s="23">
        <f t="shared" si="14"/>
        <v>-1</v>
      </c>
      <c r="I98" s="23">
        <f t="shared" si="15"/>
        <v>0</v>
      </c>
      <c r="J98" s="22">
        <v>0</v>
      </c>
      <c r="K98" s="22">
        <v>4</v>
      </c>
      <c r="L98" s="22">
        <f t="shared" si="16"/>
        <v>-4</v>
      </c>
      <c r="M98" s="22">
        <f t="shared" si="17"/>
        <v>1</v>
      </c>
      <c r="N98" s="23">
        <v>86</v>
      </c>
      <c r="O98" s="23">
        <v>59</v>
      </c>
      <c r="P98" s="23">
        <f t="shared" si="18"/>
        <v>27</v>
      </c>
      <c r="Q98" s="23">
        <f t="shared" si="19"/>
        <v>1</v>
      </c>
      <c r="R98" s="22">
        <v>61</v>
      </c>
      <c r="S98" s="22">
        <v>28</v>
      </c>
      <c r="T98" s="22">
        <f t="shared" si="20"/>
        <v>33</v>
      </c>
      <c r="U98" s="22">
        <f t="shared" si="21"/>
        <v>1</v>
      </c>
      <c r="V98" s="23">
        <v>70</v>
      </c>
      <c r="W98" s="23">
        <v>0</v>
      </c>
      <c r="X98" s="23">
        <f t="shared" si="22"/>
        <v>70</v>
      </c>
      <c r="Y98" s="23">
        <f t="shared" si="23"/>
        <v>1</v>
      </c>
    </row>
    <row r="99" spans="1:25" x14ac:dyDescent="0.2">
      <c r="A99" s="25" t="s">
        <v>179</v>
      </c>
      <c r="B99" s="22">
        <v>55</v>
      </c>
      <c r="C99" s="22">
        <v>63</v>
      </c>
      <c r="D99" s="22">
        <f t="shared" si="13"/>
        <v>-8</v>
      </c>
      <c r="E99" s="22">
        <f t="shared" si="24"/>
        <v>0</v>
      </c>
      <c r="F99" s="23">
        <v>4</v>
      </c>
      <c r="G99" s="23">
        <v>5</v>
      </c>
      <c r="H99" s="23">
        <f t="shared" si="14"/>
        <v>-1</v>
      </c>
      <c r="I99" s="23">
        <f t="shared" si="15"/>
        <v>0</v>
      </c>
      <c r="J99" s="22">
        <v>4</v>
      </c>
      <c r="K99" s="22">
        <v>4</v>
      </c>
      <c r="L99" s="22">
        <f t="shared" si="16"/>
        <v>0</v>
      </c>
      <c r="M99" s="22">
        <f t="shared" si="17"/>
        <v>1</v>
      </c>
      <c r="N99" s="23">
        <v>88</v>
      </c>
      <c r="O99" s="23">
        <v>54</v>
      </c>
      <c r="P99" s="23">
        <f t="shared" si="18"/>
        <v>34</v>
      </c>
      <c r="Q99" s="23">
        <f t="shared" si="19"/>
        <v>1</v>
      </c>
      <c r="R99" s="22">
        <v>59</v>
      </c>
      <c r="S99" s="22">
        <v>55</v>
      </c>
      <c r="T99" s="22">
        <f t="shared" si="20"/>
        <v>4</v>
      </c>
      <c r="U99" s="22">
        <f t="shared" si="21"/>
        <v>1</v>
      </c>
      <c r="V99" s="23">
        <v>36</v>
      </c>
      <c r="W99" s="23">
        <v>0</v>
      </c>
      <c r="X99" s="23">
        <f t="shared" si="22"/>
        <v>36</v>
      </c>
      <c r="Y99" s="23">
        <f t="shared" si="23"/>
        <v>1</v>
      </c>
    </row>
    <row r="100" spans="1:25" x14ac:dyDescent="0.2">
      <c r="A100" s="25" t="s">
        <v>179</v>
      </c>
      <c r="B100" s="22">
        <v>59</v>
      </c>
      <c r="C100" s="22">
        <v>63</v>
      </c>
      <c r="D100" s="22">
        <f t="shared" si="13"/>
        <v>-4</v>
      </c>
      <c r="E100" s="22">
        <f t="shared" si="24"/>
        <v>0</v>
      </c>
      <c r="F100" s="23">
        <v>6</v>
      </c>
      <c r="G100" s="23">
        <v>5</v>
      </c>
      <c r="H100" s="23">
        <f t="shared" si="14"/>
        <v>1</v>
      </c>
      <c r="I100" s="23">
        <f t="shared" si="15"/>
        <v>1</v>
      </c>
      <c r="J100" s="22">
        <v>3</v>
      </c>
      <c r="K100" s="22">
        <v>3</v>
      </c>
      <c r="L100" s="22">
        <f t="shared" si="16"/>
        <v>0</v>
      </c>
      <c r="M100" s="22">
        <f t="shared" si="17"/>
        <v>1</v>
      </c>
      <c r="N100" s="23">
        <v>68</v>
      </c>
      <c r="O100" s="23">
        <v>62</v>
      </c>
      <c r="P100" s="23">
        <f t="shared" si="18"/>
        <v>6</v>
      </c>
      <c r="Q100" s="23">
        <f t="shared" si="19"/>
        <v>1</v>
      </c>
      <c r="R100" s="22">
        <v>53</v>
      </c>
      <c r="S100" s="22">
        <v>58</v>
      </c>
      <c r="T100" s="22">
        <f t="shared" si="20"/>
        <v>-5</v>
      </c>
      <c r="U100" s="22">
        <f t="shared" si="21"/>
        <v>0</v>
      </c>
      <c r="V100" s="23">
        <v>43</v>
      </c>
      <c r="W100" s="23">
        <v>27</v>
      </c>
      <c r="X100" s="23">
        <f t="shared" si="22"/>
        <v>16</v>
      </c>
      <c r="Y100" s="23">
        <f t="shared" si="23"/>
        <v>1</v>
      </c>
    </row>
    <row r="101" spans="1:25" x14ac:dyDescent="0.2">
      <c r="A101" s="19">
        <v>2012</v>
      </c>
      <c r="B101" s="22">
        <v>66</v>
      </c>
      <c r="C101" s="22">
        <v>62</v>
      </c>
      <c r="D101" s="22">
        <f t="shared" si="13"/>
        <v>4</v>
      </c>
      <c r="E101" s="22">
        <f t="shared" si="24"/>
        <v>1</v>
      </c>
      <c r="F101" s="23">
        <v>5</v>
      </c>
      <c r="G101" s="23">
        <v>7</v>
      </c>
      <c r="H101" s="23">
        <f t="shared" si="14"/>
        <v>-2</v>
      </c>
      <c r="I101" s="23">
        <f t="shared" si="15"/>
        <v>0</v>
      </c>
      <c r="J101" s="22">
        <v>4</v>
      </c>
      <c r="K101" s="22">
        <v>5</v>
      </c>
      <c r="L101" s="22">
        <f t="shared" si="16"/>
        <v>-1</v>
      </c>
      <c r="M101" s="22">
        <f t="shared" si="17"/>
        <v>1</v>
      </c>
      <c r="N101" s="23">
        <v>62</v>
      </c>
      <c r="O101" s="23">
        <v>63</v>
      </c>
      <c r="P101" s="23">
        <f t="shared" si="18"/>
        <v>-1</v>
      </c>
      <c r="Q101" s="23">
        <f t="shared" si="19"/>
        <v>0</v>
      </c>
      <c r="R101" s="22">
        <v>48</v>
      </c>
      <c r="S101" s="22">
        <v>42</v>
      </c>
      <c r="T101" s="22">
        <f t="shared" si="20"/>
        <v>6</v>
      </c>
      <c r="U101" s="22">
        <f t="shared" si="21"/>
        <v>1</v>
      </c>
      <c r="V101" s="23">
        <v>47</v>
      </c>
      <c r="W101" s="23">
        <v>50</v>
      </c>
      <c r="X101" s="23">
        <f t="shared" si="22"/>
        <v>-3</v>
      </c>
      <c r="Y101" s="23">
        <f t="shared" si="23"/>
        <v>0</v>
      </c>
    </row>
    <row r="102" spans="1:25" x14ac:dyDescent="0.2">
      <c r="A102" s="25" t="s">
        <v>178</v>
      </c>
      <c r="B102" s="22">
        <v>59</v>
      </c>
      <c r="C102" s="22">
        <v>60</v>
      </c>
      <c r="D102" s="22">
        <f t="shared" si="13"/>
        <v>-1</v>
      </c>
      <c r="E102" s="22">
        <f t="shared" si="24"/>
        <v>0</v>
      </c>
      <c r="F102" s="23">
        <v>7</v>
      </c>
      <c r="G102" s="23">
        <v>1</v>
      </c>
      <c r="H102" s="23">
        <f t="shared" si="14"/>
        <v>6</v>
      </c>
      <c r="I102" s="23">
        <f t="shared" si="15"/>
        <v>1</v>
      </c>
      <c r="J102" s="22">
        <v>1</v>
      </c>
      <c r="K102" s="22">
        <v>3</v>
      </c>
      <c r="L102" s="22">
        <f t="shared" si="16"/>
        <v>-2</v>
      </c>
      <c r="M102" s="22">
        <f t="shared" si="17"/>
        <v>1</v>
      </c>
      <c r="N102" s="23">
        <v>72</v>
      </c>
      <c r="O102" s="23">
        <v>64</v>
      </c>
      <c r="P102" s="23">
        <f t="shared" si="18"/>
        <v>8</v>
      </c>
      <c r="Q102" s="23">
        <f t="shared" si="19"/>
        <v>1</v>
      </c>
      <c r="R102" s="22">
        <v>59</v>
      </c>
      <c r="S102" s="22">
        <v>46</v>
      </c>
      <c r="T102" s="22">
        <f t="shared" si="20"/>
        <v>13</v>
      </c>
      <c r="U102" s="22">
        <f t="shared" si="21"/>
        <v>1</v>
      </c>
      <c r="V102" s="23">
        <v>67</v>
      </c>
      <c r="W102" s="23">
        <v>43</v>
      </c>
      <c r="X102" s="23">
        <f t="shared" si="22"/>
        <v>24</v>
      </c>
      <c r="Y102" s="23">
        <f t="shared" si="23"/>
        <v>1</v>
      </c>
    </row>
    <row r="103" spans="1:25" x14ac:dyDescent="0.2">
      <c r="A103" s="25" t="s">
        <v>178</v>
      </c>
      <c r="B103" s="22">
        <v>74</v>
      </c>
      <c r="C103" s="22">
        <v>62</v>
      </c>
      <c r="D103" s="22">
        <f t="shared" si="13"/>
        <v>12</v>
      </c>
      <c r="E103" s="22">
        <f t="shared" si="24"/>
        <v>1</v>
      </c>
      <c r="F103" s="23">
        <v>5</v>
      </c>
      <c r="G103" s="23">
        <v>7</v>
      </c>
      <c r="H103" s="23">
        <f t="shared" si="14"/>
        <v>-2</v>
      </c>
      <c r="I103" s="23">
        <f t="shared" si="15"/>
        <v>0</v>
      </c>
      <c r="J103" s="22">
        <v>3</v>
      </c>
      <c r="K103" s="22">
        <v>6</v>
      </c>
      <c r="L103" s="22">
        <f t="shared" si="16"/>
        <v>-3</v>
      </c>
      <c r="M103" s="22">
        <f t="shared" si="17"/>
        <v>1</v>
      </c>
      <c r="N103" s="23">
        <v>73</v>
      </c>
      <c r="O103" s="23">
        <v>60</v>
      </c>
      <c r="P103" s="23">
        <f t="shared" si="18"/>
        <v>13</v>
      </c>
      <c r="Q103" s="23">
        <f t="shared" si="19"/>
        <v>1</v>
      </c>
      <c r="R103" s="22">
        <v>57</v>
      </c>
      <c r="S103" s="22">
        <v>48</v>
      </c>
      <c r="T103" s="22">
        <f t="shared" si="20"/>
        <v>9</v>
      </c>
      <c r="U103" s="22">
        <f t="shared" si="21"/>
        <v>1</v>
      </c>
      <c r="V103" s="23">
        <v>32</v>
      </c>
      <c r="W103" s="23">
        <v>50</v>
      </c>
      <c r="X103" s="23">
        <f t="shared" si="22"/>
        <v>-18</v>
      </c>
      <c r="Y103" s="23">
        <f t="shared" si="23"/>
        <v>0</v>
      </c>
    </row>
    <row r="104" spans="1:25" x14ac:dyDescent="0.2">
      <c r="A104" s="25" t="s">
        <v>179</v>
      </c>
      <c r="B104" s="22">
        <v>59</v>
      </c>
      <c r="C104" s="22">
        <v>63</v>
      </c>
      <c r="D104" s="22">
        <f t="shared" si="13"/>
        <v>-4</v>
      </c>
      <c r="E104" s="22">
        <f t="shared" si="24"/>
        <v>0</v>
      </c>
      <c r="F104" s="23">
        <v>14</v>
      </c>
      <c r="G104" s="23">
        <v>7</v>
      </c>
      <c r="H104" s="23">
        <f t="shared" si="14"/>
        <v>7</v>
      </c>
      <c r="I104" s="23">
        <f t="shared" si="15"/>
        <v>1</v>
      </c>
      <c r="J104" s="22">
        <v>3</v>
      </c>
      <c r="K104" s="22">
        <v>3</v>
      </c>
      <c r="L104" s="22">
        <f t="shared" si="16"/>
        <v>0</v>
      </c>
      <c r="M104" s="22">
        <f t="shared" si="17"/>
        <v>1</v>
      </c>
      <c r="N104" s="23">
        <v>80</v>
      </c>
      <c r="O104" s="23">
        <v>71</v>
      </c>
      <c r="P104" s="23">
        <f t="shared" si="18"/>
        <v>9</v>
      </c>
      <c r="Q104" s="23">
        <f t="shared" si="19"/>
        <v>1</v>
      </c>
      <c r="R104" s="22">
        <v>51</v>
      </c>
      <c r="S104" s="22">
        <v>45</v>
      </c>
      <c r="T104" s="22">
        <f t="shared" si="20"/>
        <v>6</v>
      </c>
      <c r="U104" s="22">
        <f t="shared" si="21"/>
        <v>1</v>
      </c>
      <c r="V104" s="23">
        <v>45</v>
      </c>
      <c r="W104" s="23">
        <v>67</v>
      </c>
      <c r="X104" s="23">
        <f t="shared" si="22"/>
        <v>-22</v>
      </c>
      <c r="Y104" s="23">
        <f t="shared" si="23"/>
        <v>0</v>
      </c>
    </row>
    <row r="105" spans="1:25" x14ac:dyDescent="0.2">
      <c r="A105" s="25" t="s">
        <v>179</v>
      </c>
      <c r="B105" s="22">
        <v>57</v>
      </c>
      <c r="C105" s="22">
        <v>66</v>
      </c>
      <c r="D105" s="22">
        <f t="shared" si="13"/>
        <v>-9</v>
      </c>
      <c r="E105" s="22">
        <f t="shared" si="24"/>
        <v>0</v>
      </c>
      <c r="F105" s="23">
        <v>7</v>
      </c>
      <c r="G105" s="23">
        <v>8</v>
      </c>
      <c r="H105" s="23">
        <f t="shared" si="14"/>
        <v>-1</v>
      </c>
      <c r="I105" s="23">
        <f t="shared" si="15"/>
        <v>0</v>
      </c>
      <c r="J105" s="22">
        <v>2</v>
      </c>
      <c r="K105" s="22">
        <v>3</v>
      </c>
      <c r="L105" s="22">
        <f t="shared" si="16"/>
        <v>-1</v>
      </c>
      <c r="M105" s="22">
        <f t="shared" si="17"/>
        <v>1</v>
      </c>
      <c r="N105" s="23">
        <v>84</v>
      </c>
      <c r="O105" s="23">
        <v>65</v>
      </c>
      <c r="P105" s="23">
        <f t="shared" si="18"/>
        <v>19</v>
      </c>
      <c r="Q105" s="23">
        <f t="shared" si="19"/>
        <v>1</v>
      </c>
      <c r="R105" s="22">
        <v>55</v>
      </c>
      <c r="S105" s="22">
        <v>45</v>
      </c>
      <c r="T105" s="22">
        <f t="shared" si="20"/>
        <v>10</v>
      </c>
      <c r="U105" s="22">
        <f t="shared" si="21"/>
        <v>1</v>
      </c>
      <c r="V105" s="23">
        <v>31</v>
      </c>
      <c r="W105" s="23">
        <v>33</v>
      </c>
      <c r="X105" s="23">
        <f t="shared" si="22"/>
        <v>-2</v>
      </c>
      <c r="Y105" s="23">
        <f t="shared" si="23"/>
        <v>0</v>
      </c>
    </row>
    <row r="106" spans="1:25" x14ac:dyDescent="0.2">
      <c r="A106" s="25" t="s">
        <v>179</v>
      </c>
      <c r="B106" s="22">
        <v>55</v>
      </c>
      <c r="C106" s="22">
        <v>53</v>
      </c>
      <c r="D106" s="22">
        <f t="shared" si="13"/>
        <v>2</v>
      </c>
      <c r="E106" s="22">
        <f t="shared" si="24"/>
        <v>1</v>
      </c>
      <c r="F106" s="23">
        <v>11</v>
      </c>
      <c r="G106" s="23">
        <v>2</v>
      </c>
      <c r="H106" s="23">
        <f t="shared" si="14"/>
        <v>9</v>
      </c>
      <c r="I106" s="23">
        <f t="shared" si="15"/>
        <v>1</v>
      </c>
      <c r="J106" s="22">
        <v>4</v>
      </c>
      <c r="K106" s="22">
        <v>6</v>
      </c>
      <c r="L106" s="22">
        <f t="shared" si="16"/>
        <v>-2</v>
      </c>
      <c r="M106" s="22">
        <f t="shared" si="17"/>
        <v>1</v>
      </c>
      <c r="N106" s="23">
        <v>70</v>
      </c>
      <c r="O106" s="23">
        <v>68</v>
      </c>
      <c r="P106" s="23">
        <f t="shared" si="18"/>
        <v>2</v>
      </c>
      <c r="Q106" s="23">
        <f t="shared" si="19"/>
        <v>1</v>
      </c>
      <c r="R106" s="22">
        <v>49</v>
      </c>
      <c r="S106" s="22">
        <v>34</v>
      </c>
      <c r="T106" s="22">
        <f t="shared" si="20"/>
        <v>15</v>
      </c>
      <c r="U106" s="22">
        <f t="shared" si="21"/>
        <v>1</v>
      </c>
      <c r="V106" s="23">
        <v>42</v>
      </c>
      <c r="W106" s="23">
        <v>44</v>
      </c>
      <c r="X106" s="23">
        <f t="shared" si="22"/>
        <v>-2</v>
      </c>
      <c r="Y106" s="23">
        <f t="shared" si="23"/>
        <v>0</v>
      </c>
    </row>
    <row r="107" spans="1:25" x14ac:dyDescent="0.2">
      <c r="A107" s="25" t="s">
        <v>179</v>
      </c>
      <c r="B107" s="22">
        <v>62</v>
      </c>
      <c r="C107" s="22">
        <v>58</v>
      </c>
      <c r="D107" s="22">
        <f t="shared" si="13"/>
        <v>4</v>
      </c>
      <c r="E107" s="22">
        <f t="shared" si="24"/>
        <v>1</v>
      </c>
      <c r="F107" s="23">
        <v>15</v>
      </c>
      <c r="G107" s="23">
        <v>10</v>
      </c>
      <c r="H107" s="23">
        <f t="shared" si="14"/>
        <v>5</v>
      </c>
      <c r="I107" s="23">
        <f t="shared" si="15"/>
        <v>1</v>
      </c>
      <c r="J107" s="22">
        <v>6</v>
      </c>
      <c r="K107" s="22">
        <v>0</v>
      </c>
      <c r="L107" s="22">
        <f t="shared" si="16"/>
        <v>6</v>
      </c>
      <c r="M107" s="22">
        <f t="shared" si="17"/>
        <v>0</v>
      </c>
      <c r="N107" s="23">
        <v>70</v>
      </c>
      <c r="O107" s="23">
        <v>67</v>
      </c>
      <c r="P107" s="23">
        <f t="shared" si="18"/>
        <v>3</v>
      </c>
      <c r="Q107" s="23">
        <f t="shared" si="19"/>
        <v>1</v>
      </c>
      <c r="R107" s="22">
        <v>66</v>
      </c>
      <c r="S107" s="22">
        <v>61</v>
      </c>
      <c r="T107" s="22">
        <f t="shared" si="20"/>
        <v>5</v>
      </c>
      <c r="U107" s="22">
        <f t="shared" si="21"/>
        <v>1</v>
      </c>
      <c r="V107" s="23">
        <v>27</v>
      </c>
      <c r="W107" s="23">
        <v>57</v>
      </c>
      <c r="X107" s="23">
        <f t="shared" si="22"/>
        <v>-30</v>
      </c>
      <c r="Y107" s="23">
        <f t="shared" si="23"/>
        <v>0</v>
      </c>
    </row>
    <row r="108" spans="1:25" x14ac:dyDescent="0.2">
      <c r="A108" s="19">
        <v>2011</v>
      </c>
      <c r="B108" s="22">
        <v>66</v>
      </c>
      <c r="C108" s="22">
        <v>68</v>
      </c>
      <c r="D108" s="22">
        <f t="shared" si="13"/>
        <v>-2</v>
      </c>
      <c r="E108" s="22">
        <f t="shared" si="24"/>
        <v>0</v>
      </c>
      <c r="F108" s="23">
        <v>7</v>
      </c>
      <c r="G108" s="23">
        <v>2</v>
      </c>
      <c r="H108" s="23">
        <f t="shared" si="14"/>
        <v>5</v>
      </c>
      <c r="I108" s="23">
        <f t="shared" si="15"/>
        <v>1</v>
      </c>
      <c r="J108" s="22">
        <v>1</v>
      </c>
      <c r="K108" s="22">
        <v>3</v>
      </c>
      <c r="L108" s="22">
        <f t="shared" si="16"/>
        <v>-2</v>
      </c>
      <c r="M108" s="22">
        <f t="shared" si="17"/>
        <v>1</v>
      </c>
      <c r="N108" s="23">
        <v>65</v>
      </c>
      <c r="O108" s="23">
        <v>52</v>
      </c>
      <c r="P108" s="23">
        <f t="shared" si="18"/>
        <v>13</v>
      </c>
      <c r="Q108" s="23">
        <f t="shared" si="19"/>
        <v>1</v>
      </c>
      <c r="R108" s="22">
        <v>44</v>
      </c>
      <c r="S108" s="22">
        <v>42</v>
      </c>
      <c r="T108" s="22">
        <f t="shared" si="20"/>
        <v>2</v>
      </c>
      <c r="U108" s="22">
        <f t="shared" si="21"/>
        <v>1</v>
      </c>
      <c r="V108" s="23">
        <v>42</v>
      </c>
      <c r="W108" s="23">
        <v>43</v>
      </c>
      <c r="X108" s="23">
        <f t="shared" si="22"/>
        <v>-1</v>
      </c>
      <c r="Y108" s="23">
        <f t="shared" si="23"/>
        <v>0</v>
      </c>
    </row>
    <row r="109" spans="1:25" x14ac:dyDescent="0.2">
      <c r="A109" s="25" t="s">
        <v>178</v>
      </c>
      <c r="B109" s="22">
        <v>59</v>
      </c>
      <c r="C109" s="22">
        <v>61</v>
      </c>
      <c r="D109" s="22">
        <f t="shared" si="13"/>
        <v>-2</v>
      </c>
      <c r="E109" s="22">
        <f t="shared" si="24"/>
        <v>0</v>
      </c>
      <c r="F109" s="23">
        <v>8</v>
      </c>
      <c r="G109" s="23">
        <v>11</v>
      </c>
      <c r="H109" s="23">
        <f t="shared" si="14"/>
        <v>-3</v>
      </c>
      <c r="I109" s="23">
        <f t="shared" si="15"/>
        <v>0</v>
      </c>
      <c r="J109" s="22">
        <v>6</v>
      </c>
      <c r="K109" s="22">
        <v>4</v>
      </c>
      <c r="L109" s="22">
        <f t="shared" si="16"/>
        <v>2</v>
      </c>
      <c r="M109" s="22">
        <f t="shared" si="17"/>
        <v>0</v>
      </c>
      <c r="N109" s="23">
        <v>83</v>
      </c>
      <c r="O109" s="23">
        <v>67</v>
      </c>
      <c r="P109" s="23">
        <f t="shared" si="18"/>
        <v>16</v>
      </c>
      <c r="Q109" s="23">
        <f t="shared" si="19"/>
        <v>1</v>
      </c>
      <c r="R109" s="22">
        <v>55</v>
      </c>
      <c r="S109" s="22">
        <v>56</v>
      </c>
      <c r="T109" s="22">
        <f t="shared" si="20"/>
        <v>-1</v>
      </c>
      <c r="U109" s="22">
        <f t="shared" si="21"/>
        <v>0</v>
      </c>
      <c r="V109" s="23">
        <v>50</v>
      </c>
      <c r="W109" s="23">
        <v>60</v>
      </c>
      <c r="X109" s="23">
        <f t="shared" si="22"/>
        <v>-10</v>
      </c>
      <c r="Y109" s="23">
        <f t="shared" si="23"/>
        <v>0</v>
      </c>
    </row>
    <row r="110" spans="1:25" x14ac:dyDescent="0.2">
      <c r="A110" s="25" t="s">
        <v>178</v>
      </c>
      <c r="B110" s="22">
        <v>67</v>
      </c>
      <c r="C110" s="22">
        <v>54</v>
      </c>
      <c r="D110" s="22">
        <f t="shared" si="13"/>
        <v>13</v>
      </c>
      <c r="E110" s="22">
        <f t="shared" si="24"/>
        <v>1</v>
      </c>
      <c r="F110" s="23">
        <v>3</v>
      </c>
      <c r="G110" s="23">
        <v>8</v>
      </c>
      <c r="H110" s="23">
        <f t="shared" si="14"/>
        <v>-5</v>
      </c>
      <c r="I110" s="23">
        <f t="shared" si="15"/>
        <v>0</v>
      </c>
      <c r="J110" s="22">
        <v>1</v>
      </c>
      <c r="K110" s="22">
        <v>2</v>
      </c>
      <c r="L110" s="22">
        <f t="shared" si="16"/>
        <v>-1</v>
      </c>
      <c r="M110" s="22">
        <f t="shared" si="17"/>
        <v>1</v>
      </c>
      <c r="N110" s="23">
        <v>72</v>
      </c>
      <c r="O110" s="23">
        <v>66</v>
      </c>
      <c r="P110" s="23">
        <f t="shared" si="18"/>
        <v>6</v>
      </c>
      <c r="Q110" s="23">
        <f t="shared" si="19"/>
        <v>1</v>
      </c>
      <c r="R110" s="22">
        <v>57</v>
      </c>
      <c r="S110" s="22">
        <v>46</v>
      </c>
      <c r="T110" s="22">
        <f t="shared" si="20"/>
        <v>11</v>
      </c>
      <c r="U110" s="22">
        <f t="shared" si="21"/>
        <v>1</v>
      </c>
      <c r="V110" s="23">
        <v>33</v>
      </c>
      <c r="W110" s="23">
        <v>20</v>
      </c>
      <c r="X110" s="23">
        <f t="shared" si="22"/>
        <v>13</v>
      </c>
      <c r="Y110" s="23">
        <f t="shared" si="23"/>
        <v>1</v>
      </c>
    </row>
    <row r="111" spans="1:25" x14ac:dyDescent="0.2">
      <c r="A111" s="25" t="s">
        <v>179</v>
      </c>
      <c r="B111" s="22">
        <v>65</v>
      </c>
      <c r="C111" s="22">
        <v>66</v>
      </c>
      <c r="D111" s="22">
        <f t="shared" si="13"/>
        <v>-1</v>
      </c>
      <c r="E111" s="22">
        <f t="shared" si="24"/>
        <v>0</v>
      </c>
      <c r="F111" s="23">
        <v>8</v>
      </c>
      <c r="G111" s="23">
        <v>10</v>
      </c>
      <c r="H111" s="23">
        <f t="shared" si="14"/>
        <v>-2</v>
      </c>
      <c r="I111" s="23">
        <f t="shared" si="15"/>
        <v>0</v>
      </c>
      <c r="J111" s="22">
        <v>2</v>
      </c>
      <c r="K111" s="22">
        <v>5</v>
      </c>
      <c r="L111" s="22">
        <f t="shared" si="16"/>
        <v>-3</v>
      </c>
      <c r="M111" s="22">
        <f t="shared" si="17"/>
        <v>1</v>
      </c>
      <c r="N111" s="23">
        <v>65</v>
      </c>
      <c r="O111" s="23">
        <v>65</v>
      </c>
      <c r="P111" s="23">
        <f t="shared" si="18"/>
        <v>0</v>
      </c>
      <c r="Q111" s="23">
        <f t="shared" si="19"/>
        <v>1</v>
      </c>
      <c r="R111" s="22">
        <v>50</v>
      </c>
      <c r="S111" s="22">
        <v>22</v>
      </c>
      <c r="T111" s="22">
        <f t="shared" si="20"/>
        <v>28</v>
      </c>
      <c r="U111" s="22">
        <f t="shared" si="21"/>
        <v>1</v>
      </c>
      <c r="V111" s="23">
        <v>62</v>
      </c>
      <c r="W111" s="23">
        <v>31</v>
      </c>
      <c r="X111" s="23">
        <f t="shared" si="22"/>
        <v>31</v>
      </c>
      <c r="Y111" s="23">
        <f t="shared" si="23"/>
        <v>1</v>
      </c>
    </row>
    <row r="112" spans="1:25" x14ac:dyDescent="0.2">
      <c r="A112" s="25" t="s">
        <v>179</v>
      </c>
      <c r="B112" s="22">
        <v>67</v>
      </c>
      <c r="C112" s="22">
        <v>59</v>
      </c>
      <c r="D112" s="22">
        <f t="shared" si="13"/>
        <v>8</v>
      </c>
      <c r="E112" s="22">
        <f t="shared" si="24"/>
        <v>1</v>
      </c>
      <c r="F112" s="23">
        <v>6</v>
      </c>
      <c r="G112" s="23">
        <v>8</v>
      </c>
      <c r="H112" s="23">
        <f t="shared" si="14"/>
        <v>-2</v>
      </c>
      <c r="I112" s="23">
        <f t="shared" si="15"/>
        <v>0</v>
      </c>
      <c r="J112" s="22">
        <v>1</v>
      </c>
      <c r="K112" s="22">
        <v>3</v>
      </c>
      <c r="L112" s="22">
        <f t="shared" si="16"/>
        <v>-2</v>
      </c>
      <c r="M112" s="22">
        <f t="shared" si="17"/>
        <v>1</v>
      </c>
      <c r="N112" s="23">
        <v>84</v>
      </c>
      <c r="O112" s="23">
        <v>63</v>
      </c>
      <c r="P112" s="23">
        <f t="shared" si="18"/>
        <v>21</v>
      </c>
      <c r="Q112" s="23">
        <f t="shared" si="19"/>
        <v>1</v>
      </c>
      <c r="R112" s="22">
        <v>55</v>
      </c>
      <c r="S112" s="22">
        <v>32</v>
      </c>
      <c r="T112" s="22">
        <f t="shared" si="20"/>
        <v>23</v>
      </c>
      <c r="U112" s="22">
        <f t="shared" si="21"/>
        <v>1</v>
      </c>
      <c r="V112" s="23">
        <v>86</v>
      </c>
      <c r="W112" s="23">
        <v>0</v>
      </c>
      <c r="X112" s="23">
        <f t="shared" si="22"/>
        <v>86</v>
      </c>
      <c r="Y112" s="23">
        <f t="shared" si="23"/>
        <v>1</v>
      </c>
    </row>
    <row r="113" spans="1:25" x14ac:dyDescent="0.2">
      <c r="A113" s="25" t="s">
        <v>179</v>
      </c>
      <c r="B113" s="22">
        <v>72</v>
      </c>
      <c r="C113" s="22">
        <v>53</v>
      </c>
      <c r="D113" s="22">
        <f t="shared" si="13"/>
        <v>19</v>
      </c>
      <c r="E113" s="22">
        <f t="shared" si="24"/>
        <v>1</v>
      </c>
      <c r="F113" s="23">
        <v>5</v>
      </c>
      <c r="G113" s="23">
        <v>5</v>
      </c>
      <c r="H113" s="23">
        <f t="shared" si="14"/>
        <v>0</v>
      </c>
      <c r="I113" s="23">
        <f t="shared" si="15"/>
        <v>1</v>
      </c>
      <c r="J113" s="22">
        <v>2</v>
      </c>
      <c r="K113" s="22">
        <v>3</v>
      </c>
      <c r="L113" s="22">
        <f t="shared" si="16"/>
        <v>-1</v>
      </c>
      <c r="M113" s="22">
        <f t="shared" si="17"/>
        <v>1</v>
      </c>
      <c r="N113" s="23">
        <v>77</v>
      </c>
      <c r="O113" s="23">
        <v>69</v>
      </c>
      <c r="P113" s="23">
        <f t="shared" si="18"/>
        <v>8</v>
      </c>
      <c r="Q113" s="23">
        <f t="shared" si="19"/>
        <v>1</v>
      </c>
      <c r="R113" s="22">
        <v>42</v>
      </c>
      <c r="S113" s="22">
        <v>40</v>
      </c>
      <c r="T113" s="22">
        <f t="shared" si="20"/>
        <v>2</v>
      </c>
      <c r="U113" s="22">
        <f t="shared" si="21"/>
        <v>1</v>
      </c>
      <c r="V113" s="23">
        <v>46</v>
      </c>
      <c r="W113" s="23">
        <v>67</v>
      </c>
      <c r="X113" s="23">
        <f t="shared" si="22"/>
        <v>-21</v>
      </c>
      <c r="Y113" s="23">
        <f t="shared" si="23"/>
        <v>0</v>
      </c>
    </row>
    <row r="114" spans="1:25" x14ac:dyDescent="0.2">
      <c r="A114" s="25" t="s">
        <v>179</v>
      </c>
      <c r="B114" s="22">
        <v>68</v>
      </c>
      <c r="C114" s="22">
        <v>67</v>
      </c>
      <c r="D114" s="22">
        <f t="shared" si="13"/>
        <v>1</v>
      </c>
      <c r="E114" s="22">
        <f t="shared" si="24"/>
        <v>1</v>
      </c>
      <c r="F114" s="23">
        <v>14</v>
      </c>
      <c r="G114" s="23">
        <v>17</v>
      </c>
      <c r="H114" s="23">
        <f t="shared" si="14"/>
        <v>-3</v>
      </c>
      <c r="I114" s="23">
        <f t="shared" si="15"/>
        <v>0</v>
      </c>
      <c r="J114" s="22">
        <v>2</v>
      </c>
      <c r="K114" s="22">
        <v>5</v>
      </c>
      <c r="L114" s="22">
        <f t="shared" si="16"/>
        <v>-3</v>
      </c>
      <c r="M114" s="22">
        <f t="shared" si="17"/>
        <v>1</v>
      </c>
      <c r="N114" s="23">
        <v>78</v>
      </c>
      <c r="O114" s="23">
        <v>74</v>
      </c>
      <c r="P114" s="23">
        <f t="shared" si="18"/>
        <v>4</v>
      </c>
      <c r="Q114" s="23">
        <f t="shared" si="19"/>
        <v>1</v>
      </c>
      <c r="R114" s="22">
        <v>63</v>
      </c>
      <c r="S114" s="22">
        <v>50</v>
      </c>
      <c r="T114" s="22">
        <f t="shared" si="20"/>
        <v>13</v>
      </c>
      <c r="U114" s="22">
        <f t="shared" si="21"/>
        <v>1</v>
      </c>
      <c r="V114" s="23">
        <v>40</v>
      </c>
      <c r="W114" s="23">
        <v>17</v>
      </c>
      <c r="X114" s="23">
        <f t="shared" si="22"/>
        <v>23</v>
      </c>
      <c r="Y114" s="23">
        <f t="shared" si="23"/>
        <v>1</v>
      </c>
    </row>
    <row r="116" spans="1:25" x14ac:dyDescent="0.2">
      <c r="D116" s="27" t="b">
        <v>1</v>
      </c>
      <c r="E116" s="27">
        <f>COUNTIF(E3:E114, "=1")</f>
        <v>70</v>
      </c>
      <c r="H116" s="27" t="b">
        <v>1</v>
      </c>
      <c r="I116" s="27">
        <f>COUNTIF(I3:I114, "=1")</f>
        <v>67</v>
      </c>
      <c r="L116" s="27" t="b">
        <v>1</v>
      </c>
      <c r="M116" s="27">
        <f>COUNTIF(M3:M114, "=1")</f>
        <v>89</v>
      </c>
      <c r="P116" s="27" t="b">
        <v>1</v>
      </c>
      <c r="Q116" s="27">
        <f>COUNTIF(Q3:Q114, "=1")</f>
        <v>100</v>
      </c>
      <c r="T116" s="27" t="b">
        <v>1</v>
      </c>
      <c r="U116" s="27">
        <f>COUNTIF(U3:U114, "=1")</f>
        <v>101</v>
      </c>
      <c r="X116" s="27" t="b">
        <v>1</v>
      </c>
      <c r="Y116" s="27">
        <f>COUNTIF(Y3:Y114, "=1")</f>
        <v>75</v>
      </c>
    </row>
    <row r="117" spans="1:25" x14ac:dyDescent="0.2">
      <c r="D117" s="27" t="b">
        <v>0</v>
      </c>
      <c r="E117" s="27">
        <f>COUNTIF(E4:E115, "=0")</f>
        <v>41</v>
      </c>
      <c r="H117" s="27" t="b">
        <v>0</v>
      </c>
      <c r="I117" s="27">
        <f>COUNTIF(I4:I115, "=0")</f>
        <v>44</v>
      </c>
      <c r="L117" s="27" t="b">
        <v>0</v>
      </c>
      <c r="M117" s="27">
        <f>COUNTIF(M4:M115, "=0")</f>
        <v>23</v>
      </c>
      <c r="P117" s="27" t="b">
        <v>0</v>
      </c>
      <c r="Q117" s="27">
        <f>COUNTIF(Q4:Q115, "=0")</f>
        <v>11</v>
      </c>
      <c r="T117" s="27" t="b">
        <v>0</v>
      </c>
      <c r="U117" s="27">
        <f>COUNTIF(U4:U115, "=0")</f>
        <v>11</v>
      </c>
      <c r="X117" s="27" t="b">
        <v>0</v>
      </c>
      <c r="Y117" s="27">
        <f>COUNTIF(Y4:Y115, "=0")</f>
        <v>37</v>
      </c>
    </row>
    <row r="118" spans="1:25" x14ac:dyDescent="0.2">
      <c r="D118" s="27" t="s">
        <v>200</v>
      </c>
      <c r="E118" s="28">
        <f>E116/(E116+E117)</f>
        <v>0.63063063063063063</v>
      </c>
      <c r="H118" s="27" t="s">
        <v>200</v>
      </c>
      <c r="I118" s="28">
        <f>I116/(I116+I117)</f>
        <v>0.60360360360360366</v>
      </c>
      <c r="L118" s="27" t="s">
        <v>200</v>
      </c>
      <c r="M118" s="28">
        <f>M116/(M116+M117)</f>
        <v>0.7946428571428571</v>
      </c>
      <c r="P118" s="27" t="s">
        <v>200</v>
      </c>
      <c r="Q118" s="28">
        <f>Q116/(Q116+Q117)</f>
        <v>0.90090090090090091</v>
      </c>
      <c r="T118" s="27" t="s">
        <v>200</v>
      </c>
      <c r="U118" s="28">
        <f>U116/(U116+U117)</f>
        <v>0.9017857142857143</v>
      </c>
      <c r="X118" s="27" t="s">
        <v>200</v>
      </c>
      <c r="Y118" s="28">
        <f>Y116/(Y116+Y117)</f>
        <v>0.6696428571428571</v>
      </c>
    </row>
  </sheetData>
  <mergeCells count="6">
    <mergeCell ref="V1:Y1"/>
    <mergeCell ref="B1:E1"/>
    <mergeCell ref="F1:I1"/>
    <mergeCell ref="J1:M1"/>
    <mergeCell ref="N1:Q1"/>
    <mergeCell ref="R1:U1"/>
  </mergeCells>
  <dataValidations count="6">
    <dataValidation allowBlank="1" showInputMessage="1" showErrorMessage="1" prompt="Recorded as unforced error from the baseline" sqref="J1:M1"/>
    <dataValidation allowBlank="1" showInputMessage="1" showErrorMessage="1" prompt="Number of breakpoints won divided by total number of break points played." sqref="V1:Y1"/>
    <dataValidation allowBlank="1" showInputMessage="1" showErrorMessage="1" prompt="Number of second serves which were considered &quot;in&quot;, divided by total number of second serves available, Includes aces" sqref="R1:U1"/>
    <dataValidation allowBlank="1" showInputMessage="1" showErrorMessage="1" prompt="Number of points won on first serve, divided by total number of first serves available. Includes aces. This metric is always less or equal than the 1st serve %. " sqref="N1:Q1"/>
    <dataValidation allowBlank="1" showInputMessage="1" showErrorMessage="1" prompt="Recorded as winner from the baseline" sqref="F1:I1"/>
    <dataValidation allowBlank="1" showInputMessage="1" showErrorMessage="1" prompt="Number of first serves, which were considered &quot;in&quot;, divided by total number of first serves available, Includes aces" sqref="B1:E1"/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8"/>
  <sheetViews>
    <sheetView showGridLines="0" workbookViewId="0">
      <pane xSplit="1" ySplit="2" topLeftCell="B108" activePane="bottomRight" state="frozen"/>
      <selection pane="topRight" activeCell="B1" sqref="B1"/>
      <selection pane="bottomLeft" activeCell="A3" sqref="A3"/>
      <selection pane="bottomRight" activeCell="A31" sqref="A31"/>
    </sheetView>
  </sheetViews>
  <sheetFormatPr defaultRowHeight="12.75" x14ac:dyDescent="0.2"/>
  <cols>
    <col min="1" max="1" width="21.85546875" style="26" bestFit="1" customWidth="1"/>
    <col min="2" max="25" width="7.42578125" style="27" customWidth="1"/>
    <col min="26" max="16384" width="9.140625" style="18"/>
  </cols>
  <sheetData>
    <row r="1" spans="1:25" ht="31.5" customHeight="1" x14ac:dyDescent="0.2">
      <c r="A1" s="17"/>
      <c r="B1" s="104" t="s">
        <v>189</v>
      </c>
      <c r="C1" s="105"/>
      <c r="D1" s="105"/>
      <c r="E1" s="106"/>
      <c r="F1" s="107" t="s">
        <v>190</v>
      </c>
      <c r="G1" s="108"/>
      <c r="H1" s="108"/>
      <c r="I1" s="109"/>
      <c r="J1" s="110" t="s">
        <v>191</v>
      </c>
      <c r="K1" s="111"/>
      <c r="L1" s="111"/>
      <c r="M1" s="112"/>
      <c r="N1" s="101" t="s">
        <v>192</v>
      </c>
      <c r="O1" s="102"/>
      <c r="P1" s="102"/>
      <c r="Q1" s="103"/>
      <c r="R1" s="104" t="s">
        <v>193</v>
      </c>
      <c r="S1" s="105"/>
      <c r="T1" s="105"/>
      <c r="U1" s="106"/>
      <c r="V1" s="101" t="s">
        <v>194</v>
      </c>
      <c r="W1" s="102"/>
      <c r="X1" s="102"/>
      <c r="Y1" s="103"/>
    </row>
    <row r="2" spans="1:25" x14ac:dyDescent="0.2">
      <c r="A2" s="19"/>
      <c r="B2" s="20" t="s">
        <v>180</v>
      </c>
      <c r="C2" s="20" t="s">
        <v>195</v>
      </c>
      <c r="D2" s="20" t="s">
        <v>182</v>
      </c>
      <c r="E2" s="20" t="b">
        <v>1</v>
      </c>
      <c r="F2" s="21" t="s">
        <v>180</v>
      </c>
      <c r="G2" s="21" t="s">
        <v>195</v>
      </c>
      <c r="H2" s="21" t="s">
        <v>182</v>
      </c>
      <c r="I2" s="21" t="b">
        <v>1</v>
      </c>
      <c r="J2" s="20" t="s">
        <v>180</v>
      </c>
      <c r="K2" s="20" t="s">
        <v>195</v>
      </c>
      <c r="L2" s="20" t="s">
        <v>182</v>
      </c>
      <c r="M2" s="20" t="b">
        <v>1</v>
      </c>
      <c r="N2" s="21" t="s">
        <v>180</v>
      </c>
      <c r="O2" s="21" t="s">
        <v>195</v>
      </c>
      <c r="P2" s="21" t="s">
        <v>182</v>
      </c>
      <c r="Q2" s="21" t="b">
        <v>1</v>
      </c>
      <c r="R2" s="20" t="s">
        <v>180</v>
      </c>
      <c r="S2" s="20" t="s">
        <v>195</v>
      </c>
      <c r="T2" s="20" t="s">
        <v>182</v>
      </c>
      <c r="U2" s="20" t="b">
        <v>1</v>
      </c>
      <c r="V2" s="21" t="s">
        <v>180</v>
      </c>
      <c r="W2" s="21" t="s">
        <v>195</v>
      </c>
      <c r="X2" s="21" t="s">
        <v>182</v>
      </c>
      <c r="Y2" s="21" t="b">
        <v>1</v>
      </c>
    </row>
    <row r="3" spans="1:25" x14ac:dyDescent="0.2">
      <c r="A3" s="19" t="s">
        <v>203</v>
      </c>
      <c r="B3" s="22">
        <v>60</v>
      </c>
      <c r="C3" s="22">
        <v>65</v>
      </c>
      <c r="D3" s="22">
        <f>B3-C3</f>
        <v>-5</v>
      </c>
      <c r="E3" s="22">
        <f t="shared" ref="E3:E21" si="0">IF(B3&gt;=C3,1,0)</f>
        <v>0</v>
      </c>
      <c r="F3" s="23">
        <v>8</v>
      </c>
      <c r="G3" s="23">
        <v>10</v>
      </c>
      <c r="H3" s="23">
        <f>F3-G3</f>
        <v>-2</v>
      </c>
      <c r="I3" s="23">
        <f>IF(F3&gt;=G3,1,0)</f>
        <v>0</v>
      </c>
      <c r="J3" s="22">
        <v>1</v>
      </c>
      <c r="K3" s="22">
        <v>3</v>
      </c>
      <c r="L3" s="22">
        <f>J3-K3</f>
        <v>-2</v>
      </c>
      <c r="M3" s="22">
        <f>IF(J3&lt;=K3,1,0)</f>
        <v>1</v>
      </c>
      <c r="N3" s="23">
        <v>59</v>
      </c>
      <c r="O3" s="23">
        <v>65</v>
      </c>
      <c r="P3" s="23">
        <f>N3-O3</f>
        <v>-6</v>
      </c>
      <c r="Q3" s="23">
        <f>IF(N3&gt;=O3,1,0)</f>
        <v>0</v>
      </c>
      <c r="R3" s="22">
        <v>62</v>
      </c>
      <c r="S3" s="22">
        <v>34</v>
      </c>
      <c r="T3" s="22">
        <f>R3-S3</f>
        <v>28</v>
      </c>
      <c r="U3" s="22">
        <f>IF(R3&gt;=S3,1,0)</f>
        <v>1</v>
      </c>
      <c r="V3" s="23">
        <v>56</v>
      </c>
      <c r="W3" s="23">
        <v>42</v>
      </c>
      <c r="X3" s="23">
        <f>V3-W3</f>
        <v>14</v>
      </c>
      <c r="Y3" s="23">
        <f>IF(V3&gt;=W3,1,0)</f>
        <v>1</v>
      </c>
    </row>
    <row r="4" spans="1:25" x14ac:dyDescent="0.2">
      <c r="A4" s="24" t="s">
        <v>178</v>
      </c>
      <c r="B4" s="22">
        <v>64</v>
      </c>
      <c r="C4" s="22">
        <v>59</v>
      </c>
      <c r="D4" s="22">
        <f t="shared" ref="D4:D67" si="1">B4-C4</f>
        <v>5</v>
      </c>
      <c r="E4" s="22">
        <f t="shared" si="0"/>
        <v>1</v>
      </c>
      <c r="F4" s="23">
        <v>5</v>
      </c>
      <c r="G4" s="23">
        <v>10</v>
      </c>
      <c r="H4" s="23">
        <f t="shared" ref="H4:H67" si="2">F4-G4</f>
        <v>-5</v>
      </c>
      <c r="I4" s="23">
        <f t="shared" ref="I4:I67" si="3">IF(F4&gt;=G4,1,0)</f>
        <v>0</v>
      </c>
      <c r="J4" s="22">
        <v>3</v>
      </c>
      <c r="K4" s="22">
        <v>4</v>
      </c>
      <c r="L4" s="22">
        <f t="shared" ref="L4:L67" si="4">J4-K4</f>
        <v>-1</v>
      </c>
      <c r="M4" s="22">
        <f t="shared" ref="M4:M67" si="5">IF(J4&lt;=K4,1,0)</f>
        <v>1</v>
      </c>
      <c r="N4" s="23">
        <v>70</v>
      </c>
      <c r="O4" s="23">
        <v>64</v>
      </c>
      <c r="P4" s="23">
        <f t="shared" ref="P4:P67" si="6">N4-O4</f>
        <v>6</v>
      </c>
      <c r="Q4" s="23">
        <f t="shared" ref="Q4:Q67" si="7">IF(N4&gt;=O4,1,0)</f>
        <v>1</v>
      </c>
      <c r="R4" s="22">
        <v>58</v>
      </c>
      <c r="S4" s="22">
        <v>52</v>
      </c>
      <c r="T4" s="22">
        <f t="shared" ref="T4:T67" si="8">R4-S4</f>
        <v>6</v>
      </c>
      <c r="U4" s="22">
        <f t="shared" ref="U4:U67" si="9">IF(R4&gt;=S4,1,0)</f>
        <v>1</v>
      </c>
      <c r="V4" s="23">
        <v>41</v>
      </c>
      <c r="W4" s="23">
        <v>63</v>
      </c>
      <c r="X4" s="23">
        <f t="shared" ref="X4:X67" si="10">V4-W4</f>
        <v>-22</v>
      </c>
      <c r="Y4" s="23">
        <f t="shared" ref="Y4:Y67" si="11">IF(V4&gt;=W4,1,0)</f>
        <v>0</v>
      </c>
    </row>
    <row r="5" spans="1:25" x14ac:dyDescent="0.2">
      <c r="A5" s="24" t="s">
        <v>178</v>
      </c>
      <c r="B5" s="22">
        <v>65</v>
      </c>
      <c r="C5" s="22">
        <v>59</v>
      </c>
      <c r="D5" s="22">
        <f t="shared" si="1"/>
        <v>6</v>
      </c>
      <c r="E5" s="22">
        <f t="shared" si="0"/>
        <v>1</v>
      </c>
      <c r="F5" s="23">
        <v>15</v>
      </c>
      <c r="G5" s="23">
        <v>5</v>
      </c>
      <c r="H5" s="23">
        <f t="shared" si="2"/>
        <v>10</v>
      </c>
      <c r="I5" s="23">
        <f t="shared" si="3"/>
        <v>1</v>
      </c>
      <c r="J5" s="22">
        <v>2</v>
      </c>
      <c r="K5" s="22">
        <v>6</v>
      </c>
      <c r="L5" s="22">
        <f t="shared" si="4"/>
        <v>-4</v>
      </c>
      <c r="M5" s="22">
        <f t="shared" si="5"/>
        <v>1</v>
      </c>
      <c r="N5" s="23">
        <v>75</v>
      </c>
      <c r="O5" s="23">
        <v>67</v>
      </c>
      <c r="P5" s="23">
        <f t="shared" si="6"/>
        <v>8</v>
      </c>
      <c r="Q5" s="23">
        <f t="shared" si="7"/>
        <v>1</v>
      </c>
      <c r="R5" s="22">
        <v>53</v>
      </c>
      <c r="S5" s="22">
        <v>50</v>
      </c>
      <c r="T5" s="22">
        <f t="shared" si="8"/>
        <v>3</v>
      </c>
      <c r="U5" s="22">
        <f t="shared" si="9"/>
        <v>1</v>
      </c>
      <c r="V5" s="23">
        <v>60</v>
      </c>
      <c r="W5" s="23">
        <v>33</v>
      </c>
      <c r="X5" s="23">
        <f t="shared" si="10"/>
        <v>27</v>
      </c>
      <c r="Y5" s="23">
        <f t="shared" si="11"/>
        <v>1</v>
      </c>
    </row>
    <row r="6" spans="1:25" x14ac:dyDescent="0.2">
      <c r="A6" s="24" t="s">
        <v>179</v>
      </c>
      <c r="B6" s="22">
        <v>71</v>
      </c>
      <c r="C6" s="22">
        <v>68</v>
      </c>
      <c r="D6" s="22">
        <f t="shared" si="1"/>
        <v>3</v>
      </c>
      <c r="E6" s="22">
        <f t="shared" si="0"/>
        <v>1</v>
      </c>
      <c r="F6" s="23">
        <v>8</v>
      </c>
      <c r="G6" s="23">
        <v>15</v>
      </c>
      <c r="H6" s="23">
        <f t="shared" si="2"/>
        <v>-7</v>
      </c>
      <c r="I6" s="23">
        <f t="shared" si="3"/>
        <v>0</v>
      </c>
      <c r="J6" s="22">
        <v>2</v>
      </c>
      <c r="K6" s="22">
        <v>2</v>
      </c>
      <c r="L6" s="22">
        <f t="shared" si="4"/>
        <v>0</v>
      </c>
      <c r="M6" s="22">
        <f t="shared" si="5"/>
        <v>1</v>
      </c>
      <c r="N6" s="23">
        <v>89</v>
      </c>
      <c r="O6" s="23">
        <v>72</v>
      </c>
      <c r="P6" s="23">
        <f t="shared" si="6"/>
        <v>17</v>
      </c>
      <c r="Q6" s="23">
        <f t="shared" si="7"/>
        <v>1</v>
      </c>
      <c r="R6" s="22">
        <v>74</v>
      </c>
      <c r="S6" s="22">
        <v>53</v>
      </c>
      <c r="T6" s="22">
        <f t="shared" si="8"/>
        <v>21</v>
      </c>
      <c r="U6" s="22">
        <f t="shared" si="9"/>
        <v>1</v>
      </c>
      <c r="V6" s="23">
        <v>27</v>
      </c>
      <c r="W6" s="23">
        <v>0</v>
      </c>
      <c r="X6" s="23">
        <f t="shared" si="10"/>
        <v>27</v>
      </c>
      <c r="Y6" s="23">
        <f t="shared" si="11"/>
        <v>1</v>
      </c>
    </row>
    <row r="7" spans="1:25" x14ac:dyDescent="0.2">
      <c r="A7" s="24" t="s">
        <v>179</v>
      </c>
      <c r="B7" s="22">
        <v>63</v>
      </c>
      <c r="C7" s="22">
        <v>62</v>
      </c>
      <c r="D7" s="22">
        <f t="shared" si="1"/>
        <v>1</v>
      </c>
      <c r="E7" s="22">
        <f t="shared" si="0"/>
        <v>1</v>
      </c>
      <c r="F7" s="23">
        <v>20</v>
      </c>
      <c r="G7" s="23">
        <v>6</v>
      </c>
      <c r="H7" s="23">
        <f t="shared" si="2"/>
        <v>14</v>
      </c>
      <c r="I7" s="23">
        <f t="shared" si="3"/>
        <v>1</v>
      </c>
      <c r="J7" s="22">
        <v>4</v>
      </c>
      <c r="K7" s="22">
        <v>2</v>
      </c>
      <c r="L7" s="22">
        <f t="shared" si="4"/>
        <v>2</v>
      </c>
      <c r="M7" s="22">
        <f t="shared" si="5"/>
        <v>0</v>
      </c>
      <c r="N7" s="23">
        <v>86</v>
      </c>
      <c r="O7" s="23">
        <v>74</v>
      </c>
      <c r="P7" s="23">
        <f t="shared" si="6"/>
        <v>12</v>
      </c>
      <c r="Q7" s="23">
        <f t="shared" si="7"/>
        <v>1</v>
      </c>
      <c r="R7" s="22">
        <v>53</v>
      </c>
      <c r="S7" s="22">
        <v>50</v>
      </c>
      <c r="T7" s="22">
        <f t="shared" si="8"/>
        <v>3</v>
      </c>
      <c r="U7" s="22">
        <f t="shared" si="9"/>
        <v>1</v>
      </c>
      <c r="V7" s="23">
        <v>27</v>
      </c>
      <c r="W7" s="23">
        <v>25</v>
      </c>
      <c r="X7" s="23">
        <f t="shared" si="10"/>
        <v>2</v>
      </c>
      <c r="Y7" s="23">
        <f t="shared" si="11"/>
        <v>1</v>
      </c>
    </row>
    <row r="8" spans="1:25" x14ac:dyDescent="0.2">
      <c r="A8" s="24" t="s">
        <v>179</v>
      </c>
      <c r="B8" s="22">
        <v>66</v>
      </c>
      <c r="C8" s="22">
        <v>74</v>
      </c>
      <c r="D8" s="22">
        <f t="shared" si="1"/>
        <v>-8</v>
      </c>
      <c r="E8" s="22">
        <f t="shared" si="0"/>
        <v>0</v>
      </c>
      <c r="F8" s="23">
        <v>10</v>
      </c>
      <c r="G8" s="23">
        <v>3</v>
      </c>
      <c r="H8" s="23">
        <f t="shared" si="2"/>
        <v>7</v>
      </c>
      <c r="I8" s="23">
        <f t="shared" si="3"/>
        <v>1</v>
      </c>
      <c r="J8" s="22">
        <v>0</v>
      </c>
      <c r="K8" s="22">
        <v>6</v>
      </c>
      <c r="L8" s="22">
        <f t="shared" si="4"/>
        <v>-6</v>
      </c>
      <c r="M8" s="22">
        <f t="shared" si="5"/>
        <v>1</v>
      </c>
      <c r="N8" s="23">
        <v>82</v>
      </c>
      <c r="O8" s="23">
        <v>64</v>
      </c>
      <c r="P8" s="23">
        <f t="shared" si="6"/>
        <v>18</v>
      </c>
      <c r="Q8" s="23">
        <f t="shared" si="7"/>
        <v>1</v>
      </c>
      <c r="R8" s="22">
        <v>47</v>
      </c>
      <c r="S8" s="22">
        <v>29</v>
      </c>
      <c r="T8" s="22">
        <f t="shared" si="8"/>
        <v>18</v>
      </c>
      <c r="U8" s="22">
        <f t="shared" si="9"/>
        <v>1</v>
      </c>
      <c r="V8" s="23">
        <v>50</v>
      </c>
      <c r="W8" s="23">
        <v>0</v>
      </c>
      <c r="X8" s="23">
        <f t="shared" si="10"/>
        <v>50</v>
      </c>
      <c r="Y8" s="23">
        <f t="shared" si="11"/>
        <v>1</v>
      </c>
    </row>
    <row r="9" spans="1:25" x14ac:dyDescent="0.2">
      <c r="A9" s="24" t="s">
        <v>179</v>
      </c>
      <c r="B9" s="22">
        <v>69</v>
      </c>
      <c r="C9" s="22">
        <v>63</v>
      </c>
      <c r="D9" s="22">
        <f t="shared" si="1"/>
        <v>6</v>
      </c>
      <c r="E9" s="22">
        <f t="shared" si="0"/>
        <v>1</v>
      </c>
      <c r="F9" s="23">
        <v>13</v>
      </c>
      <c r="G9" s="23">
        <v>9</v>
      </c>
      <c r="H9" s="23">
        <f t="shared" si="2"/>
        <v>4</v>
      </c>
      <c r="I9" s="23">
        <f t="shared" si="3"/>
        <v>1</v>
      </c>
      <c r="J9" s="22">
        <v>1</v>
      </c>
      <c r="K9" s="22">
        <v>3</v>
      </c>
      <c r="L9" s="22">
        <f t="shared" si="4"/>
        <v>-2</v>
      </c>
      <c r="M9" s="22">
        <f t="shared" si="5"/>
        <v>1</v>
      </c>
      <c r="N9" s="23">
        <v>80</v>
      </c>
      <c r="O9" s="23">
        <v>65</v>
      </c>
      <c r="P9" s="23">
        <f t="shared" si="6"/>
        <v>15</v>
      </c>
      <c r="Q9" s="23">
        <f t="shared" si="7"/>
        <v>1</v>
      </c>
      <c r="R9" s="22">
        <v>67</v>
      </c>
      <c r="S9" s="22">
        <v>51</v>
      </c>
      <c r="T9" s="22">
        <f t="shared" si="8"/>
        <v>16</v>
      </c>
      <c r="U9" s="22">
        <f t="shared" si="9"/>
        <v>1</v>
      </c>
      <c r="V9" s="23">
        <v>33</v>
      </c>
      <c r="W9" s="23">
        <v>50</v>
      </c>
      <c r="X9" s="23">
        <f t="shared" si="10"/>
        <v>-17</v>
      </c>
      <c r="Y9" s="23">
        <f t="shared" si="11"/>
        <v>0</v>
      </c>
    </row>
    <row r="10" spans="1:25" x14ac:dyDescent="0.2">
      <c r="A10" s="19">
        <v>2014</v>
      </c>
      <c r="B10" s="22">
        <v>55</v>
      </c>
      <c r="C10" s="22">
        <v>78</v>
      </c>
      <c r="D10" s="22">
        <f t="shared" si="1"/>
        <v>-23</v>
      </c>
      <c r="E10" s="22">
        <f t="shared" si="0"/>
        <v>0</v>
      </c>
      <c r="F10" s="23">
        <v>19</v>
      </c>
      <c r="G10" s="23">
        <v>1</v>
      </c>
      <c r="H10" s="23">
        <f t="shared" si="2"/>
        <v>18</v>
      </c>
      <c r="I10" s="23">
        <f t="shared" si="3"/>
        <v>1</v>
      </c>
      <c r="J10" s="22">
        <v>2</v>
      </c>
      <c r="K10" s="22">
        <v>3</v>
      </c>
      <c r="L10" s="22">
        <f t="shared" si="4"/>
        <v>-1</v>
      </c>
      <c r="M10" s="22">
        <f t="shared" si="5"/>
        <v>1</v>
      </c>
      <c r="N10" s="23">
        <v>87</v>
      </c>
      <c r="O10" s="23">
        <v>60</v>
      </c>
      <c r="P10" s="23">
        <f t="shared" si="6"/>
        <v>27</v>
      </c>
      <c r="Q10" s="23">
        <f t="shared" si="7"/>
        <v>1</v>
      </c>
      <c r="R10" s="22">
        <v>51</v>
      </c>
      <c r="S10" s="22">
        <v>42</v>
      </c>
      <c r="T10" s="22">
        <f t="shared" si="8"/>
        <v>9</v>
      </c>
      <c r="U10" s="22">
        <f t="shared" si="9"/>
        <v>1</v>
      </c>
      <c r="V10" s="23">
        <v>33</v>
      </c>
      <c r="W10" s="23">
        <v>33</v>
      </c>
      <c r="X10" s="23">
        <f t="shared" si="10"/>
        <v>0</v>
      </c>
      <c r="Y10" s="23">
        <f t="shared" si="11"/>
        <v>1</v>
      </c>
    </row>
    <row r="11" spans="1:25" x14ac:dyDescent="0.2">
      <c r="A11" s="25" t="s">
        <v>178</v>
      </c>
      <c r="B11" s="22">
        <v>65</v>
      </c>
      <c r="C11" s="22">
        <v>66</v>
      </c>
      <c r="D11" s="22">
        <f t="shared" si="1"/>
        <v>-1</v>
      </c>
      <c r="E11" s="22">
        <f t="shared" si="0"/>
        <v>0</v>
      </c>
      <c r="F11" s="23">
        <v>3</v>
      </c>
      <c r="G11" s="23">
        <v>8</v>
      </c>
      <c r="H11" s="23">
        <f t="shared" si="2"/>
        <v>-5</v>
      </c>
      <c r="I11" s="23">
        <f t="shared" si="3"/>
        <v>0</v>
      </c>
      <c r="J11" s="22">
        <v>1</v>
      </c>
      <c r="K11" s="22">
        <v>1</v>
      </c>
      <c r="L11" s="22">
        <f t="shared" si="4"/>
        <v>0</v>
      </c>
      <c r="M11" s="22">
        <f t="shared" si="5"/>
        <v>1</v>
      </c>
      <c r="N11" s="23">
        <v>73</v>
      </c>
      <c r="O11" s="23">
        <v>65</v>
      </c>
      <c r="P11" s="23">
        <f t="shared" si="6"/>
        <v>8</v>
      </c>
      <c r="Q11" s="23">
        <f t="shared" si="7"/>
        <v>1</v>
      </c>
      <c r="R11" s="22">
        <v>73</v>
      </c>
      <c r="S11" s="22">
        <v>50</v>
      </c>
      <c r="T11" s="22">
        <f t="shared" si="8"/>
        <v>23</v>
      </c>
      <c r="U11" s="22">
        <f t="shared" si="9"/>
        <v>1</v>
      </c>
      <c r="V11" s="23">
        <v>29</v>
      </c>
      <c r="W11" s="23">
        <v>50</v>
      </c>
      <c r="X11" s="23">
        <f t="shared" si="10"/>
        <v>-21</v>
      </c>
      <c r="Y11" s="23">
        <f t="shared" si="11"/>
        <v>0</v>
      </c>
    </row>
    <row r="12" spans="1:25" x14ac:dyDescent="0.2">
      <c r="A12" s="25" t="s">
        <v>178</v>
      </c>
      <c r="B12" s="22">
        <v>61</v>
      </c>
      <c r="C12" s="22">
        <v>62</v>
      </c>
      <c r="D12" s="22">
        <f t="shared" si="1"/>
        <v>-1</v>
      </c>
      <c r="E12" s="22">
        <f t="shared" si="0"/>
        <v>0</v>
      </c>
      <c r="F12" s="23">
        <v>18</v>
      </c>
      <c r="G12" s="23">
        <v>21</v>
      </c>
      <c r="H12" s="23">
        <f t="shared" si="2"/>
        <v>-3</v>
      </c>
      <c r="I12" s="23">
        <f t="shared" si="3"/>
        <v>0</v>
      </c>
      <c r="J12" s="22">
        <v>4</v>
      </c>
      <c r="K12" s="22">
        <v>7</v>
      </c>
      <c r="L12" s="22">
        <f t="shared" si="4"/>
        <v>-3</v>
      </c>
      <c r="M12" s="22">
        <f t="shared" si="5"/>
        <v>1</v>
      </c>
      <c r="N12" s="23">
        <v>82</v>
      </c>
      <c r="O12" s="23">
        <v>82</v>
      </c>
      <c r="P12" s="23">
        <f t="shared" si="6"/>
        <v>0</v>
      </c>
      <c r="Q12" s="23">
        <f t="shared" si="7"/>
        <v>1</v>
      </c>
      <c r="R12" s="22">
        <v>56</v>
      </c>
      <c r="S12" s="22">
        <v>57</v>
      </c>
      <c r="T12" s="22">
        <f t="shared" si="8"/>
        <v>-1</v>
      </c>
      <c r="U12" s="22">
        <f t="shared" si="9"/>
        <v>0</v>
      </c>
      <c r="V12" s="23">
        <v>25</v>
      </c>
      <c r="W12" s="23">
        <v>0</v>
      </c>
      <c r="X12" s="23">
        <f t="shared" si="10"/>
        <v>25</v>
      </c>
      <c r="Y12" s="23">
        <f t="shared" si="11"/>
        <v>1</v>
      </c>
    </row>
    <row r="13" spans="1:25" x14ac:dyDescent="0.2">
      <c r="A13" s="25" t="s">
        <v>179</v>
      </c>
      <c r="B13" s="22">
        <v>73</v>
      </c>
      <c r="C13" s="22">
        <v>58</v>
      </c>
      <c r="D13" s="22">
        <f t="shared" si="1"/>
        <v>15</v>
      </c>
      <c r="E13" s="22">
        <f t="shared" si="0"/>
        <v>1</v>
      </c>
      <c r="F13" s="23">
        <v>3</v>
      </c>
      <c r="G13" s="23">
        <v>16</v>
      </c>
      <c r="H13" s="23">
        <f t="shared" si="2"/>
        <v>-13</v>
      </c>
      <c r="I13" s="23">
        <f t="shared" si="3"/>
        <v>0</v>
      </c>
      <c r="J13" s="22">
        <v>7</v>
      </c>
      <c r="K13" s="22">
        <v>5</v>
      </c>
      <c r="L13" s="22">
        <f t="shared" si="4"/>
        <v>2</v>
      </c>
      <c r="M13" s="22">
        <f t="shared" si="5"/>
        <v>0</v>
      </c>
      <c r="N13" s="23">
        <v>73</v>
      </c>
      <c r="O13" s="23">
        <v>71</v>
      </c>
      <c r="P13" s="23">
        <f t="shared" si="6"/>
        <v>2</v>
      </c>
      <c r="Q13" s="23">
        <f t="shared" si="7"/>
        <v>1</v>
      </c>
      <c r="R13" s="22">
        <v>67</v>
      </c>
      <c r="S13" s="22">
        <v>49</v>
      </c>
      <c r="T13" s="22">
        <f t="shared" si="8"/>
        <v>18</v>
      </c>
      <c r="U13" s="22">
        <f t="shared" si="9"/>
        <v>1</v>
      </c>
      <c r="V13" s="23">
        <v>36</v>
      </c>
      <c r="W13" s="23">
        <v>50</v>
      </c>
      <c r="X13" s="23">
        <f t="shared" si="10"/>
        <v>-14</v>
      </c>
      <c r="Y13" s="23">
        <f t="shared" si="11"/>
        <v>0</v>
      </c>
    </row>
    <row r="14" spans="1:25" x14ac:dyDescent="0.2">
      <c r="A14" s="25" t="s">
        <v>179</v>
      </c>
      <c r="B14" s="22">
        <v>64</v>
      </c>
      <c r="C14" s="22">
        <v>61</v>
      </c>
      <c r="D14" s="22">
        <f t="shared" si="1"/>
        <v>3</v>
      </c>
      <c r="E14" s="22">
        <f t="shared" si="0"/>
        <v>1</v>
      </c>
      <c r="F14" s="23">
        <v>10</v>
      </c>
      <c r="G14" s="23">
        <v>9</v>
      </c>
      <c r="H14" s="23">
        <f t="shared" si="2"/>
        <v>1</v>
      </c>
      <c r="I14" s="23">
        <f t="shared" si="3"/>
        <v>1</v>
      </c>
      <c r="J14" s="22">
        <v>0</v>
      </c>
      <c r="K14" s="22">
        <v>1</v>
      </c>
      <c r="L14" s="22">
        <f t="shared" si="4"/>
        <v>-1</v>
      </c>
      <c r="M14" s="22">
        <f t="shared" si="5"/>
        <v>1</v>
      </c>
      <c r="N14" s="23">
        <v>78</v>
      </c>
      <c r="O14" s="23">
        <v>67</v>
      </c>
      <c r="P14" s="23">
        <f t="shared" si="6"/>
        <v>11</v>
      </c>
      <c r="Q14" s="23">
        <f t="shared" si="7"/>
        <v>1</v>
      </c>
      <c r="R14" s="22">
        <v>64</v>
      </c>
      <c r="S14" s="22">
        <v>49</v>
      </c>
      <c r="T14" s="22">
        <f t="shared" si="8"/>
        <v>15</v>
      </c>
      <c r="U14" s="22">
        <f t="shared" si="9"/>
        <v>1</v>
      </c>
      <c r="V14" s="23">
        <v>24</v>
      </c>
      <c r="W14" s="23">
        <v>50</v>
      </c>
      <c r="X14" s="23">
        <f t="shared" si="10"/>
        <v>-26</v>
      </c>
      <c r="Y14" s="23">
        <f t="shared" si="11"/>
        <v>0</v>
      </c>
    </row>
    <row r="15" spans="1:25" x14ac:dyDescent="0.2">
      <c r="A15" s="25" t="s">
        <v>179</v>
      </c>
      <c r="B15" s="22">
        <v>52</v>
      </c>
      <c r="C15" s="22">
        <v>61</v>
      </c>
      <c r="D15" s="22">
        <f t="shared" si="1"/>
        <v>-9</v>
      </c>
      <c r="E15" s="22">
        <f t="shared" si="0"/>
        <v>0</v>
      </c>
      <c r="F15" s="23">
        <v>10</v>
      </c>
      <c r="G15" s="23">
        <v>2</v>
      </c>
      <c r="H15" s="23">
        <f t="shared" si="2"/>
        <v>8</v>
      </c>
      <c r="I15" s="23">
        <f t="shared" si="3"/>
        <v>1</v>
      </c>
      <c r="J15" s="22">
        <v>4</v>
      </c>
      <c r="K15" s="22">
        <v>1</v>
      </c>
      <c r="L15" s="22">
        <f t="shared" si="4"/>
        <v>3</v>
      </c>
      <c r="M15" s="22">
        <f t="shared" si="5"/>
        <v>0</v>
      </c>
      <c r="N15" s="23">
        <v>78</v>
      </c>
      <c r="O15" s="23">
        <v>64</v>
      </c>
      <c r="P15" s="23">
        <f t="shared" si="6"/>
        <v>14</v>
      </c>
      <c r="Q15" s="23">
        <f t="shared" si="7"/>
        <v>1</v>
      </c>
      <c r="R15" s="22">
        <v>44</v>
      </c>
      <c r="S15" s="22">
        <v>50</v>
      </c>
      <c r="T15" s="22">
        <f t="shared" si="8"/>
        <v>-6</v>
      </c>
      <c r="U15" s="22">
        <f t="shared" si="9"/>
        <v>0</v>
      </c>
      <c r="V15" s="23">
        <v>38</v>
      </c>
      <c r="W15" s="23">
        <v>25</v>
      </c>
      <c r="X15" s="23">
        <f t="shared" si="10"/>
        <v>13</v>
      </c>
      <c r="Y15" s="23">
        <f t="shared" si="11"/>
        <v>1</v>
      </c>
    </row>
    <row r="16" spans="1:25" x14ac:dyDescent="0.2">
      <c r="A16" s="25" t="s">
        <v>179</v>
      </c>
      <c r="B16" s="22">
        <v>58</v>
      </c>
      <c r="C16" s="22">
        <v>73</v>
      </c>
      <c r="D16" s="22">
        <f t="shared" si="1"/>
        <v>-15</v>
      </c>
      <c r="E16" s="22">
        <f t="shared" si="0"/>
        <v>0</v>
      </c>
      <c r="F16" s="23">
        <v>17</v>
      </c>
      <c r="G16" s="23">
        <v>7</v>
      </c>
      <c r="H16" s="23">
        <f t="shared" si="2"/>
        <v>10</v>
      </c>
      <c r="I16" s="23">
        <f t="shared" si="3"/>
        <v>1</v>
      </c>
      <c r="J16" s="22">
        <v>5</v>
      </c>
      <c r="K16" s="22">
        <v>1</v>
      </c>
      <c r="L16" s="22">
        <f t="shared" si="4"/>
        <v>4</v>
      </c>
      <c r="M16" s="22">
        <f t="shared" si="5"/>
        <v>0</v>
      </c>
      <c r="N16" s="23">
        <v>72</v>
      </c>
      <c r="O16" s="23">
        <v>71</v>
      </c>
      <c r="P16" s="23">
        <f t="shared" si="6"/>
        <v>1</v>
      </c>
      <c r="Q16" s="23">
        <f t="shared" si="7"/>
        <v>1</v>
      </c>
      <c r="R16" s="22">
        <v>50</v>
      </c>
      <c r="S16" s="22">
        <v>59</v>
      </c>
      <c r="T16" s="22">
        <f t="shared" si="8"/>
        <v>-9</v>
      </c>
      <c r="U16" s="22">
        <f t="shared" si="9"/>
        <v>0</v>
      </c>
      <c r="V16" s="23">
        <v>50</v>
      </c>
      <c r="W16" s="23">
        <v>57</v>
      </c>
      <c r="X16" s="23">
        <f t="shared" si="10"/>
        <v>-7</v>
      </c>
      <c r="Y16" s="23">
        <f t="shared" si="11"/>
        <v>0</v>
      </c>
    </row>
    <row r="17" spans="1:25" x14ac:dyDescent="0.2">
      <c r="A17" s="19">
        <v>2013</v>
      </c>
      <c r="B17" s="22">
        <v>63</v>
      </c>
      <c r="C17" s="22">
        <v>60</v>
      </c>
      <c r="D17" s="22">
        <f t="shared" si="1"/>
        <v>3</v>
      </c>
      <c r="E17" s="22">
        <f t="shared" si="0"/>
        <v>1</v>
      </c>
      <c r="F17" s="23">
        <v>8</v>
      </c>
      <c r="G17" s="23">
        <v>7</v>
      </c>
      <c r="H17" s="23">
        <f t="shared" si="2"/>
        <v>1</v>
      </c>
      <c r="I17" s="23">
        <f t="shared" si="3"/>
        <v>1</v>
      </c>
      <c r="J17" s="22">
        <v>3</v>
      </c>
      <c r="K17" s="22">
        <v>5</v>
      </c>
      <c r="L17" s="22">
        <f t="shared" si="4"/>
        <v>-2</v>
      </c>
      <c r="M17" s="22">
        <f t="shared" si="5"/>
        <v>1</v>
      </c>
      <c r="N17" s="23">
        <v>75</v>
      </c>
      <c r="O17" s="23">
        <v>81</v>
      </c>
      <c r="P17" s="23">
        <f t="shared" si="6"/>
        <v>-6</v>
      </c>
      <c r="Q17" s="23">
        <f t="shared" si="7"/>
        <v>0</v>
      </c>
      <c r="R17" s="22">
        <v>66</v>
      </c>
      <c r="S17" s="22">
        <v>41</v>
      </c>
      <c r="T17" s="22">
        <f t="shared" si="8"/>
        <v>25</v>
      </c>
      <c r="U17" s="22">
        <f t="shared" si="9"/>
        <v>1</v>
      </c>
      <c r="V17" s="23">
        <v>27</v>
      </c>
      <c r="W17" s="23">
        <v>0</v>
      </c>
      <c r="X17" s="23">
        <f t="shared" si="10"/>
        <v>27</v>
      </c>
      <c r="Y17" s="23">
        <f t="shared" si="11"/>
        <v>1</v>
      </c>
    </row>
    <row r="18" spans="1:25" x14ac:dyDescent="0.2">
      <c r="A18" s="25" t="s">
        <v>178</v>
      </c>
      <c r="B18" s="22">
        <v>63</v>
      </c>
      <c r="C18" s="22">
        <v>60</v>
      </c>
      <c r="D18" s="22">
        <f t="shared" si="1"/>
        <v>3</v>
      </c>
      <c r="E18" s="22">
        <f t="shared" si="0"/>
        <v>1</v>
      </c>
      <c r="F18" s="23">
        <v>6</v>
      </c>
      <c r="G18" s="23">
        <v>1</v>
      </c>
      <c r="H18" s="23">
        <f t="shared" si="2"/>
        <v>5</v>
      </c>
      <c r="I18" s="23">
        <f t="shared" si="3"/>
        <v>1</v>
      </c>
      <c r="J18" s="22">
        <v>0</v>
      </c>
      <c r="K18" s="22">
        <v>3</v>
      </c>
      <c r="L18" s="22">
        <f t="shared" si="4"/>
        <v>-3</v>
      </c>
      <c r="M18" s="22">
        <f t="shared" si="5"/>
        <v>1</v>
      </c>
      <c r="N18" s="23">
        <v>91</v>
      </c>
      <c r="O18" s="23">
        <v>56</v>
      </c>
      <c r="P18" s="23">
        <f t="shared" si="6"/>
        <v>35</v>
      </c>
      <c r="Q18" s="23">
        <f t="shared" si="7"/>
        <v>1</v>
      </c>
      <c r="R18" s="22">
        <v>79</v>
      </c>
      <c r="S18" s="22">
        <v>30</v>
      </c>
      <c r="T18" s="22">
        <f t="shared" si="8"/>
        <v>49</v>
      </c>
      <c r="U18" s="22">
        <f t="shared" si="9"/>
        <v>1</v>
      </c>
      <c r="V18" s="23">
        <v>100</v>
      </c>
      <c r="W18" s="23">
        <v>0</v>
      </c>
      <c r="X18" s="23">
        <f t="shared" si="10"/>
        <v>100</v>
      </c>
      <c r="Y18" s="23">
        <f t="shared" si="11"/>
        <v>1</v>
      </c>
    </row>
    <row r="19" spans="1:25" x14ac:dyDescent="0.2">
      <c r="A19" s="25" t="s">
        <v>178</v>
      </c>
      <c r="B19" s="22">
        <v>64</v>
      </c>
      <c r="C19" s="22">
        <v>61</v>
      </c>
      <c r="D19" s="22">
        <f t="shared" si="1"/>
        <v>3</v>
      </c>
      <c r="E19" s="22">
        <f t="shared" si="0"/>
        <v>1</v>
      </c>
      <c r="F19" s="23">
        <v>21</v>
      </c>
      <c r="G19" s="23">
        <v>5</v>
      </c>
      <c r="H19" s="23">
        <f t="shared" si="2"/>
        <v>16</v>
      </c>
      <c r="I19" s="23">
        <f t="shared" si="3"/>
        <v>1</v>
      </c>
      <c r="J19" s="22">
        <v>0</v>
      </c>
      <c r="K19" s="22">
        <v>2</v>
      </c>
      <c r="L19" s="22">
        <f t="shared" si="4"/>
        <v>-2</v>
      </c>
      <c r="M19" s="22">
        <f t="shared" si="5"/>
        <v>1</v>
      </c>
      <c r="N19" s="23">
        <v>75</v>
      </c>
      <c r="O19" s="23">
        <v>73</v>
      </c>
      <c r="P19" s="23">
        <f t="shared" si="6"/>
        <v>2</v>
      </c>
      <c r="Q19" s="23">
        <f t="shared" si="7"/>
        <v>1</v>
      </c>
      <c r="R19" s="22">
        <v>63</v>
      </c>
      <c r="S19" s="22">
        <v>42</v>
      </c>
      <c r="T19" s="22">
        <f t="shared" si="8"/>
        <v>21</v>
      </c>
      <c r="U19" s="22">
        <f t="shared" si="9"/>
        <v>1</v>
      </c>
      <c r="V19" s="23">
        <v>38</v>
      </c>
      <c r="W19" s="23">
        <v>33</v>
      </c>
      <c r="X19" s="23">
        <f t="shared" si="10"/>
        <v>5</v>
      </c>
      <c r="Y19" s="23">
        <f t="shared" si="11"/>
        <v>1</v>
      </c>
    </row>
    <row r="20" spans="1:25" x14ac:dyDescent="0.2">
      <c r="A20" s="25" t="s">
        <v>179</v>
      </c>
      <c r="B20" s="22">
        <v>67</v>
      </c>
      <c r="C20" s="22">
        <v>60</v>
      </c>
      <c r="D20" s="22">
        <f t="shared" si="1"/>
        <v>7</v>
      </c>
      <c r="E20" s="22">
        <f t="shared" si="0"/>
        <v>1</v>
      </c>
      <c r="F20" s="23">
        <v>10</v>
      </c>
      <c r="G20" s="23">
        <v>8</v>
      </c>
      <c r="H20" s="23">
        <f t="shared" si="2"/>
        <v>2</v>
      </c>
      <c r="I20" s="23">
        <f t="shared" si="3"/>
        <v>1</v>
      </c>
      <c r="J20" s="22">
        <v>2</v>
      </c>
      <c r="K20" s="22">
        <v>5</v>
      </c>
      <c r="L20" s="22">
        <f t="shared" si="4"/>
        <v>-3</v>
      </c>
      <c r="M20" s="22">
        <f t="shared" si="5"/>
        <v>1</v>
      </c>
      <c r="N20" s="23">
        <v>78</v>
      </c>
      <c r="O20" s="23">
        <v>66</v>
      </c>
      <c r="P20" s="23">
        <f t="shared" si="6"/>
        <v>12</v>
      </c>
      <c r="Q20" s="23">
        <f t="shared" si="7"/>
        <v>1</v>
      </c>
      <c r="R20" s="22">
        <v>63</v>
      </c>
      <c r="S20" s="22">
        <v>42</v>
      </c>
      <c r="T20" s="22">
        <f t="shared" si="8"/>
        <v>21</v>
      </c>
      <c r="U20" s="22">
        <f t="shared" si="9"/>
        <v>1</v>
      </c>
      <c r="V20" s="23">
        <v>43</v>
      </c>
      <c r="W20" s="23">
        <v>25</v>
      </c>
      <c r="X20" s="23">
        <f t="shared" si="10"/>
        <v>18</v>
      </c>
      <c r="Y20" s="23">
        <f t="shared" si="11"/>
        <v>1</v>
      </c>
    </row>
    <row r="21" spans="1:25" x14ac:dyDescent="0.2">
      <c r="A21" s="25" t="s">
        <v>179</v>
      </c>
      <c r="B21" s="22">
        <v>69</v>
      </c>
      <c r="C21" s="22">
        <v>47</v>
      </c>
      <c r="D21" s="22">
        <f t="shared" si="1"/>
        <v>22</v>
      </c>
      <c r="E21" s="22">
        <f t="shared" si="0"/>
        <v>1</v>
      </c>
      <c r="F21" s="23">
        <v>16</v>
      </c>
      <c r="G21" s="23">
        <v>15</v>
      </c>
      <c r="H21" s="23">
        <f t="shared" si="2"/>
        <v>1</v>
      </c>
      <c r="I21" s="23">
        <f t="shared" si="3"/>
        <v>1</v>
      </c>
      <c r="J21" s="22">
        <v>0</v>
      </c>
      <c r="K21" s="22">
        <v>4</v>
      </c>
      <c r="L21" s="22">
        <f t="shared" si="4"/>
        <v>-4</v>
      </c>
      <c r="M21" s="22">
        <f t="shared" si="5"/>
        <v>1</v>
      </c>
      <c r="N21" s="23">
        <v>72</v>
      </c>
      <c r="O21" s="23">
        <v>73</v>
      </c>
      <c r="P21" s="23">
        <f t="shared" si="6"/>
        <v>-1</v>
      </c>
      <c r="Q21" s="23">
        <f t="shared" si="7"/>
        <v>0</v>
      </c>
      <c r="R21" s="22">
        <v>50</v>
      </c>
      <c r="S21" s="22">
        <v>47</v>
      </c>
      <c r="T21" s="22">
        <f t="shared" si="8"/>
        <v>3</v>
      </c>
      <c r="U21" s="22">
        <f t="shared" si="9"/>
        <v>1</v>
      </c>
      <c r="V21" s="23">
        <v>38</v>
      </c>
      <c r="W21" s="23">
        <v>58</v>
      </c>
      <c r="X21" s="23">
        <f t="shared" si="10"/>
        <v>-20</v>
      </c>
      <c r="Y21" s="23">
        <f t="shared" si="11"/>
        <v>0</v>
      </c>
    </row>
    <row r="22" spans="1:25" x14ac:dyDescent="0.2">
      <c r="A22" s="25" t="s">
        <v>179</v>
      </c>
      <c r="B22" s="22">
        <v>68</v>
      </c>
      <c r="C22" s="22">
        <v>68</v>
      </c>
      <c r="D22" s="22">
        <f t="shared" si="1"/>
        <v>0</v>
      </c>
      <c r="E22" s="22">
        <f>IF(B22&gt;=C22,1,0)</f>
        <v>1</v>
      </c>
      <c r="F22" s="23">
        <v>7</v>
      </c>
      <c r="G22" s="23">
        <v>6</v>
      </c>
      <c r="H22" s="23">
        <f t="shared" si="2"/>
        <v>1</v>
      </c>
      <c r="I22" s="23">
        <f t="shared" si="3"/>
        <v>1</v>
      </c>
      <c r="J22" s="22">
        <v>1</v>
      </c>
      <c r="K22" s="22">
        <v>3</v>
      </c>
      <c r="L22" s="22">
        <f t="shared" si="4"/>
        <v>-2</v>
      </c>
      <c r="M22" s="22">
        <f t="shared" si="5"/>
        <v>1</v>
      </c>
      <c r="N22" s="23">
        <v>80</v>
      </c>
      <c r="O22" s="23">
        <v>60</v>
      </c>
      <c r="P22" s="23">
        <f t="shared" si="6"/>
        <v>20</v>
      </c>
      <c r="Q22" s="23">
        <f t="shared" si="7"/>
        <v>1</v>
      </c>
      <c r="R22" s="22">
        <v>29</v>
      </c>
      <c r="S22" s="22">
        <v>20</v>
      </c>
      <c r="T22" s="22">
        <f t="shared" si="8"/>
        <v>9</v>
      </c>
      <c r="U22" s="22">
        <f t="shared" si="9"/>
        <v>1</v>
      </c>
      <c r="V22" s="23">
        <v>73</v>
      </c>
      <c r="W22" s="23">
        <v>40</v>
      </c>
      <c r="X22" s="23">
        <f t="shared" si="10"/>
        <v>33</v>
      </c>
      <c r="Y22" s="23">
        <f t="shared" si="11"/>
        <v>1</v>
      </c>
    </row>
    <row r="23" spans="1:25" x14ac:dyDescent="0.2">
      <c r="A23" s="25" t="s">
        <v>179</v>
      </c>
      <c r="B23" s="22">
        <v>61</v>
      </c>
      <c r="C23" s="22">
        <v>67</v>
      </c>
      <c r="D23" s="22">
        <f t="shared" si="1"/>
        <v>-6</v>
      </c>
      <c r="E23" s="22">
        <f t="shared" ref="E23:E86" si="12">IF(B23&gt;=C23,1,0)</f>
        <v>0</v>
      </c>
      <c r="F23" s="23">
        <v>6</v>
      </c>
      <c r="G23" s="23">
        <v>20</v>
      </c>
      <c r="H23" s="23">
        <f t="shared" si="2"/>
        <v>-14</v>
      </c>
      <c r="I23" s="23">
        <f t="shared" si="3"/>
        <v>0</v>
      </c>
      <c r="J23" s="22">
        <v>3</v>
      </c>
      <c r="K23" s="22">
        <v>1</v>
      </c>
      <c r="L23" s="22">
        <f t="shared" si="4"/>
        <v>2</v>
      </c>
      <c r="M23" s="22">
        <f t="shared" si="5"/>
        <v>0</v>
      </c>
      <c r="N23" s="23">
        <v>77</v>
      </c>
      <c r="O23" s="23">
        <v>75</v>
      </c>
      <c r="P23" s="23">
        <f t="shared" si="6"/>
        <v>2</v>
      </c>
      <c r="Q23" s="23">
        <f t="shared" si="7"/>
        <v>1</v>
      </c>
      <c r="R23" s="22">
        <v>56</v>
      </c>
      <c r="S23" s="22">
        <v>47</v>
      </c>
      <c r="T23" s="22">
        <f t="shared" si="8"/>
        <v>9</v>
      </c>
      <c r="U23" s="22">
        <f t="shared" si="9"/>
        <v>1</v>
      </c>
      <c r="V23" s="23">
        <v>22</v>
      </c>
      <c r="W23" s="23">
        <v>56</v>
      </c>
      <c r="X23" s="23">
        <f t="shared" si="10"/>
        <v>-34</v>
      </c>
      <c r="Y23" s="23">
        <f t="shared" si="11"/>
        <v>0</v>
      </c>
    </row>
    <row r="24" spans="1:25" x14ac:dyDescent="0.2">
      <c r="A24" s="19">
        <v>2012</v>
      </c>
      <c r="B24" s="22">
        <v>59</v>
      </c>
      <c r="C24" s="22">
        <v>67</v>
      </c>
      <c r="D24" s="22">
        <f t="shared" si="1"/>
        <v>-8</v>
      </c>
      <c r="E24" s="22">
        <f t="shared" si="12"/>
        <v>0</v>
      </c>
      <c r="F24" s="23">
        <v>9</v>
      </c>
      <c r="G24" s="23">
        <v>10</v>
      </c>
      <c r="H24" s="23">
        <f t="shared" si="2"/>
        <v>-1</v>
      </c>
      <c r="I24" s="23">
        <f t="shared" si="3"/>
        <v>0</v>
      </c>
      <c r="J24" s="22">
        <v>2</v>
      </c>
      <c r="K24" s="22">
        <v>4</v>
      </c>
      <c r="L24" s="22">
        <f t="shared" si="4"/>
        <v>-2</v>
      </c>
      <c r="M24" s="22">
        <f t="shared" si="5"/>
        <v>1</v>
      </c>
      <c r="N24" s="23">
        <v>68</v>
      </c>
      <c r="O24" s="23">
        <v>66</v>
      </c>
      <c r="P24" s="23">
        <f t="shared" si="6"/>
        <v>2</v>
      </c>
      <c r="Q24" s="23">
        <f t="shared" si="7"/>
        <v>1</v>
      </c>
      <c r="R24" s="22">
        <v>63</v>
      </c>
      <c r="S24" s="22">
        <v>45</v>
      </c>
      <c r="T24" s="22">
        <f t="shared" si="8"/>
        <v>18</v>
      </c>
      <c r="U24" s="22">
        <f t="shared" si="9"/>
        <v>1</v>
      </c>
      <c r="V24" s="23">
        <v>35</v>
      </c>
      <c r="W24" s="23">
        <v>67</v>
      </c>
      <c r="X24" s="23">
        <f t="shared" si="10"/>
        <v>-32</v>
      </c>
      <c r="Y24" s="23">
        <f t="shared" si="11"/>
        <v>0</v>
      </c>
    </row>
    <row r="25" spans="1:25" x14ac:dyDescent="0.2">
      <c r="A25" s="25" t="s">
        <v>178</v>
      </c>
      <c r="B25" s="22">
        <v>61</v>
      </c>
      <c r="C25" s="22">
        <v>63</v>
      </c>
      <c r="D25" s="22">
        <f t="shared" si="1"/>
        <v>-2</v>
      </c>
      <c r="E25" s="22">
        <f t="shared" si="12"/>
        <v>0</v>
      </c>
      <c r="F25" s="23">
        <v>11</v>
      </c>
      <c r="G25" s="23">
        <v>9</v>
      </c>
      <c r="H25" s="23">
        <f t="shared" si="2"/>
        <v>2</v>
      </c>
      <c r="I25" s="23">
        <f t="shared" si="3"/>
        <v>1</v>
      </c>
      <c r="J25" s="22">
        <v>6</v>
      </c>
      <c r="K25" s="22">
        <v>10</v>
      </c>
      <c r="L25" s="22">
        <f t="shared" si="4"/>
        <v>-4</v>
      </c>
      <c r="M25" s="22">
        <f t="shared" si="5"/>
        <v>1</v>
      </c>
      <c r="N25" s="23">
        <v>66</v>
      </c>
      <c r="O25" s="23">
        <v>64</v>
      </c>
      <c r="P25" s="23">
        <f t="shared" si="6"/>
        <v>2</v>
      </c>
      <c r="Q25" s="23">
        <f t="shared" si="7"/>
        <v>1</v>
      </c>
      <c r="R25" s="22">
        <v>45</v>
      </c>
      <c r="S25" s="22">
        <v>30</v>
      </c>
      <c r="T25" s="22">
        <f t="shared" si="8"/>
        <v>15</v>
      </c>
      <c r="U25" s="22">
        <f t="shared" si="9"/>
        <v>1</v>
      </c>
      <c r="V25" s="23">
        <v>42</v>
      </c>
      <c r="W25" s="23">
        <v>29</v>
      </c>
      <c r="X25" s="23">
        <f t="shared" si="10"/>
        <v>13</v>
      </c>
      <c r="Y25" s="23">
        <f t="shared" si="11"/>
        <v>1</v>
      </c>
    </row>
    <row r="26" spans="1:25" x14ac:dyDescent="0.2">
      <c r="A26" s="25" t="s">
        <v>178</v>
      </c>
      <c r="B26" s="22">
        <v>77</v>
      </c>
      <c r="C26" s="22">
        <v>64</v>
      </c>
      <c r="D26" s="22">
        <f t="shared" si="1"/>
        <v>13</v>
      </c>
      <c r="E26" s="22">
        <f t="shared" si="12"/>
        <v>1</v>
      </c>
      <c r="F26" s="23">
        <v>4</v>
      </c>
      <c r="G26" s="23">
        <v>11</v>
      </c>
      <c r="H26" s="23">
        <f t="shared" si="2"/>
        <v>-7</v>
      </c>
      <c r="I26" s="23">
        <f t="shared" si="3"/>
        <v>0</v>
      </c>
      <c r="J26" s="22">
        <v>1</v>
      </c>
      <c r="K26" s="22">
        <v>5</v>
      </c>
      <c r="L26" s="22">
        <f t="shared" si="4"/>
        <v>-4</v>
      </c>
      <c r="M26" s="22">
        <f t="shared" si="5"/>
        <v>1</v>
      </c>
      <c r="N26" s="23">
        <v>69</v>
      </c>
      <c r="O26" s="23">
        <v>66</v>
      </c>
      <c r="P26" s="23">
        <f t="shared" si="6"/>
        <v>3</v>
      </c>
      <c r="Q26" s="23">
        <f t="shared" si="7"/>
        <v>1</v>
      </c>
      <c r="R26" s="22">
        <v>63</v>
      </c>
      <c r="S26" s="22">
        <v>55</v>
      </c>
      <c r="T26" s="22">
        <f t="shared" si="8"/>
        <v>8</v>
      </c>
      <c r="U26" s="22">
        <f t="shared" si="9"/>
        <v>1</v>
      </c>
      <c r="V26" s="23">
        <v>38</v>
      </c>
      <c r="W26" s="23">
        <v>30</v>
      </c>
      <c r="X26" s="23">
        <f t="shared" si="10"/>
        <v>8</v>
      </c>
      <c r="Y26" s="23">
        <f t="shared" si="11"/>
        <v>1</v>
      </c>
    </row>
    <row r="27" spans="1:25" x14ac:dyDescent="0.2">
      <c r="A27" s="25" t="s">
        <v>179</v>
      </c>
      <c r="B27" s="22">
        <v>53</v>
      </c>
      <c r="C27" s="22">
        <v>65</v>
      </c>
      <c r="D27" s="22">
        <f t="shared" si="1"/>
        <v>-12</v>
      </c>
      <c r="E27" s="22">
        <f t="shared" si="12"/>
        <v>0</v>
      </c>
      <c r="F27" s="23">
        <v>3</v>
      </c>
      <c r="G27" s="23">
        <v>2</v>
      </c>
      <c r="H27" s="23">
        <f t="shared" si="2"/>
        <v>1</v>
      </c>
      <c r="I27" s="23">
        <f t="shared" si="3"/>
        <v>1</v>
      </c>
      <c r="J27" s="22">
        <v>0</v>
      </c>
      <c r="K27" s="22">
        <v>1</v>
      </c>
      <c r="L27" s="22">
        <f t="shared" si="4"/>
        <v>-1</v>
      </c>
      <c r="M27" s="22">
        <f t="shared" si="5"/>
        <v>1</v>
      </c>
      <c r="N27" s="23">
        <v>71</v>
      </c>
      <c r="O27" s="23">
        <v>61</v>
      </c>
      <c r="P27" s="23">
        <f t="shared" si="6"/>
        <v>10</v>
      </c>
      <c r="Q27" s="23">
        <f t="shared" si="7"/>
        <v>1</v>
      </c>
      <c r="R27" s="22">
        <v>67</v>
      </c>
      <c r="S27" s="22">
        <v>50</v>
      </c>
      <c r="T27" s="22">
        <f t="shared" si="8"/>
        <v>17</v>
      </c>
      <c r="U27" s="22">
        <f t="shared" si="9"/>
        <v>1</v>
      </c>
      <c r="V27" s="23">
        <v>42</v>
      </c>
      <c r="W27" s="23">
        <v>50</v>
      </c>
      <c r="X27" s="23">
        <f t="shared" si="10"/>
        <v>-8</v>
      </c>
      <c r="Y27" s="23">
        <f t="shared" si="11"/>
        <v>0</v>
      </c>
    </row>
    <row r="28" spans="1:25" x14ac:dyDescent="0.2">
      <c r="A28" s="25" t="s">
        <v>179</v>
      </c>
      <c r="B28" s="22">
        <v>44</v>
      </c>
      <c r="C28" s="22">
        <v>60</v>
      </c>
      <c r="D28" s="22">
        <f t="shared" si="1"/>
        <v>-16</v>
      </c>
      <c r="E28" s="22">
        <f t="shared" si="12"/>
        <v>0</v>
      </c>
      <c r="F28" s="23">
        <v>4</v>
      </c>
      <c r="G28" s="23">
        <v>1</v>
      </c>
      <c r="H28" s="23">
        <f t="shared" si="2"/>
        <v>3</v>
      </c>
      <c r="I28" s="23">
        <f t="shared" si="3"/>
        <v>1</v>
      </c>
      <c r="J28" s="22">
        <v>3</v>
      </c>
      <c r="K28" s="22">
        <v>2</v>
      </c>
      <c r="L28" s="22">
        <f t="shared" si="4"/>
        <v>1</v>
      </c>
      <c r="M28" s="22">
        <f t="shared" si="5"/>
        <v>0</v>
      </c>
      <c r="N28" s="23">
        <v>78</v>
      </c>
      <c r="O28" s="23">
        <v>54</v>
      </c>
      <c r="P28" s="23">
        <f t="shared" si="6"/>
        <v>24</v>
      </c>
      <c r="Q28" s="23">
        <f t="shared" si="7"/>
        <v>1</v>
      </c>
      <c r="R28" s="22">
        <v>58</v>
      </c>
      <c r="S28" s="22">
        <v>37</v>
      </c>
      <c r="T28" s="22">
        <f t="shared" si="8"/>
        <v>21</v>
      </c>
      <c r="U28" s="22">
        <f t="shared" si="9"/>
        <v>1</v>
      </c>
      <c r="V28" s="23">
        <v>39</v>
      </c>
      <c r="W28" s="23">
        <v>20</v>
      </c>
      <c r="X28" s="23">
        <f t="shared" si="10"/>
        <v>19</v>
      </c>
      <c r="Y28" s="23">
        <f t="shared" si="11"/>
        <v>1</v>
      </c>
    </row>
    <row r="29" spans="1:25" x14ac:dyDescent="0.2">
      <c r="A29" s="25" t="s">
        <v>179</v>
      </c>
      <c r="B29" s="22">
        <v>57</v>
      </c>
      <c r="C29" s="22">
        <v>67</v>
      </c>
      <c r="D29" s="22">
        <f t="shared" si="1"/>
        <v>-10</v>
      </c>
      <c r="E29" s="22">
        <f t="shared" si="12"/>
        <v>0</v>
      </c>
      <c r="F29" s="23">
        <v>5</v>
      </c>
      <c r="G29" s="23">
        <v>5</v>
      </c>
      <c r="H29" s="23">
        <f t="shared" si="2"/>
        <v>0</v>
      </c>
      <c r="I29" s="23">
        <f t="shared" si="3"/>
        <v>1</v>
      </c>
      <c r="J29" s="22">
        <v>1</v>
      </c>
      <c r="K29" s="22">
        <v>3</v>
      </c>
      <c r="L29" s="22">
        <f t="shared" si="4"/>
        <v>-2</v>
      </c>
      <c r="M29" s="22">
        <f t="shared" si="5"/>
        <v>1</v>
      </c>
      <c r="N29" s="23">
        <v>89</v>
      </c>
      <c r="O29" s="23">
        <v>57</v>
      </c>
      <c r="P29" s="23">
        <f t="shared" si="6"/>
        <v>32</v>
      </c>
      <c r="Q29" s="23">
        <f t="shared" si="7"/>
        <v>1</v>
      </c>
      <c r="R29" s="22">
        <v>58</v>
      </c>
      <c r="S29" s="22">
        <v>55</v>
      </c>
      <c r="T29" s="22">
        <f t="shared" si="8"/>
        <v>3</v>
      </c>
      <c r="U29" s="22">
        <f t="shared" si="9"/>
        <v>1</v>
      </c>
      <c r="V29" s="23">
        <v>63</v>
      </c>
      <c r="W29" s="23">
        <v>17</v>
      </c>
      <c r="X29" s="23">
        <f t="shared" si="10"/>
        <v>46</v>
      </c>
      <c r="Y29" s="23">
        <f t="shared" si="11"/>
        <v>1</v>
      </c>
    </row>
    <row r="30" spans="1:25" x14ac:dyDescent="0.2">
      <c r="A30" s="25" t="s">
        <v>179</v>
      </c>
      <c r="B30" s="22">
        <v>71</v>
      </c>
      <c r="C30" s="22">
        <v>62</v>
      </c>
      <c r="D30" s="22">
        <f t="shared" si="1"/>
        <v>9</v>
      </c>
      <c r="E30" s="22">
        <f t="shared" si="12"/>
        <v>1</v>
      </c>
      <c r="F30" s="23">
        <v>6</v>
      </c>
      <c r="G30" s="23">
        <v>17</v>
      </c>
      <c r="H30" s="23">
        <f t="shared" si="2"/>
        <v>-11</v>
      </c>
      <c r="I30" s="23">
        <f t="shared" si="3"/>
        <v>0</v>
      </c>
      <c r="J30" s="22">
        <v>2</v>
      </c>
      <c r="K30" s="22">
        <v>5</v>
      </c>
      <c r="L30" s="22">
        <f t="shared" si="4"/>
        <v>-3</v>
      </c>
      <c r="M30" s="22">
        <f t="shared" si="5"/>
        <v>1</v>
      </c>
      <c r="N30" s="23">
        <v>76</v>
      </c>
      <c r="O30" s="23">
        <v>74</v>
      </c>
      <c r="P30" s="23">
        <f t="shared" si="6"/>
        <v>2</v>
      </c>
      <c r="Q30" s="23">
        <f t="shared" si="7"/>
        <v>1</v>
      </c>
      <c r="R30" s="22">
        <v>49</v>
      </c>
      <c r="S30" s="22">
        <v>45</v>
      </c>
      <c r="T30" s="22">
        <f t="shared" si="8"/>
        <v>4</v>
      </c>
      <c r="U30" s="22">
        <f t="shared" si="9"/>
        <v>1</v>
      </c>
      <c r="V30" s="23">
        <v>38</v>
      </c>
      <c r="W30" s="23">
        <v>15</v>
      </c>
      <c r="X30" s="23">
        <f t="shared" si="10"/>
        <v>23</v>
      </c>
      <c r="Y30" s="23">
        <f t="shared" si="11"/>
        <v>1</v>
      </c>
    </row>
    <row r="31" spans="1:25" x14ac:dyDescent="0.2">
      <c r="A31" s="19" t="s">
        <v>204</v>
      </c>
      <c r="B31" s="22">
        <v>67</v>
      </c>
      <c r="C31" s="22">
        <v>65</v>
      </c>
      <c r="D31" s="22">
        <f t="shared" si="1"/>
        <v>2</v>
      </c>
      <c r="E31" s="22">
        <f t="shared" si="12"/>
        <v>1</v>
      </c>
      <c r="F31" s="23">
        <v>9</v>
      </c>
      <c r="G31" s="23">
        <v>6</v>
      </c>
      <c r="H31" s="23">
        <f t="shared" si="2"/>
        <v>3</v>
      </c>
      <c r="I31" s="23">
        <f t="shared" si="3"/>
        <v>1</v>
      </c>
      <c r="J31" s="22">
        <v>3</v>
      </c>
      <c r="K31" s="22">
        <v>0</v>
      </c>
      <c r="L31" s="22">
        <f t="shared" si="4"/>
        <v>3</v>
      </c>
      <c r="M31" s="22">
        <f t="shared" si="5"/>
        <v>0</v>
      </c>
      <c r="N31" s="23">
        <v>76</v>
      </c>
      <c r="O31" s="23">
        <v>63</v>
      </c>
      <c r="P31" s="23">
        <f t="shared" si="6"/>
        <v>13</v>
      </c>
      <c r="Q31" s="23">
        <f t="shared" si="7"/>
        <v>1</v>
      </c>
      <c r="R31" s="22">
        <v>50</v>
      </c>
      <c r="S31" s="22">
        <v>53</v>
      </c>
      <c r="T31" s="22">
        <f t="shared" si="8"/>
        <v>-3</v>
      </c>
      <c r="U31" s="22">
        <f t="shared" si="9"/>
        <v>0</v>
      </c>
      <c r="V31" s="23">
        <v>27</v>
      </c>
      <c r="W31" s="23">
        <v>20</v>
      </c>
      <c r="X31" s="23">
        <f t="shared" si="10"/>
        <v>7</v>
      </c>
      <c r="Y31" s="23">
        <f t="shared" si="11"/>
        <v>1</v>
      </c>
    </row>
    <row r="32" spans="1:25" x14ac:dyDescent="0.2">
      <c r="A32" s="25" t="s">
        <v>178</v>
      </c>
      <c r="B32" s="22">
        <v>70</v>
      </c>
      <c r="C32" s="22">
        <v>66</v>
      </c>
      <c r="D32" s="22">
        <f t="shared" si="1"/>
        <v>4</v>
      </c>
      <c r="E32" s="22">
        <f t="shared" si="12"/>
        <v>1</v>
      </c>
      <c r="F32" s="23">
        <v>8</v>
      </c>
      <c r="G32" s="23">
        <v>12</v>
      </c>
      <c r="H32" s="23">
        <f t="shared" si="2"/>
        <v>-4</v>
      </c>
      <c r="I32" s="23">
        <f t="shared" si="3"/>
        <v>0</v>
      </c>
      <c r="J32" s="22">
        <v>2</v>
      </c>
      <c r="K32" s="22">
        <v>1</v>
      </c>
      <c r="L32" s="22">
        <f t="shared" si="4"/>
        <v>1</v>
      </c>
      <c r="M32" s="22">
        <f t="shared" si="5"/>
        <v>0</v>
      </c>
      <c r="N32" s="23">
        <v>68</v>
      </c>
      <c r="O32" s="23">
        <v>64</v>
      </c>
      <c r="P32" s="23">
        <f t="shared" si="6"/>
        <v>4</v>
      </c>
      <c r="Q32" s="23">
        <f t="shared" si="7"/>
        <v>1</v>
      </c>
      <c r="R32" s="22">
        <v>67</v>
      </c>
      <c r="S32" s="22">
        <v>55</v>
      </c>
      <c r="T32" s="22">
        <f t="shared" si="8"/>
        <v>12</v>
      </c>
      <c r="U32" s="22">
        <f t="shared" si="9"/>
        <v>1</v>
      </c>
      <c r="V32" s="23">
        <v>32</v>
      </c>
      <c r="W32" s="23">
        <v>75</v>
      </c>
      <c r="X32" s="23">
        <f t="shared" si="10"/>
        <v>-43</v>
      </c>
      <c r="Y32" s="23">
        <f t="shared" si="11"/>
        <v>0</v>
      </c>
    </row>
    <row r="33" spans="1:25" x14ac:dyDescent="0.2">
      <c r="A33" s="25" t="s">
        <v>178</v>
      </c>
      <c r="B33" s="22">
        <v>52</v>
      </c>
      <c r="C33" s="22">
        <v>69</v>
      </c>
      <c r="D33" s="22">
        <f t="shared" si="1"/>
        <v>-17</v>
      </c>
      <c r="E33" s="22">
        <f t="shared" si="12"/>
        <v>0</v>
      </c>
      <c r="F33" s="23">
        <v>15</v>
      </c>
      <c r="G33" s="23">
        <v>8</v>
      </c>
      <c r="H33" s="23">
        <f t="shared" si="2"/>
        <v>7</v>
      </c>
      <c r="I33" s="23">
        <f t="shared" si="3"/>
        <v>1</v>
      </c>
      <c r="J33" s="22">
        <v>6</v>
      </c>
      <c r="K33" s="22">
        <v>2</v>
      </c>
      <c r="L33" s="22">
        <f t="shared" si="4"/>
        <v>4</v>
      </c>
      <c r="M33" s="22">
        <f t="shared" si="5"/>
        <v>0</v>
      </c>
      <c r="N33" s="23">
        <v>76</v>
      </c>
      <c r="O33" s="23">
        <v>72</v>
      </c>
      <c r="P33" s="23">
        <f t="shared" si="6"/>
        <v>4</v>
      </c>
      <c r="Q33" s="23">
        <f t="shared" si="7"/>
        <v>1</v>
      </c>
      <c r="R33" s="22">
        <v>59</v>
      </c>
      <c r="S33" s="22">
        <v>56</v>
      </c>
      <c r="T33" s="22">
        <f t="shared" si="8"/>
        <v>3</v>
      </c>
      <c r="U33" s="22">
        <f t="shared" si="9"/>
        <v>1</v>
      </c>
      <c r="V33" s="23">
        <v>20</v>
      </c>
      <c r="W33" s="23">
        <v>6</v>
      </c>
      <c r="X33" s="23">
        <f t="shared" si="10"/>
        <v>14</v>
      </c>
      <c r="Y33" s="23">
        <f t="shared" si="11"/>
        <v>1</v>
      </c>
    </row>
    <row r="34" spans="1:25" x14ac:dyDescent="0.2">
      <c r="A34" s="25" t="s">
        <v>179</v>
      </c>
      <c r="B34" s="22">
        <v>63</v>
      </c>
      <c r="C34" s="22">
        <v>60</v>
      </c>
      <c r="D34" s="22">
        <f t="shared" si="1"/>
        <v>3</v>
      </c>
      <c r="E34" s="22">
        <f t="shared" si="12"/>
        <v>1</v>
      </c>
      <c r="F34" s="23">
        <v>3</v>
      </c>
      <c r="G34" s="23">
        <v>3</v>
      </c>
      <c r="H34" s="23">
        <f t="shared" si="2"/>
        <v>0</v>
      </c>
      <c r="I34" s="23">
        <f t="shared" si="3"/>
        <v>1</v>
      </c>
      <c r="J34" s="22">
        <v>0</v>
      </c>
      <c r="K34" s="22">
        <v>2</v>
      </c>
      <c r="L34" s="22">
        <f t="shared" si="4"/>
        <v>-2</v>
      </c>
      <c r="M34" s="22">
        <f t="shared" si="5"/>
        <v>1</v>
      </c>
      <c r="N34" s="23">
        <v>76</v>
      </c>
      <c r="O34" s="23">
        <v>59</v>
      </c>
      <c r="P34" s="23">
        <f t="shared" si="6"/>
        <v>17</v>
      </c>
      <c r="Q34" s="23">
        <f t="shared" si="7"/>
        <v>1</v>
      </c>
      <c r="R34" s="22">
        <v>60</v>
      </c>
      <c r="S34" s="22">
        <v>38</v>
      </c>
      <c r="T34" s="22">
        <f t="shared" si="8"/>
        <v>22</v>
      </c>
      <c r="U34" s="22">
        <f t="shared" si="9"/>
        <v>1</v>
      </c>
      <c r="V34" s="23">
        <v>39</v>
      </c>
      <c r="W34" s="23">
        <v>40</v>
      </c>
      <c r="X34" s="23">
        <f t="shared" si="10"/>
        <v>-1</v>
      </c>
      <c r="Y34" s="23">
        <f t="shared" si="11"/>
        <v>0</v>
      </c>
    </row>
    <row r="35" spans="1:25" x14ac:dyDescent="0.2">
      <c r="A35" s="25" t="s">
        <v>179</v>
      </c>
      <c r="B35" s="22">
        <v>58</v>
      </c>
      <c r="C35" s="22">
        <v>56</v>
      </c>
      <c r="D35" s="22">
        <f t="shared" si="1"/>
        <v>2</v>
      </c>
      <c r="E35" s="22">
        <f t="shared" si="12"/>
        <v>1</v>
      </c>
      <c r="F35" s="23">
        <v>9</v>
      </c>
      <c r="G35" s="23">
        <v>2</v>
      </c>
      <c r="H35" s="23">
        <f t="shared" si="2"/>
        <v>7</v>
      </c>
      <c r="I35" s="23">
        <f t="shared" si="3"/>
        <v>1</v>
      </c>
      <c r="J35" s="22">
        <v>2</v>
      </c>
      <c r="K35" s="22">
        <v>11</v>
      </c>
      <c r="L35" s="22">
        <f t="shared" si="4"/>
        <v>-9</v>
      </c>
      <c r="M35" s="22">
        <f t="shared" si="5"/>
        <v>1</v>
      </c>
      <c r="N35" s="23">
        <v>78</v>
      </c>
      <c r="O35" s="23">
        <v>68</v>
      </c>
      <c r="P35" s="23">
        <f t="shared" si="6"/>
        <v>10</v>
      </c>
      <c r="Q35" s="23">
        <f t="shared" si="7"/>
        <v>1</v>
      </c>
      <c r="R35" s="22">
        <v>42</v>
      </c>
      <c r="S35" s="22">
        <v>35</v>
      </c>
      <c r="T35" s="22">
        <f t="shared" si="8"/>
        <v>7</v>
      </c>
      <c r="U35" s="22">
        <f t="shared" si="9"/>
        <v>1</v>
      </c>
      <c r="V35" s="23">
        <v>50</v>
      </c>
      <c r="W35" s="23">
        <v>45</v>
      </c>
      <c r="X35" s="23">
        <f t="shared" si="10"/>
        <v>5</v>
      </c>
      <c r="Y35" s="23">
        <f t="shared" si="11"/>
        <v>1</v>
      </c>
    </row>
    <row r="36" spans="1:25" x14ac:dyDescent="0.2">
      <c r="A36" s="25" t="s">
        <v>179</v>
      </c>
      <c r="B36" s="22">
        <v>61</v>
      </c>
      <c r="C36" s="22">
        <v>66</v>
      </c>
      <c r="D36" s="22">
        <f t="shared" si="1"/>
        <v>-5</v>
      </c>
      <c r="E36" s="22">
        <f t="shared" si="12"/>
        <v>0</v>
      </c>
      <c r="F36" s="23">
        <v>10</v>
      </c>
      <c r="G36" s="23">
        <v>5</v>
      </c>
      <c r="H36" s="23">
        <f t="shared" si="2"/>
        <v>5</v>
      </c>
      <c r="I36" s="23">
        <f t="shared" si="3"/>
        <v>1</v>
      </c>
      <c r="J36" s="22">
        <v>1</v>
      </c>
      <c r="K36" s="22">
        <v>6</v>
      </c>
      <c r="L36" s="22">
        <f t="shared" si="4"/>
        <v>-5</v>
      </c>
      <c r="M36" s="22">
        <f t="shared" si="5"/>
        <v>1</v>
      </c>
      <c r="N36" s="23">
        <v>83</v>
      </c>
      <c r="O36" s="23">
        <v>67</v>
      </c>
      <c r="P36" s="23">
        <f t="shared" si="6"/>
        <v>16</v>
      </c>
      <c r="Q36" s="23">
        <f t="shared" si="7"/>
        <v>1</v>
      </c>
      <c r="R36" s="22">
        <v>50</v>
      </c>
      <c r="S36" s="22">
        <v>43</v>
      </c>
      <c r="T36" s="22">
        <f t="shared" si="8"/>
        <v>7</v>
      </c>
      <c r="U36" s="22">
        <f t="shared" si="9"/>
        <v>1</v>
      </c>
      <c r="V36" s="23">
        <v>32</v>
      </c>
      <c r="W36" s="23">
        <v>57</v>
      </c>
      <c r="X36" s="23">
        <f t="shared" si="10"/>
        <v>-25</v>
      </c>
      <c r="Y36" s="23">
        <f t="shared" si="11"/>
        <v>0</v>
      </c>
    </row>
    <row r="37" spans="1:25" x14ac:dyDescent="0.2">
      <c r="A37" s="25" t="s">
        <v>179</v>
      </c>
      <c r="B37" s="22">
        <v>54</v>
      </c>
      <c r="C37" s="22">
        <v>63</v>
      </c>
      <c r="D37" s="22">
        <f t="shared" si="1"/>
        <v>-9</v>
      </c>
      <c r="E37" s="22">
        <f t="shared" si="12"/>
        <v>0</v>
      </c>
      <c r="F37" s="23">
        <v>4</v>
      </c>
      <c r="G37" s="23">
        <v>7</v>
      </c>
      <c r="H37" s="23">
        <f t="shared" si="2"/>
        <v>-3</v>
      </c>
      <c r="I37" s="23">
        <f t="shared" si="3"/>
        <v>0</v>
      </c>
      <c r="J37" s="22"/>
      <c r="K37" s="22"/>
      <c r="L37" s="22">
        <f t="shared" si="4"/>
        <v>0</v>
      </c>
      <c r="M37" s="22">
        <f t="shared" si="5"/>
        <v>1</v>
      </c>
      <c r="N37" s="23">
        <v>88</v>
      </c>
      <c r="O37" s="23">
        <v>68</v>
      </c>
      <c r="P37" s="23">
        <f t="shared" si="6"/>
        <v>20</v>
      </c>
      <c r="Q37" s="23">
        <f t="shared" si="7"/>
        <v>1</v>
      </c>
      <c r="R37" s="22">
        <v>62</v>
      </c>
      <c r="S37" s="22">
        <v>56</v>
      </c>
      <c r="T37" s="22">
        <f t="shared" si="8"/>
        <v>6</v>
      </c>
      <c r="U37" s="22">
        <f t="shared" si="9"/>
        <v>1</v>
      </c>
      <c r="V37" s="23">
        <v>38</v>
      </c>
      <c r="W37" s="23">
        <v>0</v>
      </c>
      <c r="X37" s="23">
        <f t="shared" si="10"/>
        <v>38</v>
      </c>
      <c r="Y37" s="23">
        <f t="shared" si="11"/>
        <v>1</v>
      </c>
    </row>
    <row r="38" spans="1:25" x14ac:dyDescent="0.2">
      <c r="A38" s="19">
        <v>2014</v>
      </c>
      <c r="B38" s="22">
        <v>70</v>
      </c>
      <c r="C38" s="22">
        <v>65</v>
      </c>
      <c r="D38" s="22">
        <f t="shared" si="1"/>
        <v>5</v>
      </c>
      <c r="E38" s="22">
        <f t="shared" si="12"/>
        <v>1</v>
      </c>
      <c r="F38" s="23">
        <v>3</v>
      </c>
      <c r="G38" s="23">
        <v>11</v>
      </c>
      <c r="H38" s="23">
        <f t="shared" si="2"/>
        <v>-8</v>
      </c>
      <c r="I38" s="23">
        <f t="shared" si="3"/>
        <v>0</v>
      </c>
      <c r="J38" s="22">
        <v>4</v>
      </c>
      <c r="K38" s="22">
        <v>3</v>
      </c>
      <c r="L38" s="22">
        <f t="shared" si="4"/>
        <v>1</v>
      </c>
      <c r="M38" s="22">
        <f t="shared" si="5"/>
        <v>0</v>
      </c>
      <c r="N38" s="23">
        <v>73</v>
      </c>
      <c r="O38" s="23">
        <v>72</v>
      </c>
      <c r="P38" s="23">
        <f t="shared" si="6"/>
        <v>1</v>
      </c>
      <c r="Q38" s="23">
        <f t="shared" si="7"/>
        <v>1</v>
      </c>
      <c r="R38" s="22">
        <v>50</v>
      </c>
      <c r="S38" s="22">
        <v>36</v>
      </c>
      <c r="T38" s="22">
        <f t="shared" si="8"/>
        <v>14</v>
      </c>
      <c r="U38" s="22">
        <f t="shared" si="9"/>
        <v>1</v>
      </c>
      <c r="V38" s="23">
        <v>60</v>
      </c>
      <c r="W38" s="23">
        <v>33</v>
      </c>
      <c r="X38" s="23">
        <f t="shared" si="10"/>
        <v>27</v>
      </c>
      <c r="Y38" s="23">
        <f t="shared" si="11"/>
        <v>1</v>
      </c>
    </row>
    <row r="39" spans="1:25" x14ac:dyDescent="0.2">
      <c r="A39" s="25" t="s">
        <v>178</v>
      </c>
      <c r="B39" s="22">
        <v>76</v>
      </c>
      <c r="C39" s="22">
        <v>52</v>
      </c>
      <c r="D39" s="22">
        <f t="shared" si="1"/>
        <v>24</v>
      </c>
      <c r="E39" s="22">
        <f t="shared" si="12"/>
        <v>1</v>
      </c>
      <c r="F39" s="23">
        <v>2</v>
      </c>
      <c r="G39" s="23">
        <v>2</v>
      </c>
      <c r="H39" s="23">
        <f t="shared" si="2"/>
        <v>0</v>
      </c>
      <c r="I39" s="23">
        <f t="shared" si="3"/>
        <v>1</v>
      </c>
      <c r="J39" s="22">
        <v>2</v>
      </c>
      <c r="K39" s="22">
        <v>3</v>
      </c>
      <c r="L39" s="22">
        <f t="shared" si="4"/>
        <v>-1</v>
      </c>
      <c r="M39" s="22">
        <f t="shared" si="5"/>
        <v>1</v>
      </c>
      <c r="N39" s="23">
        <v>91</v>
      </c>
      <c r="O39" s="23">
        <v>63</v>
      </c>
      <c r="P39" s="23">
        <f t="shared" si="6"/>
        <v>28</v>
      </c>
      <c r="Q39" s="23">
        <f t="shared" si="7"/>
        <v>1</v>
      </c>
      <c r="R39" s="22">
        <v>57</v>
      </c>
      <c r="S39" s="22">
        <v>34</v>
      </c>
      <c r="T39" s="22">
        <f t="shared" si="8"/>
        <v>23</v>
      </c>
      <c r="U39" s="22">
        <f t="shared" si="9"/>
        <v>1</v>
      </c>
      <c r="V39" s="23">
        <v>100</v>
      </c>
      <c r="W39" s="23">
        <v>0</v>
      </c>
      <c r="X39" s="23">
        <f t="shared" si="10"/>
        <v>100</v>
      </c>
      <c r="Y39" s="23">
        <f t="shared" si="11"/>
        <v>1</v>
      </c>
    </row>
    <row r="40" spans="1:25" x14ac:dyDescent="0.2">
      <c r="A40" s="25" t="s">
        <v>178</v>
      </c>
      <c r="B40" s="22">
        <v>67</v>
      </c>
      <c r="C40" s="22">
        <v>57</v>
      </c>
      <c r="D40" s="22">
        <f t="shared" si="1"/>
        <v>10</v>
      </c>
      <c r="E40" s="22">
        <f t="shared" si="12"/>
        <v>1</v>
      </c>
      <c r="F40" s="23">
        <v>9</v>
      </c>
      <c r="G40" s="23">
        <v>13</v>
      </c>
      <c r="H40" s="23">
        <f t="shared" si="2"/>
        <v>-4</v>
      </c>
      <c r="I40" s="23">
        <f t="shared" si="3"/>
        <v>0</v>
      </c>
      <c r="J40" s="22">
        <v>1</v>
      </c>
      <c r="K40" s="22">
        <v>5</v>
      </c>
      <c r="L40" s="22">
        <f t="shared" si="4"/>
        <v>-4</v>
      </c>
      <c r="M40" s="22">
        <f t="shared" si="5"/>
        <v>1</v>
      </c>
      <c r="N40" s="23">
        <v>80</v>
      </c>
      <c r="O40" s="23">
        <v>70</v>
      </c>
      <c r="P40" s="23">
        <f t="shared" si="6"/>
        <v>10</v>
      </c>
      <c r="Q40" s="23">
        <f t="shared" si="7"/>
        <v>1</v>
      </c>
      <c r="R40" s="22">
        <v>43</v>
      </c>
      <c r="S40" s="22">
        <v>53</v>
      </c>
      <c r="T40" s="22">
        <f t="shared" si="8"/>
        <v>-10</v>
      </c>
      <c r="U40" s="22">
        <f t="shared" si="9"/>
        <v>0</v>
      </c>
      <c r="V40" s="23">
        <v>50</v>
      </c>
      <c r="W40" s="23">
        <v>29</v>
      </c>
      <c r="X40" s="23">
        <f t="shared" si="10"/>
        <v>21</v>
      </c>
      <c r="Y40" s="23">
        <f t="shared" si="11"/>
        <v>1</v>
      </c>
    </row>
    <row r="41" spans="1:25" x14ac:dyDescent="0.2">
      <c r="A41" s="25" t="s">
        <v>179</v>
      </c>
      <c r="B41" s="22">
        <v>62</v>
      </c>
      <c r="C41" s="22">
        <v>63</v>
      </c>
      <c r="D41" s="22">
        <f t="shared" si="1"/>
        <v>-1</v>
      </c>
      <c r="E41" s="22">
        <f t="shared" si="12"/>
        <v>0</v>
      </c>
      <c r="F41" s="23">
        <v>1</v>
      </c>
      <c r="G41" s="23">
        <v>2</v>
      </c>
      <c r="H41" s="23">
        <f t="shared" si="2"/>
        <v>-1</v>
      </c>
      <c r="I41" s="23">
        <f t="shared" si="3"/>
        <v>0</v>
      </c>
      <c r="J41" s="22">
        <v>1</v>
      </c>
      <c r="K41" s="22">
        <v>1</v>
      </c>
      <c r="L41" s="22">
        <f t="shared" si="4"/>
        <v>0</v>
      </c>
      <c r="M41" s="22">
        <f t="shared" si="5"/>
        <v>1</v>
      </c>
      <c r="N41" s="23">
        <v>68</v>
      </c>
      <c r="O41" s="23">
        <v>53</v>
      </c>
      <c r="P41" s="23">
        <f t="shared" si="6"/>
        <v>15</v>
      </c>
      <c r="Q41" s="23">
        <f t="shared" si="7"/>
        <v>1</v>
      </c>
      <c r="R41" s="22">
        <v>56</v>
      </c>
      <c r="S41" s="22">
        <v>43</v>
      </c>
      <c r="T41" s="22">
        <f t="shared" si="8"/>
        <v>13</v>
      </c>
      <c r="U41" s="22">
        <f t="shared" si="9"/>
        <v>1</v>
      </c>
      <c r="V41" s="23">
        <v>64</v>
      </c>
      <c r="W41" s="23">
        <v>21</v>
      </c>
      <c r="X41" s="23">
        <f t="shared" si="10"/>
        <v>43</v>
      </c>
      <c r="Y41" s="23">
        <f t="shared" si="11"/>
        <v>1</v>
      </c>
    </row>
    <row r="42" spans="1:25" x14ac:dyDescent="0.2">
      <c r="A42" s="25" t="s">
        <v>179</v>
      </c>
      <c r="B42" s="22">
        <v>62</v>
      </c>
      <c r="C42" s="22">
        <v>76</v>
      </c>
      <c r="D42" s="22">
        <f t="shared" si="1"/>
        <v>-14</v>
      </c>
      <c r="E42" s="22">
        <f t="shared" si="12"/>
        <v>0</v>
      </c>
      <c r="F42" s="23">
        <v>1</v>
      </c>
      <c r="G42" s="23">
        <v>4</v>
      </c>
      <c r="H42" s="23">
        <f t="shared" si="2"/>
        <v>-3</v>
      </c>
      <c r="I42" s="23">
        <f t="shared" si="3"/>
        <v>0</v>
      </c>
      <c r="J42" s="22">
        <v>2</v>
      </c>
      <c r="K42" s="22">
        <v>5</v>
      </c>
      <c r="L42" s="22">
        <f t="shared" si="4"/>
        <v>-3</v>
      </c>
      <c r="M42" s="22">
        <f t="shared" si="5"/>
        <v>1</v>
      </c>
      <c r="N42" s="23">
        <v>65</v>
      </c>
      <c r="O42" s="23">
        <v>60</v>
      </c>
      <c r="P42" s="23">
        <f t="shared" si="6"/>
        <v>5</v>
      </c>
      <c r="Q42" s="23">
        <f t="shared" si="7"/>
        <v>1</v>
      </c>
      <c r="R42" s="22">
        <v>61</v>
      </c>
      <c r="S42" s="22">
        <v>41</v>
      </c>
      <c r="T42" s="22">
        <f t="shared" si="8"/>
        <v>20</v>
      </c>
      <c r="U42" s="22">
        <f t="shared" si="9"/>
        <v>1</v>
      </c>
      <c r="V42" s="23">
        <v>39</v>
      </c>
      <c r="W42" s="23">
        <v>31</v>
      </c>
      <c r="X42" s="23">
        <f t="shared" si="10"/>
        <v>8</v>
      </c>
      <c r="Y42" s="23">
        <f t="shared" si="11"/>
        <v>1</v>
      </c>
    </row>
    <row r="43" spans="1:25" x14ac:dyDescent="0.2">
      <c r="A43" s="25" t="s">
        <v>179</v>
      </c>
      <c r="B43" s="22">
        <v>59</v>
      </c>
      <c r="C43" s="22">
        <v>50</v>
      </c>
      <c r="D43" s="22">
        <f t="shared" si="1"/>
        <v>9</v>
      </c>
      <c r="E43" s="22">
        <f t="shared" si="12"/>
        <v>1</v>
      </c>
      <c r="F43" s="23">
        <v>10</v>
      </c>
      <c r="G43" s="23">
        <v>3</v>
      </c>
      <c r="H43" s="23">
        <f t="shared" si="2"/>
        <v>7</v>
      </c>
      <c r="I43" s="23">
        <f t="shared" si="3"/>
        <v>1</v>
      </c>
      <c r="J43" s="22">
        <v>1</v>
      </c>
      <c r="K43" s="22">
        <v>2</v>
      </c>
      <c r="L43" s="22">
        <f t="shared" si="4"/>
        <v>-1</v>
      </c>
      <c r="M43" s="22">
        <f t="shared" si="5"/>
        <v>1</v>
      </c>
      <c r="N43" s="23">
        <v>81</v>
      </c>
      <c r="O43" s="23">
        <v>69</v>
      </c>
      <c r="P43" s="23">
        <f t="shared" si="6"/>
        <v>12</v>
      </c>
      <c r="Q43" s="23">
        <f t="shared" si="7"/>
        <v>1</v>
      </c>
      <c r="R43" s="22">
        <v>59</v>
      </c>
      <c r="S43" s="22">
        <v>44</v>
      </c>
      <c r="T43" s="22">
        <f t="shared" si="8"/>
        <v>15</v>
      </c>
      <c r="U43" s="22">
        <f t="shared" si="9"/>
        <v>1</v>
      </c>
      <c r="V43" s="23">
        <v>63</v>
      </c>
      <c r="W43" s="23">
        <v>33</v>
      </c>
      <c r="X43" s="23">
        <f t="shared" si="10"/>
        <v>30</v>
      </c>
      <c r="Y43" s="23">
        <f t="shared" si="11"/>
        <v>1</v>
      </c>
    </row>
    <row r="44" spans="1:25" x14ac:dyDescent="0.2">
      <c r="A44" s="25" t="s">
        <v>179</v>
      </c>
      <c r="B44" s="22">
        <v>68</v>
      </c>
      <c r="C44" s="22">
        <v>70</v>
      </c>
      <c r="D44" s="22">
        <f t="shared" si="1"/>
        <v>-2</v>
      </c>
      <c r="E44" s="22">
        <f t="shared" si="12"/>
        <v>0</v>
      </c>
      <c r="F44" s="23">
        <v>4</v>
      </c>
      <c r="G44" s="23">
        <v>21</v>
      </c>
      <c r="H44" s="23">
        <f t="shared" si="2"/>
        <v>-17</v>
      </c>
      <c r="I44" s="23">
        <f t="shared" si="3"/>
        <v>0</v>
      </c>
      <c r="J44" s="22">
        <v>1</v>
      </c>
      <c r="K44" s="22">
        <v>4</v>
      </c>
      <c r="L44" s="22">
        <f t="shared" si="4"/>
        <v>-3</v>
      </c>
      <c r="M44" s="22">
        <f t="shared" si="5"/>
        <v>1</v>
      </c>
      <c r="N44" s="23">
        <v>75</v>
      </c>
      <c r="O44" s="23">
        <v>79</v>
      </c>
      <c r="P44" s="23">
        <f t="shared" si="6"/>
        <v>-4</v>
      </c>
      <c r="Q44" s="23">
        <f t="shared" si="7"/>
        <v>0</v>
      </c>
      <c r="R44" s="22">
        <v>74</v>
      </c>
      <c r="S44" s="22">
        <v>29</v>
      </c>
      <c r="T44" s="22">
        <f t="shared" si="8"/>
        <v>45</v>
      </c>
      <c r="U44" s="22">
        <f t="shared" si="9"/>
        <v>1</v>
      </c>
      <c r="V44" s="23">
        <v>33</v>
      </c>
      <c r="W44" s="23">
        <v>50</v>
      </c>
      <c r="X44" s="23">
        <f t="shared" si="10"/>
        <v>-17</v>
      </c>
      <c r="Y44" s="23">
        <f t="shared" si="11"/>
        <v>0</v>
      </c>
    </row>
    <row r="45" spans="1:25" x14ac:dyDescent="0.2">
      <c r="A45" s="19">
        <v>2013</v>
      </c>
      <c r="B45" s="22">
        <v>70</v>
      </c>
      <c r="C45" s="22">
        <v>62</v>
      </c>
      <c r="D45" s="22">
        <f t="shared" si="1"/>
        <v>8</v>
      </c>
      <c r="E45" s="22">
        <f t="shared" si="12"/>
        <v>1</v>
      </c>
      <c r="F45" s="23">
        <v>5</v>
      </c>
      <c r="G45" s="23">
        <v>1</v>
      </c>
      <c r="H45" s="23">
        <f t="shared" si="2"/>
        <v>4</v>
      </c>
      <c r="I45" s="23">
        <f t="shared" si="3"/>
        <v>1</v>
      </c>
      <c r="J45" s="22">
        <v>2</v>
      </c>
      <c r="K45" s="22">
        <v>5</v>
      </c>
      <c r="L45" s="22">
        <f t="shared" si="4"/>
        <v>-3</v>
      </c>
      <c r="M45" s="22">
        <f t="shared" si="5"/>
        <v>1</v>
      </c>
      <c r="N45" s="23">
        <v>70</v>
      </c>
      <c r="O45" s="23">
        <v>58</v>
      </c>
      <c r="P45" s="23">
        <f t="shared" si="6"/>
        <v>12</v>
      </c>
      <c r="Q45" s="23">
        <f t="shared" si="7"/>
        <v>1</v>
      </c>
      <c r="R45" s="22">
        <v>42</v>
      </c>
      <c r="S45" s="22">
        <v>25</v>
      </c>
      <c r="T45" s="22">
        <f t="shared" si="8"/>
        <v>17</v>
      </c>
      <c r="U45" s="22">
        <f t="shared" si="9"/>
        <v>1</v>
      </c>
      <c r="V45" s="23">
        <v>50</v>
      </c>
      <c r="W45" s="23">
        <v>25</v>
      </c>
      <c r="X45" s="23">
        <f t="shared" si="10"/>
        <v>25</v>
      </c>
      <c r="Y45" s="23">
        <f t="shared" si="11"/>
        <v>1</v>
      </c>
    </row>
    <row r="46" spans="1:25" x14ac:dyDescent="0.2">
      <c r="A46" s="25" t="s">
        <v>178</v>
      </c>
      <c r="B46" s="22">
        <v>64</v>
      </c>
      <c r="C46" s="22">
        <v>67</v>
      </c>
      <c r="D46" s="22">
        <f t="shared" si="1"/>
        <v>-3</v>
      </c>
      <c r="E46" s="22">
        <f t="shared" si="12"/>
        <v>0</v>
      </c>
      <c r="F46" s="23">
        <v>6</v>
      </c>
      <c r="G46" s="23">
        <v>5</v>
      </c>
      <c r="H46" s="23">
        <f t="shared" si="2"/>
        <v>1</v>
      </c>
      <c r="I46" s="23">
        <f t="shared" si="3"/>
        <v>1</v>
      </c>
      <c r="J46" s="22">
        <v>3</v>
      </c>
      <c r="K46" s="22">
        <v>2</v>
      </c>
      <c r="L46" s="22">
        <f t="shared" si="4"/>
        <v>1</v>
      </c>
      <c r="M46" s="22">
        <f t="shared" si="5"/>
        <v>0</v>
      </c>
      <c r="N46" s="23">
        <v>72</v>
      </c>
      <c r="O46" s="23">
        <v>64</v>
      </c>
      <c r="P46" s="23">
        <f t="shared" si="6"/>
        <v>8</v>
      </c>
      <c r="Q46" s="23">
        <f t="shared" si="7"/>
        <v>1</v>
      </c>
      <c r="R46" s="22">
        <v>60</v>
      </c>
      <c r="S46" s="22">
        <v>53</v>
      </c>
      <c r="T46" s="22">
        <f t="shared" si="8"/>
        <v>7</v>
      </c>
      <c r="U46" s="22">
        <f t="shared" si="9"/>
        <v>1</v>
      </c>
      <c r="V46" s="23">
        <v>50</v>
      </c>
      <c r="W46" s="23">
        <v>56</v>
      </c>
      <c r="X46" s="23">
        <f t="shared" si="10"/>
        <v>-6</v>
      </c>
      <c r="Y46" s="23">
        <f t="shared" si="11"/>
        <v>0</v>
      </c>
    </row>
    <row r="47" spans="1:25" x14ac:dyDescent="0.2">
      <c r="A47" s="25" t="s">
        <v>178</v>
      </c>
      <c r="B47" s="22">
        <v>60</v>
      </c>
      <c r="C47" s="22">
        <v>58</v>
      </c>
      <c r="D47" s="22">
        <f t="shared" si="1"/>
        <v>2</v>
      </c>
      <c r="E47" s="22">
        <f t="shared" si="12"/>
        <v>1</v>
      </c>
      <c r="F47" s="23">
        <v>3</v>
      </c>
      <c r="G47" s="23">
        <v>6</v>
      </c>
      <c r="H47" s="23">
        <f t="shared" si="2"/>
        <v>-3</v>
      </c>
      <c r="I47" s="23">
        <f t="shared" si="3"/>
        <v>0</v>
      </c>
      <c r="J47" s="22">
        <v>1</v>
      </c>
      <c r="K47" s="22">
        <v>3</v>
      </c>
      <c r="L47" s="22">
        <f t="shared" si="4"/>
        <v>-2</v>
      </c>
      <c r="M47" s="22">
        <f t="shared" si="5"/>
        <v>1</v>
      </c>
      <c r="N47" s="23">
        <v>66</v>
      </c>
      <c r="O47" s="23">
        <v>62</v>
      </c>
      <c r="P47" s="23">
        <f t="shared" si="6"/>
        <v>4</v>
      </c>
      <c r="Q47" s="23">
        <f t="shared" si="7"/>
        <v>1</v>
      </c>
      <c r="R47" s="22">
        <v>66</v>
      </c>
      <c r="S47" s="22">
        <v>40</v>
      </c>
      <c r="T47" s="22">
        <f t="shared" si="8"/>
        <v>26</v>
      </c>
      <c r="U47" s="22">
        <f t="shared" si="9"/>
        <v>1</v>
      </c>
      <c r="V47" s="23">
        <v>35</v>
      </c>
      <c r="W47" s="23">
        <v>40</v>
      </c>
      <c r="X47" s="23">
        <f t="shared" si="10"/>
        <v>-5</v>
      </c>
      <c r="Y47" s="23">
        <f t="shared" si="11"/>
        <v>0</v>
      </c>
    </row>
    <row r="48" spans="1:25" x14ac:dyDescent="0.2">
      <c r="A48" s="25" t="s">
        <v>179</v>
      </c>
      <c r="B48" s="22">
        <v>64</v>
      </c>
      <c r="C48" s="22">
        <v>60</v>
      </c>
      <c r="D48" s="22">
        <f t="shared" si="1"/>
        <v>4</v>
      </c>
      <c r="E48" s="22">
        <f t="shared" si="12"/>
        <v>1</v>
      </c>
      <c r="F48" s="23">
        <v>11</v>
      </c>
      <c r="G48" s="23">
        <v>4</v>
      </c>
      <c r="H48" s="23">
        <f t="shared" si="2"/>
        <v>7</v>
      </c>
      <c r="I48" s="23">
        <f t="shared" si="3"/>
        <v>1</v>
      </c>
      <c r="J48" s="22">
        <v>0</v>
      </c>
      <c r="K48" s="22">
        <v>5</v>
      </c>
      <c r="L48" s="22">
        <f t="shared" si="4"/>
        <v>-5</v>
      </c>
      <c r="M48" s="22">
        <f t="shared" si="5"/>
        <v>1</v>
      </c>
      <c r="N48" s="23">
        <v>82</v>
      </c>
      <c r="O48" s="23">
        <v>66</v>
      </c>
      <c r="P48" s="23">
        <f t="shared" si="6"/>
        <v>16</v>
      </c>
      <c r="Q48" s="23">
        <f t="shared" si="7"/>
        <v>1</v>
      </c>
      <c r="R48" s="22">
        <v>79</v>
      </c>
      <c r="S48" s="22">
        <v>43</v>
      </c>
      <c r="T48" s="22">
        <f t="shared" si="8"/>
        <v>36</v>
      </c>
      <c r="U48" s="22">
        <f t="shared" si="9"/>
        <v>1</v>
      </c>
      <c r="V48" s="23">
        <v>42</v>
      </c>
      <c r="W48" s="23">
        <v>100</v>
      </c>
      <c r="X48" s="23">
        <f t="shared" si="10"/>
        <v>-58</v>
      </c>
      <c r="Y48" s="23">
        <f t="shared" si="11"/>
        <v>0</v>
      </c>
    </row>
    <row r="49" spans="1:25" x14ac:dyDescent="0.2">
      <c r="A49" s="25" t="s">
        <v>179</v>
      </c>
      <c r="B49" s="22">
        <v>75</v>
      </c>
      <c r="C49" s="22">
        <v>60</v>
      </c>
      <c r="D49" s="22">
        <f t="shared" si="1"/>
        <v>15</v>
      </c>
      <c r="E49" s="22">
        <f t="shared" si="12"/>
        <v>1</v>
      </c>
      <c r="F49" s="23">
        <v>5</v>
      </c>
      <c r="G49" s="23">
        <v>3</v>
      </c>
      <c r="H49" s="23">
        <f t="shared" si="2"/>
        <v>2</v>
      </c>
      <c r="I49" s="23">
        <f t="shared" si="3"/>
        <v>1</v>
      </c>
      <c r="J49" s="22">
        <v>0</v>
      </c>
      <c r="K49" s="22">
        <v>4</v>
      </c>
      <c r="L49" s="22">
        <f t="shared" si="4"/>
        <v>-4</v>
      </c>
      <c r="M49" s="22">
        <f t="shared" si="5"/>
        <v>1</v>
      </c>
      <c r="N49" s="23">
        <v>73</v>
      </c>
      <c r="O49" s="23">
        <v>58</v>
      </c>
      <c r="P49" s="23">
        <f t="shared" si="6"/>
        <v>15</v>
      </c>
      <c r="Q49" s="23">
        <f t="shared" si="7"/>
        <v>1</v>
      </c>
      <c r="R49" s="22">
        <v>61</v>
      </c>
      <c r="S49" s="22">
        <v>34</v>
      </c>
      <c r="T49" s="22">
        <f t="shared" si="8"/>
        <v>27</v>
      </c>
      <c r="U49" s="22">
        <f t="shared" si="9"/>
        <v>1</v>
      </c>
      <c r="V49" s="23">
        <v>58</v>
      </c>
      <c r="W49" s="23">
        <v>20</v>
      </c>
      <c r="X49" s="23">
        <f t="shared" si="10"/>
        <v>38</v>
      </c>
      <c r="Y49" s="23">
        <f t="shared" si="11"/>
        <v>1</v>
      </c>
    </row>
    <row r="50" spans="1:25" x14ac:dyDescent="0.2">
      <c r="A50" s="25" t="s">
        <v>179</v>
      </c>
      <c r="B50" s="22">
        <v>47</v>
      </c>
      <c r="C50" s="22">
        <v>59</v>
      </c>
      <c r="D50" s="22">
        <f t="shared" si="1"/>
        <v>-12</v>
      </c>
      <c r="E50" s="22">
        <f t="shared" si="12"/>
        <v>0</v>
      </c>
      <c r="F50" s="23">
        <v>1</v>
      </c>
      <c r="G50" s="23">
        <v>2</v>
      </c>
      <c r="H50" s="23">
        <f t="shared" si="2"/>
        <v>-1</v>
      </c>
      <c r="I50" s="23">
        <f t="shared" si="3"/>
        <v>0</v>
      </c>
      <c r="J50" s="22">
        <v>3</v>
      </c>
      <c r="K50" s="22">
        <v>2</v>
      </c>
      <c r="L50" s="22">
        <f t="shared" si="4"/>
        <v>1</v>
      </c>
      <c r="M50" s="22">
        <f t="shared" si="5"/>
        <v>0</v>
      </c>
      <c r="N50" s="23">
        <v>86</v>
      </c>
      <c r="O50" s="23">
        <v>55</v>
      </c>
      <c r="P50" s="23">
        <f t="shared" si="6"/>
        <v>31</v>
      </c>
      <c r="Q50" s="23">
        <f t="shared" si="7"/>
        <v>1</v>
      </c>
      <c r="R50" s="22">
        <v>67</v>
      </c>
      <c r="S50" s="22">
        <v>32</v>
      </c>
      <c r="T50" s="22">
        <f t="shared" si="8"/>
        <v>35</v>
      </c>
      <c r="U50" s="22">
        <f t="shared" si="9"/>
        <v>1</v>
      </c>
      <c r="V50" s="23">
        <v>58</v>
      </c>
      <c r="W50" s="23">
        <v>0</v>
      </c>
      <c r="X50" s="23">
        <f t="shared" si="10"/>
        <v>58</v>
      </c>
      <c r="Y50" s="23">
        <f t="shared" si="11"/>
        <v>1</v>
      </c>
    </row>
    <row r="51" spans="1:25" x14ac:dyDescent="0.2">
      <c r="A51" s="25" t="s">
        <v>179</v>
      </c>
      <c r="B51" s="22">
        <v>75</v>
      </c>
      <c r="C51" s="22">
        <v>67</v>
      </c>
      <c r="D51" s="22">
        <f t="shared" si="1"/>
        <v>8</v>
      </c>
      <c r="E51" s="22">
        <f t="shared" si="12"/>
        <v>1</v>
      </c>
      <c r="F51" s="23">
        <v>2</v>
      </c>
      <c r="G51" s="23">
        <v>0</v>
      </c>
      <c r="H51" s="23">
        <f t="shared" si="2"/>
        <v>2</v>
      </c>
      <c r="I51" s="23">
        <f t="shared" si="3"/>
        <v>1</v>
      </c>
      <c r="J51" s="22">
        <v>0</v>
      </c>
      <c r="K51" s="22">
        <v>3</v>
      </c>
      <c r="L51" s="22">
        <f t="shared" si="4"/>
        <v>-3</v>
      </c>
      <c r="M51" s="22">
        <f t="shared" si="5"/>
        <v>1</v>
      </c>
      <c r="N51" s="23">
        <v>81</v>
      </c>
      <c r="O51" s="23">
        <v>58</v>
      </c>
      <c r="P51" s="23">
        <f t="shared" si="6"/>
        <v>23</v>
      </c>
      <c r="Q51" s="23">
        <f t="shared" si="7"/>
        <v>1</v>
      </c>
      <c r="R51" s="22">
        <v>53</v>
      </c>
      <c r="S51" s="22">
        <v>42</v>
      </c>
      <c r="T51" s="22">
        <f t="shared" si="8"/>
        <v>11</v>
      </c>
      <c r="U51" s="22">
        <f t="shared" si="9"/>
        <v>1</v>
      </c>
      <c r="V51" s="23">
        <v>43</v>
      </c>
      <c r="W51" s="23">
        <v>67</v>
      </c>
      <c r="X51" s="23">
        <f t="shared" si="10"/>
        <v>-24</v>
      </c>
      <c r="Y51" s="23">
        <f t="shared" si="11"/>
        <v>0</v>
      </c>
    </row>
    <row r="52" spans="1:25" x14ac:dyDescent="0.2">
      <c r="A52" s="19">
        <v>2012</v>
      </c>
      <c r="B52" s="22">
        <v>62</v>
      </c>
      <c r="C52" s="22">
        <v>59</v>
      </c>
      <c r="D52" s="22">
        <f t="shared" si="1"/>
        <v>3</v>
      </c>
      <c r="E52" s="22">
        <f t="shared" si="12"/>
        <v>1</v>
      </c>
      <c r="F52" s="23">
        <v>4</v>
      </c>
      <c r="G52" s="23">
        <v>3</v>
      </c>
      <c r="H52" s="23">
        <f t="shared" si="2"/>
        <v>1</v>
      </c>
      <c r="I52" s="23">
        <f t="shared" si="3"/>
        <v>1</v>
      </c>
      <c r="J52" s="22">
        <v>4</v>
      </c>
      <c r="K52" s="22">
        <v>4</v>
      </c>
      <c r="L52" s="22">
        <f t="shared" si="4"/>
        <v>0</v>
      </c>
      <c r="M52" s="22">
        <f t="shared" si="5"/>
        <v>1</v>
      </c>
      <c r="N52" s="23">
        <v>62</v>
      </c>
      <c r="O52" s="23">
        <v>62</v>
      </c>
      <c r="P52" s="23">
        <f t="shared" si="6"/>
        <v>0</v>
      </c>
      <c r="Q52" s="23">
        <f t="shared" si="7"/>
        <v>1</v>
      </c>
      <c r="R52" s="22">
        <v>53</v>
      </c>
      <c r="S52" s="22">
        <v>44</v>
      </c>
      <c r="T52" s="22">
        <f t="shared" si="8"/>
        <v>9</v>
      </c>
      <c r="U52" s="22">
        <f t="shared" si="9"/>
        <v>1</v>
      </c>
      <c r="V52" s="23">
        <v>53</v>
      </c>
      <c r="W52" s="23">
        <v>70</v>
      </c>
      <c r="X52" s="23">
        <f t="shared" si="10"/>
        <v>-17</v>
      </c>
      <c r="Y52" s="23">
        <f t="shared" si="11"/>
        <v>0</v>
      </c>
    </row>
    <row r="53" spans="1:25" x14ac:dyDescent="0.2">
      <c r="A53" s="25" t="s">
        <v>178</v>
      </c>
      <c r="B53" s="22">
        <v>68</v>
      </c>
      <c r="C53" s="22">
        <v>56</v>
      </c>
      <c r="D53" s="22">
        <f t="shared" si="1"/>
        <v>12</v>
      </c>
      <c r="E53" s="22">
        <f t="shared" si="12"/>
        <v>1</v>
      </c>
      <c r="F53" s="23">
        <v>6</v>
      </c>
      <c r="G53" s="23">
        <v>9</v>
      </c>
      <c r="H53" s="23">
        <f t="shared" si="2"/>
        <v>-3</v>
      </c>
      <c r="I53" s="23">
        <f t="shared" si="3"/>
        <v>0</v>
      </c>
      <c r="J53" s="22">
        <v>2</v>
      </c>
      <c r="K53" s="22">
        <v>3</v>
      </c>
      <c r="L53" s="22">
        <f t="shared" si="4"/>
        <v>-1</v>
      </c>
      <c r="M53" s="22">
        <f t="shared" si="5"/>
        <v>1</v>
      </c>
      <c r="N53" s="23">
        <v>73</v>
      </c>
      <c r="O53" s="23">
        <v>56</v>
      </c>
      <c r="P53" s="23">
        <f t="shared" si="6"/>
        <v>17</v>
      </c>
      <c r="Q53" s="23">
        <f t="shared" si="7"/>
        <v>1</v>
      </c>
      <c r="R53" s="22">
        <v>48</v>
      </c>
      <c r="S53" s="22">
        <v>45</v>
      </c>
      <c r="T53" s="22">
        <f t="shared" si="8"/>
        <v>3</v>
      </c>
      <c r="U53" s="22">
        <f t="shared" si="9"/>
        <v>1</v>
      </c>
      <c r="V53" s="23">
        <v>70</v>
      </c>
      <c r="W53" s="23">
        <v>50</v>
      </c>
      <c r="X53" s="23">
        <f t="shared" si="10"/>
        <v>20</v>
      </c>
      <c r="Y53" s="23">
        <f t="shared" si="11"/>
        <v>1</v>
      </c>
    </row>
    <row r="54" spans="1:25" x14ac:dyDescent="0.2">
      <c r="A54" s="25" t="s">
        <v>178</v>
      </c>
      <c r="B54" s="22">
        <v>60</v>
      </c>
      <c r="C54" s="22">
        <v>56</v>
      </c>
      <c r="D54" s="22">
        <f t="shared" si="1"/>
        <v>4</v>
      </c>
      <c r="E54" s="22">
        <f t="shared" si="12"/>
        <v>1</v>
      </c>
      <c r="F54" s="23">
        <v>2</v>
      </c>
      <c r="G54" s="23">
        <v>1</v>
      </c>
      <c r="H54" s="23">
        <f t="shared" si="2"/>
        <v>1</v>
      </c>
      <c r="I54" s="23">
        <f t="shared" si="3"/>
        <v>1</v>
      </c>
      <c r="J54" s="22">
        <v>1</v>
      </c>
      <c r="K54" s="22">
        <v>3</v>
      </c>
      <c r="L54" s="22">
        <f t="shared" si="4"/>
        <v>-2</v>
      </c>
      <c r="M54" s="22">
        <f t="shared" si="5"/>
        <v>1</v>
      </c>
      <c r="N54" s="23">
        <v>85</v>
      </c>
      <c r="O54" s="23">
        <v>51</v>
      </c>
      <c r="P54" s="23">
        <f t="shared" si="6"/>
        <v>34</v>
      </c>
      <c r="Q54" s="23">
        <f t="shared" si="7"/>
        <v>1</v>
      </c>
      <c r="R54" s="22">
        <v>58</v>
      </c>
      <c r="S54" s="22">
        <v>41</v>
      </c>
      <c r="T54" s="22">
        <f t="shared" si="8"/>
        <v>17</v>
      </c>
      <c r="U54" s="22">
        <f t="shared" si="9"/>
        <v>1</v>
      </c>
      <c r="V54" s="23">
        <v>70</v>
      </c>
      <c r="W54" s="23">
        <v>0</v>
      </c>
      <c r="X54" s="23">
        <f t="shared" si="10"/>
        <v>70</v>
      </c>
      <c r="Y54" s="23">
        <f t="shared" si="11"/>
        <v>1</v>
      </c>
    </row>
    <row r="55" spans="1:25" x14ac:dyDescent="0.2">
      <c r="A55" s="25" t="s">
        <v>179</v>
      </c>
      <c r="B55" s="22">
        <v>67</v>
      </c>
      <c r="C55" s="22">
        <v>68</v>
      </c>
      <c r="D55" s="22">
        <f t="shared" si="1"/>
        <v>-1</v>
      </c>
      <c r="E55" s="22">
        <f t="shared" si="12"/>
        <v>0</v>
      </c>
      <c r="F55" s="23">
        <v>7</v>
      </c>
      <c r="G55" s="23">
        <v>6</v>
      </c>
      <c r="H55" s="23">
        <f t="shared" si="2"/>
        <v>1</v>
      </c>
      <c r="I55" s="23">
        <f t="shared" si="3"/>
        <v>1</v>
      </c>
      <c r="J55" s="22">
        <v>2</v>
      </c>
      <c r="K55" s="22">
        <v>3</v>
      </c>
      <c r="L55" s="22">
        <f t="shared" si="4"/>
        <v>-1</v>
      </c>
      <c r="M55" s="22">
        <f t="shared" si="5"/>
        <v>1</v>
      </c>
      <c r="N55" s="23">
        <v>71</v>
      </c>
      <c r="O55" s="23">
        <v>65</v>
      </c>
      <c r="P55" s="23">
        <f t="shared" si="6"/>
        <v>6</v>
      </c>
      <c r="Q55" s="23">
        <f t="shared" si="7"/>
        <v>1</v>
      </c>
      <c r="R55" s="22">
        <v>53</v>
      </c>
      <c r="S55" s="22">
        <v>42</v>
      </c>
      <c r="T55" s="22">
        <f t="shared" si="8"/>
        <v>11</v>
      </c>
      <c r="U55" s="22">
        <f t="shared" si="9"/>
        <v>1</v>
      </c>
      <c r="V55" s="23">
        <v>46</v>
      </c>
      <c r="W55" s="23">
        <v>36</v>
      </c>
      <c r="X55" s="23">
        <f t="shared" si="10"/>
        <v>10</v>
      </c>
      <c r="Y55" s="23">
        <f t="shared" si="11"/>
        <v>1</v>
      </c>
    </row>
    <row r="56" spans="1:25" x14ac:dyDescent="0.2">
      <c r="A56" s="25" t="s">
        <v>179</v>
      </c>
      <c r="B56" s="22">
        <v>58</v>
      </c>
      <c r="C56" s="22">
        <v>59</v>
      </c>
      <c r="D56" s="22">
        <f t="shared" si="1"/>
        <v>-1</v>
      </c>
      <c r="E56" s="22">
        <f t="shared" si="12"/>
        <v>0</v>
      </c>
      <c r="F56" s="23">
        <v>11</v>
      </c>
      <c r="G56" s="23">
        <v>6</v>
      </c>
      <c r="H56" s="23">
        <f t="shared" si="2"/>
        <v>5</v>
      </c>
      <c r="I56" s="23">
        <f t="shared" si="3"/>
        <v>1</v>
      </c>
      <c r="J56" s="22">
        <v>1</v>
      </c>
      <c r="K56" s="22">
        <v>4</v>
      </c>
      <c r="L56" s="22">
        <f t="shared" si="4"/>
        <v>-3</v>
      </c>
      <c r="M56" s="22">
        <f t="shared" si="5"/>
        <v>1</v>
      </c>
      <c r="N56" s="23">
        <v>69</v>
      </c>
      <c r="O56" s="23">
        <v>74</v>
      </c>
      <c r="P56" s="23">
        <f t="shared" si="6"/>
        <v>-5</v>
      </c>
      <c r="Q56" s="23">
        <f t="shared" si="7"/>
        <v>0</v>
      </c>
      <c r="R56" s="22">
        <v>60</v>
      </c>
      <c r="S56" s="22">
        <v>31</v>
      </c>
      <c r="T56" s="22">
        <f t="shared" si="8"/>
        <v>29</v>
      </c>
      <c r="U56" s="22">
        <f t="shared" si="9"/>
        <v>1</v>
      </c>
      <c r="V56" s="23">
        <v>44</v>
      </c>
      <c r="W56" s="23">
        <v>40</v>
      </c>
      <c r="X56" s="23">
        <f t="shared" si="10"/>
        <v>4</v>
      </c>
      <c r="Y56" s="23">
        <f t="shared" si="11"/>
        <v>1</v>
      </c>
    </row>
    <row r="57" spans="1:25" x14ac:dyDescent="0.2">
      <c r="A57" s="25" t="s">
        <v>179</v>
      </c>
      <c r="B57" s="22">
        <v>64</v>
      </c>
      <c r="C57" s="22">
        <v>53</v>
      </c>
      <c r="D57" s="22">
        <f t="shared" si="1"/>
        <v>11</v>
      </c>
      <c r="E57" s="22">
        <f t="shared" si="12"/>
        <v>1</v>
      </c>
      <c r="F57" s="23">
        <v>3</v>
      </c>
      <c r="G57" s="23">
        <v>3</v>
      </c>
      <c r="H57" s="23">
        <f t="shared" si="2"/>
        <v>0</v>
      </c>
      <c r="I57" s="23">
        <f t="shared" si="3"/>
        <v>1</v>
      </c>
      <c r="J57" s="22">
        <v>5</v>
      </c>
      <c r="K57" s="22">
        <v>1</v>
      </c>
      <c r="L57" s="22">
        <f t="shared" si="4"/>
        <v>4</v>
      </c>
      <c r="M57" s="22">
        <f t="shared" si="5"/>
        <v>0</v>
      </c>
      <c r="N57" s="23">
        <v>68</v>
      </c>
      <c r="O57" s="23">
        <v>60</v>
      </c>
      <c r="P57" s="23">
        <f t="shared" si="6"/>
        <v>8</v>
      </c>
      <c r="Q57" s="23">
        <f t="shared" si="7"/>
        <v>1</v>
      </c>
      <c r="R57" s="22">
        <v>39</v>
      </c>
      <c r="S57" s="22">
        <v>39</v>
      </c>
      <c r="T57" s="22">
        <f t="shared" si="8"/>
        <v>0</v>
      </c>
      <c r="U57" s="22">
        <f t="shared" si="9"/>
        <v>1</v>
      </c>
      <c r="V57" s="23">
        <v>53</v>
      </c>
      <c r="W57" s="23">
        <v>33</v>
      </c>
      <c r="X57" s="23">
        <f t="shared" si="10"/>
        <v>20</v>
      </c>
      <c r="Y57" s="23">
        <f t="shared" si="11"/>
        <v>1</v>
      </c>
    </row>
    <row r="58" spans="1:25" x14ac:dyDescent="0.2">
      <c r="A58" s="25" t="s">
        <v>179</v>
      </c>
      <c r="B58" s="22">
        <v>66</v>
      </c>
      <c r="C58" s="22">
        <v>63</v>
      </c>
      <c r="D58" s="22">
        <f t="shared" si="1"/>
        <v>3</v>
      </c>
      <c r="E58" s="22">
        <f t="shared" si="12"/>
        <v>1</v>
      </c>
      <c r="F58" s="23">
        <v>10</v>
      </c>
      <c r="G58" s="23">
        <v>4</v>
      </c>
      <c r="H58" s="23">
        <f t="shared" si="2"/>
        <v>6</v>
      </c>
      <c r="I58" s="23">
        <f t="shared" si="3"/>
        <v>1</v>
      </c>
      <c r="J58" s="22">
        <v>1</v>
      </c>
      <c r="K58" s="22">
        <v>1</v>
      </c>
      <c r="L58" s="22">
        <f t="shared" si="4"/>
        <v>0</v>
      </c>
      <c r="M58" s="22">
        <f t="shared" si="5"/>
        <v>1</v>
      </c>
      <c r="N58" s="23">
        <v>84</v>
      </c>
      <c r="O58" s="23">
        <v>70</v>
      </c>
      <c r="P58" s="23">
        <f t="shared" si="6"/>
        <v>14</v>
      </c>
      <c r="Q58" s="23">
        <f t="shared" si="7"/>
        <v>1</v>
      </c>
      <c r="R58" s="22">
        <v>50</v>
      </c>
      <c r="S58" s="22">
        <v>45</v>
      </c>
      <c r="T58" s="22">
        <f t="shared" si="8"/>
        <v>5</v>
      </c>
      <c r="U58" s="22">
        <f t="shared" si="9"/>
        <v>1</v>
      </c>
      <c r="V58" s="23">
        <v>50</v>
      </c>
      <c r="W58" s="23">
        <v>0</v>
      </c>
      <c r="X58" s="23">
        <f t="shared" si="10"/>
        <v>50</v>
      </c>
      <c r="Y58" s="23">
        <f t="shared" si="11"/>
        <v>1</v>
      </c>
    </row>
    <row r="59" spans="1:25" x14ac:dyDescent="0.2">
      <c r="A59" s="19" t="s">
        <v>201</v>
      </c>
      <c r="B59" s="22">
        <v>66</v>
      </c>
      <c r="C59" s="22">
        <v>67</v>
      </c>
      <c r="D59" s="22">
        <f t="shared" si="1"/>
        <v>-1</v>
      </c>
      <c r="E59" s="22">
        <f t="shared" si="12"/>
        <v>0</v>
      </c>
      <c r="F59" s="23">
        <v>13</v>
      </c>
      <c r="G59" s="23">
        <v>14</v>
      </c>
      <c r="H59" s="23">
        <f t="shared" si="2"/>
        <v>-1</v>
      </c>
      <c r="I59" s="23">
        <f t="shared" si="3"/>
        <v>0</v>
      </c>
      <c r="J59" s="22">
        <v>1</v>
      </c>
      <c r="K59" s="22">
        <v>3</v>
      </c>
      <c r="L59" s="22">
        <f t="shared" si="4"/>
        <v>-2</v>
      </c>
      <c r="M59" s="22">
        <f t="shared" si="5"/>
        <v>1</v>
      </c>
      <c r="N59" s="23">
        <v>74</v>
      </c>
      <c r="O59" s="23">
        <v>74</v>
      </c>
      <c r="P59" s="23">
        <f t="shared" si="6"/>
        <v>0</v>
      </c>
      <c r="Q59" s="23">
        <f t="shared" si="7"/>
        <v>1</v>
      </c>
      <c r="R59" s="22">
        <v>60</v>
      </c>
      <c r="S59" s="22">
        <v>49</v>
      </c>
      <c r="T59" s="22">
        <f t="shared" si="8"/>
        <v>11</v>
      </c>
      <c r="U59" s="22">
        <f t="shared" si="9"/>
        <v>1</v>
      </c>
      <c r="V59" s="23">
        <v>40</v>
      </c>
      <c r="W59" s="23">
        <v>14</v>
      </c>
      <c r="X59" s="23">
        <f t="shared" si="10"/>
        <v>26</v>
      </c>
      <c r="Y59" s="23">
        <f t="shared" si="11"/>
        <v>1</v>
      </c>
    </row>
    <row r="60" spans="1:25" x14ac:dyDescent="0.2">
      <c r="A60" s="25" t="s">
        <v>178</v>
      </c>
      <c r="B60" s="22">
        <v>76</v>
      </c>
      <c r="C60" s="22">
        <v>51</v>
      </c>
      <c r="D60" s="22">
        <f t="shared" si="1"/>
        <v>25</v>
      </c>
      <c r="E60" s="22">
        <f t="shared" si="12"/>
        <v>1</v>
      </c>
      <c r="F60" s="23">
        <v>12</v>
      </c>
      <c r="G60" s="23">
        <v>6</v>
      </c>
      <c r="H60" s="23">
        <f t="shared" si="2"/>
        <v>6</v>
      </c>
      <c r="I60" s="23">
        <f t="shared" si="3"/>
        <v>1</v>
      </c>
      <c r="J60" s="22">
        <v>2</v>
      </c>
      <c r="K60" s="22">
        <v>6</v>
      </c>
      <c r="L60" s="22">
        <f t="shared" si="4"/>
        <v>-4</v>
      </c>
      <c r="M60" s="22">
        <f t="shared" si="5"/>
        <v>1</v>
      </c>
      <c r="N60" s="23">
        <v>78</v>
      </c>
      <c r="O60" s="23">
        <v>66</v>
      </c>
      <c r="P60" s="23">
        <f t="shared" si="6"/>
        <v>12</v>
      </c>
      <c r="Q60" s="23">
        <f t="shared" si="7"/>
        <v>1</v>
      </c>
      <c r="R60" s="22">
        <v>46</v>
      </c>
      <c r="S60" s="22">
        <v>55</v>
      </c>
      <c r="T60" s="22">
        <f t="shared" si="8"/>
        <v>-9</v>
      </c>
      <c r="U60" s="22">
        <f t="shared" si="9"/>
        <v>0</v>
      </c>
      <c r="V60" s="23">
        <v>38</v>
      </c>
      <c r="W60" s="23">
        <v>25</v>
      </c>
      <c r="X60" s="23">
        <f t="shared" si="10"/>
        <v>13</v>
      </c>
      <c r="Y60" s="23">
        <f t="shared" si="11"/>
        <v>1</v>
      </c>
    </row>
    <row r="61" spans="1:25" x14ac:dyDescent="0.2">
      <c r="A61" s="25" t="s">
        <v>178</v>
      </c>
      <c r="B61" s="22">
        <v>76</v>
      </c>
      <c r="C61" s="22">
        <v>74</v>
      </c>
      <c r="D61" s="22">
        <f t="shared" si="1"/>
        <v>2</v>
      </c>
      <c r="E61" s="22">
        <f t="shared" si="12"/>
        <v>1</v>
      </c>
      <c r="F61" s="23">
        <v>20</v>
      </c>
      <c r="G61" s="23">
        <v>12</v>
      </c>
      <c r="H61" s="23">
        <f t="shared" si="2"/>
        <v>8</v>
      </c>
      <c r="I61" s="23">
        <f t="shared" si="3"/>
        <v>1</v>
      </c>
      <c r="J61" s="22">
        <v>1</v>
      </c>
      <c r="K61" s="22">
        <v>1</v>
      </c>
      <c r="L61" s="22">
        <f t="shared" si="4"/>
        <v>0</v>
      </c>
      <c r="M61" s="22">
        <f t="shared" si="5"/>
        <v>1</v>
      </c>
      <c r="N61" s="23">
        <v>84</v>
      </c>
      <c r="O61" s="23">
        <v>71</v>
      </c>
      <c r="P61" s="23">
        <f t="shared" si="6"/>
        <v>13</v>
      </c>
      <c r="Q61" s="23">
        <f t="shared" si="7"/>
        <v>1</v>
      </c>
      <c r="R61" s="22">
        <v>55</v>
      </c>
      <c r="S61" s="22">
        <v>50</v>
      </c>
      <c r="T61" s="22">
        <f t="shared" si="8"/>
        <v>5</v>
      </c>
      <c r="U61" s="22">
        <f t="shared" si="9"/>
        <v>1</v>
      </c>
      <c r="V61" s="23">
        <v>30</v>
      </c>
      <c r="W61" s="23">
        <v>0</v>
      </c>
      <c r="X61" s="23">
        <f t="shared" si="10"/>
        <v>30</v>
      </c>
      <c r="Y61" s="23">
        <f t="shared" si="11"/>
        <v>1</v>
      </c>
    </row>
    <row r="62" spans="1:25" x14ac:dyDescent="0.2">
      <c r="A62" s="25" t="s">
        <v>179</v>
      </c>
      <c r="B62" s="22">
        <v>72</v>
      </c>
      <c r="C62" s="22">
        <v>55</v>
      </c>
      <c r="D62" s="22">
        <f t="shared" si="1"/>
        <v>17</v>
      </c>
      <c r="E62" s="22">
        <f t="shared" si="12"/>
        <v>1</v>
      </c>
      <c r="F62" s="23">
        <v>4</v>
      </c>
      <c r="G62" s="23">
        <v>8</v>
      </c>
      <c r="H62" s="23">
        <f t="shared" si="2"/>
        <v>-4</v>
      </c>
      <c r="I62" s="23">
        <f t="shared" si="3"/>
        <v>0</v>
      </c>
      <c r="J62" s="22">
        <v>1</v>
      </c>
      <c r="K62" s="22">
        <v>0</v>
      </c>
      <c r="L62" s="22">
        <f t="shared" si="4"/>
        <v>1</v>
      </c>
      <c r="M62" s="22">
        <f t="shared" si="5"/>
        <v>0</v>
      </c>
      <c r="N62" s="23">
        <v>79</v>
      </c>
      <c r="O62" s="23">
        <v>76</v>
      </c>
      <c r="P62" s="23">
        <f t="shared" si="6"/>
        <v>3</v>
      </c>
      <c r="Q62" s="23">
        <f t="shared" si="7"/>
        <v>1</v>
      </c>
      <c r="R62" s="22">
        <v>74</v>
      </c>
      <c r="S62" s="22">
        <v>49</v>
      </c>
      <c r="T62" s="22">
        <f t="shared" si="8"/>
        <v>25</v>
      </c>
      <c r="U62" s="22">
        <f t="shared" si="9"/>
        <v>1</v>
      </c>
      <c r="V62" s="23">
        <v>60</v>
      </c>
      <c r="W62" s="23">
        <v>0</v>
      </c>
      <c r="X62" s="23">
        <f t="shared" si="10"/>
        <v>60</v>
      </c>
      <c r="Y62" s="23">
        <f t="shared" si="11"/>
        <v>1</v>
      </c>
    </row>
    <row r="63" spans="1:25" x14ac:dyDescent="0.2">
      <c r="A63" s="25" t="s">
        <v>179</v>
      </c>
      <c r="B63" s="22">
        <v>67</v>
      </c>
      <c r="C63" s="22">
        <v>61</v>
      </c>
      <c r="D63" s="22">
        <f t="shared" si="1"/>
        <v>6</v>
      </c>
      <c r="E63" s="22">
        <f t="shared" si="12"/>
        <v>1</v>
      </c>
      <c r="F63" s="23">
        <v>6</v>
      </c>
      <c r="G63" s="23">
        <v>22</v>
      </c>
      <c r="H63" s="23">
        <f t="shared" si="2"/>
        <v>-16</v>
      </c>
      <c r="I63" s="23">
        <f t="shared" si="3"/>
        <v>0</v>
      </c>
      <c r="J63" s="22">
        <v>4</v>
      </c>
      <c r="K63" s="22">
        <v>1</v>
      </c>
      <c r="L63" s="22">
        <f t="shared" si="4"/>
        <v>3</v>
      </c>
      <c r="M63" s="22">
        <f t="shared" si="5"/>
        <v>0</v>
      </c>
      <c r="N63" s="23">
        <v>74</v>
      </c>
      <c r="O63" s="23">
        <v>78</v>
      </c>
      <c r="P63" s="23">
        <f t="shared" si="6"/>
        <v>-4</v>
      </c>
      <c r="Q63" s="23">
        <f t="shared" si="7"/>
        <v>0</v>
      </c>
      <c r="R63" s="22">
        <v>66</v>
      </c>
      <c r="S63" s="22">
        <v>55</v>
      </c>
      <c r="T63" s="22">
        <f t="shared" si="8"/>
        <v>11</v>
      </c>
      <c r="U63" s="22">
        <f t="shared" si="9"/>
        <v>1</v>
      </c>
      <c r="V63" s="23">
        <v>56</v>
      </c>
      <c r="W63" s="23">
        <v>44</v>
      </c>
      <c r="X63" s="23">
        <f t="shared" si="10"/>
        <v>12</v>
      </c>
      <c r="Y63" s="23">
        <f t="shared" si="11"/>
        <v>1</v>
      </c>
    </row>
    <row r="64" spans="1:25" x14ac:dyDescent="0.2">
      <c r="A64" s="25" t="s">
        <v>179</v>
      </c>
      <c r="B64" s="22">
        <v>64</v>
      </c>
      <c r="C64" s="22">
        <v>59</v>
      </c>
      <c r="D64" s="22">
        <f t="shared" si="1"/>
        <v>5</v>
      </c>
      <c r="E64" s="22">
        <f t="shared" si="12"/>
        <v>1</v>
      </c>
      <c r="F64" s="23">
        <v>4</v>
      </c>
      <c r="G64" s="23">
        <v>9</v>
      </c>
      <c r="H64" s="23">
        <f t="shared" si="2"/>
        <v>-5</v>
      </c>
      <c r="I64" s="23">
        <f t="shared" si="3"/>
        <v>0</v>
      </c>
      <c r="J64" s="22">
        <v>3</v>
      </c>
      <c r="K64" s="22">
        <v>3</v>
      </c>
      <c r="L64" s="22">
        <f t="shared" si="4"/>
        <v>0</v>
      </c>
      <c r="M64" s="22">
        <f t="shared" si="5"/>
        <v>1</v>
      </c>
      <c r="N64" s="23">
        <v>84</v>
      </c>
      <c r="O64" s="23">
        <v>80</v>
      </c>
      <c r="P64" s="23">
        <f t="shared" si="6"/>
        <v>4</v>
      </c>
      <c r="Q64" s="23">
        <f t="shared" si="7"/>
        <v>1</v>
      </c>
      <c r="R64" s="22">
        <v>56</v>
      </c>
      <c r="S64" s="22">
        <v>47</v>
      </c>
      <c r="T64" s="22">
        <f t="shared" si="8"/>
        <v>9</v>
      </c>
      <c r="U64" s="22">
        <f t="shared" si="9"/>
        <v>1</v>
      </c>
      <c r="V64" s="23">
        <v>38</v>
      </c>
      <c r="W64" s="23">
        <v>0</v>
      </c>
      <c r="X64" s="23">
        <f t="shared" si="10"/>
        <v>38</v>
      </c>
      <c r="Y64" s="23">
        <f t="shared" si="11"/>
        <v>1</v>
      </c>
    </row>
    <row r="65" spans="1:25" x14ac:dyDescent="0.2">
      <c r="A65" s="25" t="s">
        <v>179</v>
      </c>
      <c r="B65" s="22">
        <v>73</v>
      </c>
      <c r="C65" s="22">
        <v>58</v>
      </c>
      <c r="D65" s="22">
        <f t="shared" si="1"/>
        <v>15</v>
      </c>
      <c r="E65" s="22">
        <f t="shared" si="12"/>
        <v>1</v>
      </c>
      <c r="F65" s="23">
        <v>11</v>
      </c>
      <c r="G65" s="23">
        <v>1</v>
      </c>
      <c r="H65" s="23">
        <f t="shared" si="2"/>
        <v>10</v>
      </c>
      <c r="I65" s="23">
        <f t="shared" si="3"/>
        <v>1</v>
      </c>
      <c r="J65" s="22">
        <v>1</v>
      </c>
      <c r="K65" s="22">
        <v>2</v>
      </c>
      <c r="L65" s="22">
        <f t="shared" si="4"/>
        <v>-1</v>
      </c>
      <c r="M65" s="22">
        <f t="shared" si="5"/>
        <v>1</v>
      </c>
      <c r="N65" s="23">
        <v>80</v>
      </c>
      <c r="O65" s="23">
        <v>60</v>
      </c>
      <c r="P65" s="23">
        <f t="shared" si="6"/>
        <v>20</v>
      </c>
      <c r="Q65" s="23">
        <f t="shared" si="7"/>
        <v>1</v>
      </c>
      <c r="R65" s="22">
        <v>60</v>
      </c>
      <c r="S65" s="22">
        <v>54</v>
      </c>
      <c r="T65" s="22">
        <f t="shared" si="8"/>
        <v>6</v>
      </c>
      <c r="U65" s="22">
        <f t="shared" si="9"/>
        <v>1</v>
      </c>
      <c r="V65" s="23">
        <v>63</v>
      </c>
      <c r="W65" s="23">
        <v>100</v>
      </c>
      <c r="X65" s="23">
        <f t="shared" si="10"/>
        <v>-37</v>
      </c>
      <c r="Y65" s="23">
        <f t="shared" si="11"/>
        <v>0</v>
      </c>
    </row>
    <row r="66" spans="1:25" x14ac:dyDescent="0.2">
      <c r="A66" s="19">
        <v>2014</v>
      </c>
      <c r="B66" s="22">
        <v>62</v>
      </c>
      <c r="C66" s="22">
        <v>69</v>
      </c>
      <c r="D66" s="22">
        <f t="shared" si="1"/>
        <v>-7</v>
      </c>
      <c r="E66" s="22">
        <f t="shared" si="12"/>
        <v>0</v>
      </c>
      <c r="F66" s="23">
        <v>13</v>
      </c>
      <c r="G66" s="23">
        <v>29</v>
      </c>
      <c r="H66" s="23">
        <f t="shared" si="2"/>
        <v>-16</v>
      </c>
      <c r="I66" s="23">
        <f t="shared" si="3"/>
        <v>0</v>
      </c>
      <c r="J66" s="22">
        <v>3</v>
      </c>
      <c r="K66" s="22">
        <v>5</v>
      </c>
      <c r="L66" s="22">
        <f t="shared" si="4"/>
        <v>-2</v>
      </c>
      <c r="M66" s="22">
        <f t="shared" si="5"/>
        <v>1</v>
      </c>
      <c r="N66" s="23">
        <v>73</v>
      </c>
      <c r="O66" s="23">
        <v>77</v>
      </c>
      <c r="P66" s="23">
        <f t="shared" si="6"/>
        <v>-4</v>
      </c>
      <c r="Q66" s="23">
        <f t="shared" si="7"/>
        <v>0</v>
      </c>
      <c r="R66" s="22">
        <v>65</v>
      </c>
      <c r="S66" s="22">
        <v>44</v>
      </c>
      <c r="T66" s="22">
        <f t="shared" si="8"/>
        <v>21</v>
      </c>
      <c r="U66" s="22">
        <f t="shared" si="9"/>
        <v>1</v>
      </c>
      <c r="V66" s="23">
        <v>27</v>
      </c>
      <c r="W66" s="23">
        <v>43</v>
      </c>
      <c r="X66" s="23">
        <f t="shared" si="10"/>
        <v>-16</v>
      </c>
      <c r="Y66" s="23">
        <f t="shared" si="11"/>
        <v>0</v>
      </c>
    </row>
    <row r="67" spans="1:25" x14ac:dyDescent="0.2">
      <c r="A67" s="25" t="s">
        <v>178</v>
      </c>
      <c r="B67" s="22">
        <v>70</v>
      </c>
      <c r="C67" s="22">
        <v>63</v>
      </c>
      <c r="D67" s="22">
        <f t="shared" si="1"/>
        <v>7</v>
      </c>
      <c r="E67" s="22">
        <f t="shared" si="12"/>
        <v>1</v>
      </c>
      <c r="F67" s="23">
        <v>17</v>
      </c>
      <c r="G67" s="23">
        <v>15</v>
      </c>
      <c r="H67" s="23">
        <f t="shared" si="2"/>
        <v>2</v>
      </c>
      <c r="I67" s="23">
        <f t="shared" si="3"/>
        <v>1</v>
      </c>
      <c r="J67" s="22">
        <v>2</v>
      </c>
      <c r="K67" s="22">
        <v>8</v>
      </c>
      <c r="L67" s="22">
        <f t="shared" si="4"/>
        <v>-6</v>
      </c>
      <c r="M67" s="22">
        <f t="shared" si="5"/>
        <v>1</v>
      </c>
      <c r="N67" s="23">
        <v>73</v>
      </c>
      <c r="O67" s="23">
        <v>82</v>
      </c>
      <c r="P67" s="23">
        <f t="shared" si="6"/>
        <v>-9</v>
      </c>
      <c r="Q67" s="23">
        <f t="shared" si="7"/>
        <v>0</v>
      </c>
      <c r="R67" s="22">
        <v>56</v>
      </c>
      <c r="S67" s="22">
        <v>45</v>
      </c>
      <c r="T67" s="22">
        <f t="shared" si="8"/>
        <v>11</v>
      </c>
      <c r="U67" s="22">
        <f t="shared" si="9"/>
        <v>1</v>
      </c>
      <c r="V67" s="23">
        <v>50</v>
      </c>
      <c r="W67" s="23">
        <v>27</v>
      </c>
      <c r="X67" s="23">
        <f t="shared" si="10"/>
        <v>23</v>
      </c>
      <c r="Y67" s="23">
        <f t="shared" si="11"/>
        <v>1</v>
      </c>
    </row>
    <row r="68" spans="1:25" x14ac:dyDescent="0.2">
      <c r="A68" s="25" t="s">
        <v>178</v>
      </c>
      <c r="B68" s="22">
        <v>65</v>
      </c>
      <c r="C68" s="22">
        <v>55</v>
      </c>
      <c r="D68" s="22">
        <f t="shared" ref="D68:D114" si="13">B68-C68</f>
        <v>10</v>
      </c>
      <c r="E68" s="22">
        <f t="shared" si="12"/>
        <v>1</v>
      </c>
      <c r="F68" s="23">
        <v>6</v>
      </c>
      <c r="G68" s="23">
        <v>17</v>
      </c>
      <c r="H68" s="23">
        <f t="shared" ref="H68:H114" si="14">F68-G68</f>
        <v>-11</v>
      </c>
      <c r="I68" s="23">
        <f t="shared" ref="I68:I114" si="15">IF(F68&gt;=G68,1,0)</f>
        <v>0</v>
      </c>
      <c r="J68" s="22">
        <v>1</v>
      </c>
      <c r="K68" s="22">
        <v>4</v>
      </c>
      <c r="L68" s="22">
        <f t="shared" ref="L68:L114" si="16">J68-K68</f>
        <v>-3</v>
      </c>
      <c r="M68" s="22">
        <f t="shared" ref="M68:M114" si="17">IF(J68&lt;=K68,1,0)</f>
        <v>1</v>
      </c>
      <c r="N68" s="23">
        <v>81</v>
      </c>
      <c r="O68" s="23">
        <v>80</v>
      </c>
      <c r="P68" s="23">
        <f t="shared" ref="P68:P114" si="18">N68-O68</f>
        <v>1</v>
      </c>
      <c r="Q68" s="23">
        <f t="shared" ref="Q68:Q114" si="19">IF(N68&gt;=O68,1,0)</f>
        <v>1</v>
      </c>
      <c r="R68" s="22">
        <v>68</v>
      </c>
      <c r="S68" s="22">
        <v>50</v>
      </c>
      <c r="T68" s="22">
        <f t="shared" ref="T68:T114" si="20">R68-S68</f>
        <v>18</v>
      </c>
      <c r="U68" s="22">
        <f t="shared" ref="U68:U114" si="21">IF(R68&gt;=S68,1,0)</f>
        <v>1</v>
      </c>
      <c r="V68" s="23">
        <v>43</v>
      </c>
      <c r="W68" s="23">
        <v>0</v>
      </c>
      <c r="X68" s="23">
        <f t="shared" ref="X68:X114" si="22">V68-W68</f>
        <v>43</v>
      </c>
      <c r="Y68" s="23">
        <f t="shared" ref="Y68:Y114" si="23">IF(V68&gt;=W68,1,0)</f>
        <v>1</v>
      </c>
    </row>
    <row r="69" spans="1:25" x14ac:dyDescent="0.2">
      <c r="A69" s="25" t="s">
        <v>179</v>
      </c>
      <c r="B69" s="22">
        <v>70</v>
      </c>
      <c r="C69" s="22">
        <v>56</v>
      </c>
      <c r="D69" s="22">
        <f t="shared" si="13"/>
        <v>14</v>
      </c>
      <c r="E69" s="22">
        <f t="shared" si="12"/>
        <v>1</v>
      </c>
      <c r="F69" s="23">
        <v>10</v>
      </c>
      <c r="G69" s="23">
        <v>10</v>
      </c>
      <c r="H69" s="23">
        <f t="shared" si="14"/>
        <v>0</v>
      </c>
      <c r="I69" s="23">
        <f t="shared" si="15"/>
        <v>1</v>
      </c>
      <c r="J69" s="22">
        <v>3</v>
      </c>
      <c r="K69" s="22">
        <v>6</v>
      </c>
      <c r="L69" s="22">
        <f t="shared" si="16"/>
        <v>-3</v>
      </c>
      <c r="M69" s="22">
        <f t="shared" si="17"/>
        <v>1</v>
      </c>
      <c r="N69" s="23">
        <v>74</v>
      </c>
      <c r="O69" s="23">
        <v>69</v>
      </c>
      <c r="P69" s="23">
        <f t="shared" si="18"/>
        <v>5</v>
      </c>
      <c r="Q69" s="23">
        <f t="shared" si="19"/>
        <v>1</v>
      </c>
      <c r="R69" s="22">
        <v>57</v>
      </c>
      <c r="S69" s="22">
        <v>41</v>
      </c>
      <c r="T69" s="22">
        <f t="shared" si="20"/>
        <v>16</v>
      </c>
      <c r="U69" s="22">
        <f t="shared" si="21"/>
        <v>1</v>
      </c>
      <c r="V69" s="23">
        <v>37</v>
      </c>
      <c r="W69" s="23">
        <v>50</v>
      </c>
      <c r="X69" s="23">
        <f t="shared" si="22"/>
        <v>-13</v>
      </c>
      <c r="Y69" s="23">
        <f t="shared" si="23"/>
        <v>0</v>
      </c>
    </row>
    <row r="70" spans="1:25" x14ac:dyDescent="0.2">
      <c r="A70" s="25" t="s">
        <v>179</v>
      </c>
      <c r="B70" s="22">
        <v>63</v>
      </c>
      <c r="C70" s="22">
        <v>61</v>
      </c>
      <c r="D70" s="22">
        <f t="shared" si="13"/>
        <v>2</v>
      </c>
      <c r="E70" s="22">
        <f t="shared" si="12"/>
        <v>1</v>
      </c>
      <c r="F70" s="23">
        <v>10</v>
      </c>
      <c r="G70" s="23">
        <v>5</v>
      </c>
      <c r="H70" s="23">
        <f t="shared" si="14"/>
        <v>5</v>
      </c>
      <c r="I70" s="23">
        <f t="shared" si="15"/>
        <v>1</v>
      </c>
      <c r="J70" s="22">
        <v>3</v>
      </c>
      <c r="K70" s="22">
        <v>5</v>
      </c>
      <c r="L70" s="22">
        <f t="shared" si="16"/>
        <v>-2</v>
      </c>
      <c r="M70" s="22">
        <f t="shared" si="17"/>
        <v>1</v>
      </c>
      <c r="N70" s="23">
        <v>77</v>
      </c>
      <c r="O70" s="23">
        <v>72</v>
      </c>
      <c r="P70" s="23">
        <f t="shared" si="18"/>
        <v>5</v>
      </c>
      <c r="Q70" s="23">
        <f t="shared" si="19"/>
        <v>1</v>
      </c>
      <c r="R70" s="22">
        <v>59</v>
      </c>
      <c r="S70" s="22">
        <v>31</v>
      </c>
      <c r="T70" s="22">
        <f t="shared" si="20"/>
        <v>28</v>
      </c>
      <c r="U70" s="22">
        <f t="shared" si="21"/>
        <v>1</v>
      </c>
      <c r="V70" s="23">
        <v>56</v>
      </c>
      <c r="W70" s="23">
        <v>50</v>
      </c>
      <c r="X70" s="23">
        <f t="shared" si="22"/>
        <v>6</v>
      </c>
      <c r="Y70" s="23">
        <f t="shared" si="23"/>
        <v>1</v>
      </c>
    </row>
    <row r="71" spans="1:25" x14ac:dyDescent="0.2">
      <c r="A71" s="25" t="s">
        <v>179</v>
      </c>
      <c r="B71" s="22">
        <v>65</v>
      </c>
      <c r="C71" s="22">
        <v>60</v>
      </c>
      <c r="D71" s="22">
        <f t="shared" si="13"/>
        <v>5</v>
      </c>
      <c r="E71" s="22">
        <f t="shared" si="12"/>
        <v>1</v>
      </c>
      <c r="F71" s="23">
        <v>10</v>
      </c>
      <c r="G71" s="23">
        <v>9</v>
      </c>
      <c r="H71" s="23">
        <f t="shared" si="14"/>
        <v>1</v>
      </c>
      <c r="I71" s="23">
        <f t="shared" si="15"/>
        <v>1</v>
      </c>
      <c r="J71" s="22">
        <v>1</v>
      </c>
      <c r="K71" s="22">
        <v>1</v>
      </c>
      <c r="L71" s="22">
        <f t="shared" si="16"/>
        <v>0</v>
      </c>
      <c r="M71" s="22">
        <f t="shared" si="17"/>
        <v>1</v>
      </c>
      <c r="N71" s="23">
        <v>79</v>
      </c>
      <c r="O71" s="23">
        <v>77</v>
      </c>
      <c r="P71" s="23">
        <f t="shared" si="18"/>
        <v>2</v>
      </c>
      <c r="Q71" s="23">
        <f t="shared" si="19"/>
        <v>1</v>
      </c>
      <c r="R71" s="22">
        <v>69</v>
      </c>
      <c r="S71" s="22">
        <v>62</v>
      </c>
      <c r="T71" s="22">
        <f t="shared" si="20"/>
        <v>7</v>
      </c>
      <c r="U71" s="22">
        <f t="shared" si="21"/>
        <v>1</v>
      </c>
      <c r="V71" s="23">
        <v>29</v>
      </c>
      <c r="W71" s="23">
        <v>25</v>
      </c>
      <c r="X71" s="23">
        <f t="shared" si="22"/>
        <v>4</v>
      </c>
      <c r="Y71" s="23">
        <f t="shared" si="23"/>
        <v>1</v>
      </c>
    </row>
    <row r="72" spans="1:25" x14ac:dyDescent="0.2">
      <c r="A72" s="25" t="s">
        <v>179</v>
      </c>
      <c r="B72" s="22">
        <v>70</v>
      </c>
      <c r="C72" s="22">
        <v>72</v>
      </c>
      <c r="D72" s="22">
        <f t="shared" si="13"/>
        <v>-2</v>
      </c>
      <c r="E72" s="22">
        <f t="shared" si="12"/>
        <v>0</v>
      </c>
      <c r="F72" s="23">
        <v>39</v>
      </c>
      <c r="G72" s="23">
        <v>15</v>
      </c>
      <c r="H72" s="23">
        <f t="shared" si="14"/>
        <v>24</v>
      </c>
      <c r="I72" s="23">
        <f t="shared" si="15"/>
        <v>1</v>
      </c>
      <c r="J72" s="22">
        <v>2</v>
      </c>
      <c r="K72" s="22">
        <v>1</v>
      </c>
      <c r="L72" s="22">
        <f t="shared" si="16"/>
        <v>1</v>
      </c>
      <c r="M72" s="22">
        <f t="shared" si="17"/>
        <v>0</v>
      </c>
      <c r="N72" s="23">
        <v>88</v>
      </c>
      <c r="O72" s="23">
        <v>67</v>
      </c>
      <c r="P72" s="23">
        <f t="shared" si="18"/>
        <v>21</v>
      </c>
      <c r="Q72" s="23">
        <f t="shared" si="19"/>
        <v>1</v>
      </c>
      <c r="R72" s="22">
        <v>67</v>
      </c>
      <c r="S72" s="22">
        <v>54</v>
      </c>
      <c r="T72" s="22">
        <f t="shared" si="20"/>
        <v>13</v>
      </c>
      <c r="U72" s="22">
        <f t="shared" si="21"/>
        <v>1</v>
      </c>
      <c r="V72" s="23">
        <v>44</v>
      </c>
      <c r="W72" s="23">
        <v>100</v>
      </c>
      <c r="X72" s="23">
        <f t="shared" si="22"/>
        <v>-56</v>
      </c>
      <c r="Y72" s="23">
        <f t="shared" si="23"/>
        <v>0</v>
      </c>
    </row>
    <row r="73" spans="1:25" x14ac:dyDescent="0.2">
      <c r="A73" s="19">
        <v>2013</v>
      </c>
      <c r="B73" s="22">
        <v>64</v>
      </c>
      <c r="C73" s="22">
        <v>65</v>
      </c>
      <c r="D73" s="22">
        <f t="shared" si="13"/>
        <v>-1</v>
      </c>
      <c r="E73" s="22">
        <f t="shared" si="12"/>
        <v>0</v>
      </c>
      <c r="F73" s="23">
        <v>9</v>
      </c>
      <c r="G73" s="23">
        <v>4</v>
      </c>
      <c r="H73" s="23">
        <f t="shared" si="14"/>
        <v>5</v>
      </c>
      <c r="I73" s="23">
        <f t="shared" si="15"/>
        <v>1</v>
      </c>
      <c r="J73" s="22">
        <v>2</v>
      </c>
      <c r="K73" s="22">
        <v>4</v>
      </c>
      <c r="L73" s="22">
        <f t="shared" si="16"/>
        <v>-2</v>
      </c>
      <c r="M73" s="22">
        <f t="shared" si="17"/>
        <v>1</v>
      </c>
      <c r="N73" s="23">
        <v>72</v>
      </c>
      <c r="O73" s="23">
        <v>59</v>
      </c>
      <c r="P73" s="23">
        <f t="shared" si="18"/>
        <v>13</v>
      </c>
      <c r="Q73" s="23">
        <f t="shared" si="19"/>
        <v>1</v>
      </c>
      <c r="R73" s="22">
        <v>42</v>
      </c>
      <c r="S73" s="22">
        <v>41</v>
      </c>
      <c r="T73" s="22">
        <f t="shared" si="20"/>
        <v>1</v>
      </c>
      <c r="U73" s="22">
        <f t="shared" si="21"/>
        <v>1</v>
      </c>
      <c r="V73" s="23">
        <v>41</v>
      </c>
      <c r="W73" s="23">
        <v>31</v>
      </c>
      <c r="X73" s="23">
        <f t="shared" si="22"/>
        <v>10</v>
      </c>
      <c r="Y73" s="23">
        <f t="shared" si="23"/>
        <v>1</v>
      </c>
    </row>
    <row r="74" spans="1:25" x14ac:dyDescent="0.2">
      <c r="A74" s="25" t="s">
        <v>178</v>
      </c>
      <c r="B74" s="22">
        <v>69</v>
      </c>
      <c r="C74" s="22">
        <v>60</v>
      </c>
      <c r="D74" s="22">
        <f t="shared" si="13"/>
        <v>9</v>
      </c>
      <c r="E74" s="22">
        <f t="shared" si="12"/>
        <v>1</v>
      </c>
      <c r="F74" s="23">
        <v>22</v>
      </c>
      <c r="G74" s="23">
        <v>4</v>
      </c>
      <c r="H74" s="23">
        <f t="shared" si="14"/>
        <v>18</v>
      </c>
      <c r="I74" s="23">
        <f t="shared" si="15"/>
        <v>1</v>
      </c>
      <c r="J74" s="22">
        <v>2</v>
      </c>
      <c r="K74" s="22">
        <v>4</v>
      </c>
      <c r="L74" s="22">
        <f t="shared" si="16"/>
        <v>-2</v>
      </c>
      <c r="M74" s="22">
        <f t="shared" si="17"/>
        <v>1</v>
      </c>
      <c r="N74" s="23">
        <v>83</v>
      </c>
      <c r="O74" s="23">
        <v>72</v>
      </c>
      <c r="P74" s="23">
        <f t="shared" si="18"/>
        <v>11</v>
      </c>
      <c r="Q74" s="23">
        <f t="shared" si="19"/>
        <v>1</v>
      </c>
      <c r="R74" s="22">
        <v>39</v>
      </c>
      <c r="S74" s="22">
        <v>55</v>
      </c>
      <c r="T74" s="22">
        <f t="shared" si="20"/>
        <v>-16</v>
      </c>
      <c r="U74" s="22">
        <f t="shared" si="21"/>
        <v>0</v>
      </c>
      <c r="V74" s="23">
        <v>20</v>
      </c>
      <c r="W74" s="23">
        <v>29</v>
      </c>
      <c r="X74" s="23">
        <f t="shared" si="22"/>
        <v>-9</v>
      </c>
      <c r="Y74" s="23">
        <f t="shared" si="23"/>
        <v>0</v>
      </c>
    </row>
    <row r="75" spans="1:25" x14ac:dyDescent="0.2">
      <c r="A75" s="25" t="s">
        <v>178</v>
      </c>
      <c r="B75" s="22">
        <v>70</v>
      </c>
      <c r="C75" s="22">
        <v>55</v>
      </c>
      <c r="D75" s="22">
        <f t="shared" si="13"/>
        <v>15</v>
      </c>
      <c r="E75" s="22">
        <f t="shared" si="12"/>
        <v>1</v>
      </c>
      <c r="F75" s="23">
        <v>20</v>
      </c>
      <c r="G75" s="23">
        <v>9</v>
      </c>
      <c r="H75" s="23">
        <f t="shared" si="14"/>
        <v>11</v>
      </c>
      <c r="I75" s="23">
        <f t="shared" si="15"/>
        <v>1</v>
      </c>
      <c r="J75" s="22">
        <v>1</v>
      </c>
      <c r="K75" s="22">
        <v>11</v>
      </c>
      <c r="L75" s="22">
        <f t="shared" si="16"/>
        <v>-10</v>
      </c>
      <c r="M75" s="22">
        <f t="shared" si="17"/>
        <v>1</v>
      </c>
      <c r="N75" s="23">
        <v>76</v>
      </c>
      <c r="O75" s="23">
        <v>75</v>
      </c>
      <c r="P75" s="23">
        <f t="shared" si="18"/>
        <v>1</v>
      </c>
      <c r="Q75" s="23">
        <f t="shared" si="19"/>
        <v>1</v>
      </c>
      <c r="R75" s="22">
        <v>71</v>
      </c>
      <c r="S75" s="22">
        <v>47</v>
      </c>
      <c r="T75" s="22">
        <f t="shared" si="20"/>
        <v>24</v>
      </c>
      <c r="U75" s="22">
        <f t="shared" si="21"/>
        <v>1</v>
      </c>
      <c r="V75" s="23">
        <v>38</v>
      </c>
      <c r="W75" s="23">
        <v>14</v>
      </c>
      <c r="X75" s="23">
        <f t="shared" si="22"/>
        <v>24</v>
      </c>
      <c r="Y75" s="23">
        <f t="shared" si="23"/>
        <v>1</v>
      </c>
    </row>
    <row r="76" spans="1:25" x14ac:dyDescent="0.2">
      <c r="A76" s="25" t="s">
        <v>179</v>
      </c>
      <c r="B76" s="22">
        <v>61</v>
      </c>
      <c r="C76" s="22">
        <v>53</v>
      </c>
      <c r="D76" s="22">
        <f t="shared" si="13"/>
        <v>8</v>
      </c>
      <c r="E76" s="22">
        <f t="shared" si="12"/>
        <v>1</v>
      </c>
      <c r="F76" s="23">
        <v>16</v>
      </c>
      <c r="G76" s="23">
        <v>6</v>
      </c>
      <c r="H76" s="23">
        <f t="shared" si="14"/>
        <v>10</v>
      </c>
      <c r="I76" s="23">
        <f t="shared" si="15"/>
        <v>1</v>
      </c>
      <c r="J76" s="22">
        <v>1</v>
      </c>
      <c r="K76" s="22">
        <v>4</v>
      </c>
      <c r="L76" s="22">
        <f t="shared" si="16"/>
        <v>-3</v>
      </c>
      <c r="M76" s="22">
        <f t="shared" si="17"/>
        <v>1</v>
      </c>
      <c r="N76" s="23">
        <v>78</v>
      </c>
      <c r="O76" s="23">
        <v>63</v>
      </c>
      <c r="P76" s="23">
        <f t="shared" si="18"/>
        <v>15</v>
      </c>
      <c r="Q76" s="23">
        <f t="shared" si="19"/>
        <v>1</v>
      </c>
      <c r="R76" s="22">
        <v>60</v>
      </c>
      <c r="S76" s="22">
        <v>57</v>
      </c>
      <c r="T76" s="22">
        <f t="shared" si="20"/>
        <v>3</v>
      </c>
      <c r="U76" s="22">
        <f t="shared" si="21"/>
        <v>1</v>
      </c>
      <c r="V76" s="23">
        <v>40</v>
      </c>
      <c r="W76" s="23">
        <v>100</v>
      </c>
      <c r="X76" s="23">
        <f t="shared" si="22"/>
        <v>-60</v>
      </c>
      <c r="Y76" s="23">
        <f t="shared" si="23"/>
        <v>0</v>
      </c>
    </row>
    <row r="77" spans="1:25" x14ac:dyDescent="0.2">
      <c r="A77" s="25" t="s">
        <v>179</v>
      </c>
      <c r="B77" s="22">
        <v>72</v>
      </c>
      <c r="C77" s="22">
        <v>68</v>
      </c>
      <c r="D77" s="22">
        <f t="shared" si="13"/>
        <v>4</v>
      </c>
      <c r="E77" s="22">
        <f t="shared" si="12"/>
        <v>1</v>
      </c>
      <c r="F77" s="23">
        <v>12</v>
      </c>
      <c r="G77" s="23">
        <v>8</v>
      </c>
      <c r="H77" s="23">
        <f t="shared" si="14"/>
        <v>4</v>
      </c>
      <c r="I77" s="23">
        <f t="shared" si="15"/>
        <v>1</v>
      </c>
      <c r="J77" s="22">
        <v>0</v>
      </c>
      <c r="K77" s="22">
        <v>2</v>
      </c>
      <c r="L77" s="22">
        <f t="shared" si="16"/>
        <v>-2</v>
      </c>
      <c r="M77" s="22">
        <f t="shared" si="17"/>
        <v>1</v>
      </c>
      <c r="N77" s="23">
        <v>87</v>
      </c>
      <c r="O77" s="23">
        <v>64</v>
      </c>
      <c r="P77" s="23">
        <f t="shared" si="18"/>
        <v>23</v>
      </c>
      <c r="Q77" s="23">
        <f t="shared" si="19"/>
        <v>1</v>
      </c>
      <c r="R77" s="22">
        <v>46</v>
      </c>
      <c r="S77" s="22">
        <v>52</v>
      </c>
      <c r="T77" s="22">
        <f t="shared" si="20"/>
        <v>-6</v>
      </c>
      <c r="U77" s="22">
        <f t="shared" si="21"/>
        <v>0</v>
      </c>
      <c r="V77" s="23">
        <v>38</v>
      </c>
      <c r="W77" s="23">
        <v>0</v>
      </c>
      <c r="X77" s="23">
        <f t="shared" si="22"/>
        <v>38</v>
      </c>
      <c r="Y77" s="23">
        <f t="shared" si="23"/>
        <v>1</v>
      </c>
    </row>
    <row r="78" spans="1:25" x14ac:dyDescent="0.2">
      <c r="A78" s="25" t="s">
        <v>179</v>
      </c>
      <c r="B78" s="22">
        <v>68</v>
      </c>
      <c r="C78" s="22">
        <v>57</v>
      </c>
      <c r="D78" s="22">
        <f t="shared" si="13"/>
        <v>11</v>
      </c>
      <c r="E78" s="22">
        <f t="shared" si="12"/>
        <v>1</v>
      </c>
      <c r="F78" s="23">
        <v>30</v>
      </c>
      <c r="G78" s="23">
        <v>9</v>
      </c>
      <c r="H78" s="23">
        <f t="shared" si="14"/>
        <v>21</v>
      </c>
      <c r="I78" s="23">
        <f t="shared" si="15"/>
        <v>1</v>
      </c>
      <c r="J78" s="22">
        <v>9</v>
      </c>
      <c r="K78" s="22">
        <v>3</v>
      </c>
      <c r="L78" s="22">
        <f t="shared" si="16"/>
        <v>6</v>
      </c>
      <c r="M78" s="22">
        <f t="shared" si="17"/>
        <v>0</v>
      </c>
      <c r="N78" s="23">
        <v>90</v>
      </c>
      <c r="O78" s="23">
        <v>77</v>
      </c>
      <c r="P78" s="23">
        <f t="shared" si="18"/>
        <v>13</v>
      </c>
      <c r="Q78" s="23">
        <f t="shared" si="19"/>
        <v>1</v>
      </c>
      <c r="R78" s="22">
        <v>36</v>
      </c>
      <c r="S78" s="22">
        <v>47</v>
      </c>
      <c r="T78" s="22">
        <f t="shared" si="20"/>
        <v>-11</v>
      </c>
      <c r="U78" s="22">
        <f t="shared" si="21"/>
        <v>0</v>
      </c>
      <c r="V78" s="23">
        <v>30</v>
      </c>
      <c r="W78" s="23">
        <v>0</v>
      </c>
      <c r="X78" s="23">
        <f t="shared" si="22"/>
        <v>30</v>
      </c>
      <c r="Y78" s="23">
        <f t="shared" si="23"/>
        <v>1</v>
      </c>
    </row>
    <row r="79" spans="1:25" x14ac:dyDescent="0.2">
      <c r="A79" s="25" t="s">
        <v>179</v>
      </c>
      <c r="B79" s="22">
        <v>69</v>
      </c>
      <c r="C79" s="22">
        <v>59</v>
      </c>
      <c r="D79" s="22">
        <f t="shared" si="13"/>
        <v>10</v>
      </c>
      <c r="E79" s="22">
        <f t="shared" si="12"/>
        <v>1</v>
      </c>
      <c r="F79" s="23">
        <v>14</v>
      </c>
      <c r="G79" s="23">
        <v>11</v>
      </c>
      <c r="H79" s="23">
        <f t="shared" si="14"/>
        <v>3</v>
      </c>
      <c r="I79" s="23">
        <f t="shared" si="15"/>
        <v>1</v>
      </c>
      <c r="J79" s="22">
        <v>3</v>
      </c>
      <c r="K79" s="22">
        <v>9</v>
      </c>
      <c r="L79" s="22">
        <f t="shared" si="16"/>
        <v>-6</v>
      </c>
      <c r="M79" s="22">
        <f t="shared" si="17"/>
        <v>1</v>
      </c>
      <c r="N79" s="23">
        <v>77</v>
      </c>
      <c r="O79" s="23">
        <v>72</v>
      </c>
      <c r="P79" s="23">
        <f t="shared" si="18"/>
        <v>5</v>
      </c>
      <c r="Q79" s="23">
        <f t="shared" si="19"/>
        <v>1</v>
      </c>
      <c r="R79" s="22">
        <v>55</v>
      </c>
      <c r="S79" s="22">
        <v>48</v>
      </c>
      <c r="T79" s="22">
        <f t="shared" si="20"/>
        <v>7</v>
      </c>
      <c r="U79" s="22">
        <f t="shared" si="21"/>
        <v>1</v>
      </c>
      <c r="V79" s="23">
        <v>45</v>
      </c>
      <c r="W79" s="23">
        <v>43</v>
      </c>
      <c r="X79" s="23">
        <f t="shared" si="22"/>
        <v>2</v>
      </c>
      <c r="Y79" s="23">
        <f t="shared" si="23"/>
        <v>1</v>
      </c>
    </row>
    <row r="80" spans="1:25" x14ac:dyDescent="0.2">
      <c r="A80" s="19">
        <v>2012</v>
      </c>
      <c r="B80" s="22">
        <v>69</v>
      </c>
      <c r="C80" s="22">
        <v>56</v>
      </c>
      <c r="D80" s="22">
        <f t="shared" si="13"/>
        <v>13</v>
      </c>
      <c r="E80" s="22">
        <f t="shared" si="12"/>
        <v>1</v>
      </c>
      <c r="F80" s="23">
        <v>12</v>
      </c>
      <c r="G80" s="23">
        <v>16</v>
      </c>
      <c r="H80" s="23">
        <f t="shared" si="14"/>
        <v>-4</v>
      </c>
      <c r="I80" s="23">
        <f t="shared" si="15"/>
        <v>0</v>
      </c>
      <c r="J80" s="22">
        <v>3</v>
      </c>
      <c r="K80" s="22">
        <v>1</v>
      </c>
      <c r="L80" s="22">
        <f t="shared" si="16"/>
        <v>2</v>
      </c>
      <c r="M80" s="22">
        <f t="shared" si="17"/>
        <v>0</v>
      </c>
      <c r="N80" s="23">
        <v>76</v>
      </c>
      <c r="O80" s="23">
        <v>69</v>
      </c>
      <c r="P80" s="23">
        <f t="shared" si="18"/>
        <v>7</v>
      </c>
      <c r="Q80" s="23">
        <f t="shared" si="19"/>
        <v>1</v>
      </c>
      <c r="R80" s="22">
        <v>49</v>
      </c>
      <c r="S80" s="22">
        <v>48</v>
      </c>
      <c r="T80" s="22">
        <f t="shared" si="20"/>
        <v>1</v>
      </c>
      <c r="U80" s="22">
        <f t="shared" si="21"/>
        <v>1</v>
      </c>
      <c r="V80" s="23">
        <v>33</v>
      </c>
      <c r="W80" s="23">
        <v>29</v>
      </c>
      <c r="X80" s="23">
        <f t="shared" si="22"/>
        <v>4</v>
      </c>
      <c r="Y80" s="23">
        <f t="shared" si="23"/>
        <v>1</v>
      </c>
    </row>
    <row r="81" spans="1:25" x14ac:dyDescent="0.2">
      <c r="A81" s="25" t="s">
        <v>178</v>
      </c>
      <c r="B81" s="22">
        <v>64</v>
      </c>
      <c r="C81" s="22">
        <v>63</v>
      </c>
      <c r="D81" s="22">
        <f t="shared" si="13"/>
        <v>1</v>
      </c>
      <c r="E81" s="22">
        <f t="shared" si="12"/>
        <v>1</v>
      </c>
      <c r="F81" s="23">
        <v>12</v>
      </c>
      <c r="G81" s="23">
        <v>9</v>
      </c>
      <c r="H81" s="23">
        <f t="shared" si="14"/>
        <v>3</v>
      </c>
      <c r="I81" s="23">
        <f t="shared" si="15"/>
        <v>1</v>
      </c>
      <c r="J81" s="22">
        <v>0</v>
      </c>
      <c r="K81" s="22">
        <v>2</v>
      </c>
      <c r="L81" s="22">
        <f t="shared" si="16"/>
        <v>-2</v>
      </c>
      <c r="M81" s="22">
        <f t="shared" si="17"/>
        <v>1</v>
      </c>
      <c r="N81" s="23">
        <v>75</v>
      </c>
      <c r="O81" s="23">
        <v>71</v>
      </c>
      <c r="P81" s="23">
        <f t="shared" si="18"/>
        <v>4</v>
      </c>
      <c r="Q81" s="23">
        <f t="shared" si="19"/>
        <v>1</v>
      </c>
      <c r="R81" s="22">
        <v>72</v>
      </c>
      <c r="S81" s="22">
        <v>57</v>
      </c>
      <c r="T81" s="22">
        <f t="shared" si="20"/>
        <v>15</v>
      </c>
      <c r="U81" s="22">
        <f t="shared" si="21"/>
        <v>1</v>
      </c>
      <c r="V81" s="23">
        <v>27</v>
      </c>
      <c r="W81" s="23">
        <v>33</v>
      </c>
      <c r="X81" s="23">
        <f t="shared" si="22"/>
        <v>-6</v>
      </c>
      <c r="Y81" s="23">
        <f t="shared" si="23"/>
        <v>0</v>
      </c>
    </row>
    <row r="82" spans="1:25" x14ac:dyDescent="0.2">
      <c r="A82" s="25" t="s">
        <v>178</v>
      </c>
      <c r="B82" s="22">
        <v>60</v>
      </c>
      <c r="C82" s="22">
        <v>63</v>
      </c>
      <c r="D82" s="22">
        <f t="shared" si="13"/>
        <v>-3</v>
      </c>
      <c r="E82" s="22">
        <f t="shared" si="12"/>
        <v>0</v>
      </c>
      <c r="F82" s="23">
        <v>9</v>
      </c>
      <c r="G82" s="23">
        <v>11</v>
      </c>
      <c r="H82" s="23">
        <f t="shared" si="14"/>
        <v>-2</v>
      </c>
      <c r="I82" s="23">
        <f t="shared" si="15"/>
        <v>0</v>
      </c>
      <c r="J82" s="22">
        <v>2</v>
      </c>
      <c r="K82" s="22">
        <v>2</v>
      </c>
      <c r="L82" s="22">
        <f t="shared" si="16"/>
        <v>0</v>
      </c>
      <c r="M82" s="22">
        <f t="shared" si="17"/>
        <v>1</v>
      </c>
      <c r="N82" s="23">
        <v>75</v>
      </c>
      <c r="O82" s="23">
        <v>75</v>
      </c>
      <c r="P82" s="23">
        <f t="shared" si="18"/>
        <v>0</v>
      </c>
      <c r="Q82" s="23">
        <f t="shared" si="19"/>
        <v>1</v>
      </c>
      <c r="R82" s="22">
        <v>64</v>
      </c>
      <c r="S82" s="22">
        <v>32</v>
      </c>
      <c r="T82" s="22">
        <f t="shared" si="20"/>
        <v>32</v>
      </c>
      <c r="U82" s="22">
        <f t="shared" si="21"/>
        <v>1</v>
      </c>
      <c r="V82" s="23">
        <v>33</v>
      </c>
      <c r="W82" s="23">
        <v>25</v>
      </c>
      <c r="X82" s="23">
        <f t="shared" si="22"/>
        <v>8</v>
      </c>
      <c r="Y82" s="23">
        <f t="shared" si="23"/>
        <v>1</v>
      </c>
    </row>
    <row r="83" spans="1:25" x14ac:dyDescent="0.2">
      <c r="A83" s="25" t="s">
        <v>179</v>
      </c>
      <c r="B83" s="22">
        <v>65</v>
      </c>
      <c r="C83" s="22">
        <v>57</v>
      </c>
      <c r="D83" s="22">
        <f t="shared" si="13"/>
        <v>8</v>
      </c>
      <c r="E83" s="22">
        <f t="shared" si="12"/>
        <v>1</v>
      </c>
      <c r="F83" s="23">
        <v>7</v>
      </c>
      <c r="G83" s="23">
        <v>2</v>
      </c>
      <c r="H83" s="23">
        <f t="shared" si="14"/>
        <v>5</v>
      </c>
      <c r="I83" s="23">
        <f t="shared" si="15"/>
        <v>1</v>
      </c>
      <c r="J83" s="22">
        <v>3</v>
      </c>
      <c r="K83" s="22">
        <v>1</v>
      </c>
      <c r="L83" s="22">
        <f t="shared" si="16"/>
        <v>2</v>
      </c>
      <c r="M83" s="22">
        <f t="shared" si="17"/>
        <v>0</v>
      </c>
      <c r="N83" s="23">
        <v>76</v>
      </c>
      <c r="O83" s="23">
        <v>61</v>
      </c>
      <c r="P83" s="23">
        <f t="shared" si="18"/>
        <v>15</v>
      </c>
      <c r="Q83" s="23">
        <f t="shared" si="19"/>
        <v>1</v>
      </c>
      <c r="R83" s="22">
        <v>59</v>
      </c>
      <c r="S83" s="22">
        <v>45</v>
      </c>
      <c r="T83" s="22">
        <f t="shared" si="20"/>
        <v>14</v>
      </c>
      <c r="U83" s="22">
        <f t="shared" si="21"/>
        <v>1</v>
      </c>
      <c r="V83" s="23">
        <v>56</v>
      </c>
      <c r="W83" s="23">
        <v>13</v>
      </c>
      <c r="X83" s="23">
        <f t="shared" si="22"/>
        <v>43</v>
      </c>
      <c r="Y83" s="23">
        <f t="shared" si="23"/>
        <v>1</v>
      </c>
    </row>
    <row r="84" spans="1:25" x14ac:dyDescent="0.2">
      <c r="A84" s="25" t="s">
        <v>179</v>
      </c>
      <c r="B84" s="22">
        <v>62</v>
      </c>
      <c r="C84" s="22">
        <v>65</v>
      </c>
      <c r="D84" s="22">
        <f t="shared" si="13"/>
        <v>-3</v>
      </c>
      <c r="E84" s="22">
        <f t="shared" si="12"/>
        <v>0</v>
      </c>
      <c r="F84" s="23">
        <v>2</v>
      </c>
      <c r="G84" s="23">
        <v>3</v>
      </c>
      <c r="H84" s="23">
        <f t="shared" si="14"/>
        <v>-1</v>
      </c>
      <c r="I84" s="23">
        <f t="shared" si="15"/>
        <v>0</v>
      </c>
      <c r="J84" s="22">
        <v>0</v>
      </c>
      <c r="K84" s="22">
        <v>2</v>
      </c>
      <c r="L84" s="22">
        <f t="shared" si="16"/>
        <v>-2</v>
      </c>
      <c r="M84" s="22">
        <f t="shared" si="17"/>
        <v>1</v>
      </c>
      <c r="N84" s="23">
        <v>88</v>
      </c>
      <c r="O84" s="23">
        <v>51</v>
      </c>
      <c r="P84" s="23">
        <f t="shared" si="18"/>
        <v>37</v>
      </c>
      <c r="Q84" s="23">
        <f t="shared" si="19"/>
        <v>1</v>
      </c>
      <c r="R84" s="22">
        <v>52</v>
      </c>
      <c r="S84" s="22">
        <v>52</v>
      </c>
      <c r="T84" s="22">
        <f t="shared" si="20"/>
        <v>0</v>
      </c>
      <c r="U84" s="22">
        <f t="shared" si="21"/>
        <v>1</v>
      </c>
      <c r="V84" s="23">
        <v>30</v>
      </c>
      <c r="W84" s="23">
        <v>0</v>
      </c>
      <c r="X84" s="23">
        <f t="shared" si="22"/>
        <v>30</v>
      </c>
      <c r="Y84" s="23">
        <f t="shared" si="23"/>
        <v>1</v>
      </c>
    </row>
    <row r="85" spans="1:25" x14ac:dyDescent="0.2">
      <c r="A85" s="25" t="s">
        <v>179</v>
      </c>
      <c r="B85" s="22">
        <v>61</v>
      </c>
      <c r="C85" s="22">
        <v>68</v>
      </c>
      <c r="D85" s="22">
        <f t="shared" si="13"/>
        <v>-7</v>
      </c>
      <c r="E85" s="22">
        <f t="shared" si="12"/>
        <v>0</v>
      </c>
      <c r="F85" s="23">
        <v>18</v>
      </c>
      <c r="G85" s="23">
        <v>6</v>
      </c>
      <c r="H85" s="23">
        <f t="shared" si="14"/>
        <v>12</v>
      </c>
      <c r="I85" s="23">
        <f t="shared" si="15"/>
        <v>1</v>
      </c>
      <c r="J85" s="22">
        <v>3</v>
      </c>
      <c r="K85" s="22">
        <v>0</v>
      </c>
      <c r="L85" s="22">
        <f t="shared" si="16"/>
        <v>3</v>
      </c>
      <c r="M85" s="22">
        <f t="shared" si="17"/>
        <v>0</v>
      </c>
      <c r="N85" s="23">
        <v>80</v>
      </c>
      <c r="O85" s="23">
        <v>71</v>
      </c>
      <c r="P85" s="23">
        <f t="shared" si="18"/>
        <v>9</v>
      </c>
      <c r="Q85" s="23">
        <f t="shared" si="19"/>
        <v>1</v>
      </c>
      <c r="R85" s="22">
        <v>59</v>
      </c>
      <c r="S85" s="22">
        <v>53</v>
      </c>
      <c r="T85" s="22">
        <f t="shared" si="20"/>
        <v>6</v>
      </c>
      <c r="U85" s="22">
        <f t="shared" si="21"/>
        <v>1</v>
      </c>
      <c r="V85" s="23">
        <v>33</v>
      </c>
      <c r="W85" s="23">
        <v>17</v>
      </c>
      <c r="X85" s="23">
        <f t="shared" si="22"/>
        <v>16</v>
      </c>
      <c r="Y85" s="23">
        <f t="shared" si="23"/>
        <v>1</v>
      </c>
    </row>
    <row r="86" spans="1:25" x14ac:dyDescent="0.2">
      <c r="A86" s="25" t="s">
        <v>179</v>
      </c>
      <c r="B86" s="22">
        <v>63</v>
      </c>
      <c r="C86" s="22">
        <v>63</v>
      </c>
      <c r="D86" s="22">
        <f t="shared" si="13"/>
        <v>0</v>
      </c>
      <c r="E86" s="22">
        <f t="shared" si="12"/>
        <v>1</v>
      </c>
      <c r="F86" s="23">
        <v>17</v>
      </c>
      <c r="G86" s="23">
        <v>10</v>
      </c>
      <c r="H86" s="23">
        <f t="shared" si="14"/>
        <v>7</v>
      </c>
      <c r="I86" s="23">
        <f t="shared" si="15"/>
        <v>1</v>
      </c>
      <c r="J86" s="22">
        <v>0</v>
      </c>
      <c r="K86" s="22">
        <v>4</v>
      </c>
      <c r="L86" s="22">
        <f t="shared" si="16"/>
        <v>-4</v>
      </c>
      <c r="M86" s="22">
        <f t="shared" si="17"/>
        <v>1</v>
      </c>
      <c r="N86" s="23">
        <v>80</v>
      </c>
      <c r="O86" s="23">
        <v>71</v>
      </c>
      <c r="P86" s="23">
        <f t="shared" si="18"/>
        <v>9</v>
      </c>
      <c r="Q86" s="23">
        <f t="shared" si="19"/>
        <v>1</v>
      </c>
      <c r="R86" s="22">
        <v>59</v>
      </c>
      <c r="S86" s="22">
        <v>57</v>
      </c>
      <c r="T86" s="22">
        <f t="shared" si="20"/>
        <v>2</v>
      </c>
      <c r="U86" s="22">
        <f t="shared" si="21"/>
        <v>1</v>
      </c>
      <c r="V86" s="23">
        <v>30</v>
      </c>
      <c r="W86" s="23">
        <v>40</v>
      </c>
      <c r="X86" s="23">
        <f t="shared" si="22"/>
        <v>-10</v>
      </c>
      <c r="Y86" s="23">
        <f t="shared" si="23"/>
        <v>0</v>
      </c>
    </row>
    <row r="87" spans="1:25" x14ac:dyDescent="0.2">
      <c r="A87" s="19" t="s">
        <v>202</v>
      </c>
      <c r="B87" s="22">
        <v>52</v>
      </c>
      <c r="C87" s="22">
        <v>51</v>
      </c>
      <c r="D87" s="22">
        <f t="shared" si="13"/>
        <v>1</v>
      </c>
      <c r="E87" s="22">
        <f t="shared" ref="E87:E114" si="24">IF(B87&gt;=C87,1,0)</f>
        <v>1</v>
      </c>
      <c r="F87" s="23">
        <v>17</v>
      </c>
      <c r="G87" s="23">
        <v>2</v>
      </c>
      <c r="H87" s="23">
        <f t="shared" si="14"/>
        <v>15</v>
      </c>
      <c r="I87" s="23">
        <f t="shared" si="15"/>
        <v>1</v>
      </c>
      <c r="J87" s="22">
        <v>3</v>
      </c>
      <c r="K87" s="22">
        <v>1</v>
      </c>
      <c r="L87" s="22">
        <f t="shared" si="16"/>
        <v>2</v>
      </c>
      <c r="M87" s="22">
        <f t="shared" si="17"/>
        <v>0</v>
      </c>
      <c r="N87" s="23">
        <v>80</v>
      </c>
      <c r="O87" s="23">
        <v>55</v>
      </c>
      <c r="P87" s="23">
        <f t="shared" si="18"/>
        <v>25</v>
      </c>
      <c r="Q87" s="23">
        <f t="shared" si="19"/>
        <v>1</v>
      </c>
      <c r="R87" s="22">
        <v>61</v>
      </c>
      <c r="S87" s="22">
        <v>59</v>
      </c>
      <c r="T87" s="22">
        <f t="shared" si="20"/>
        <v>2</v>
      </c>
      <c r="U87" s="22">
        <f t="shared" si="21"/>
        <v>1</v>
      </c>
      <c r="V87" s="23">
        <v>45</v>
      </c>
      <c r="W87" s="23">
        <v>11</v>
      </c>
      <c r="X87" s="23">
        <f t="shared" si="22"/>
        <v>34</v>
      </c>
      <c r="Y87" s="23">
        <f t="shared" si="23"/>
        <v>1</v>
      </c>
    </row>
    <row r="88" spans="1:25" x14ac:dyDescent="0.2">
      <c r="A88" s="25" t="s">
        <v>178</v>
      </c>
      <c r="B88" s="22">
        <v>58</v>
      </c>
      <c r="C88" s="22">
        <v>59</v>
      </c>
      <c r="D88" s="22">
        <f t="shared" si="13"/>
        <v>-1</v>
      </c>
      <c r="E88" s="22">
        <f t="shared" si="24"/>
        <v>0</v>
      </c>
      <c r="F88" s="23">
        <v>5</v>
      </c>
      <c r="G88" s="23">
        <v>13</v>
      </c>
      <c r="H88" s="23">
        <f t="shared" si="14"/>
        <v>-8</v>
      </c>
      <c r="I88" s="23">
        <f t="shared" si="15"/>
        <v>0</v>
      </c>
      <c r="J88" s="22">
        <v>4</v>
      </c>
      <c r="K88" s="22">
        <v>4</v>
      </c>
      <c r="L88" s="22">
        <f t="shared" si="16"/>
        <v>0</v>
      </c>
      <c r="M88" s="22">
        <f t="shared" si="17"/>
        <v>1</v>
      </c>
      <c r="N88" s="23">
        <v>67</v>
      </c>
      <c r="O88" s="23">
        <v>80</v>
      </c>
      <c r="P88" s="23">
        <f t="shared" si="18"/>
        <v>-13</v>
      </c>
      <c r="Q88" s="23">
        <f t="shared" si="19"/>
        <v>0</v>
      </c>
      <c r="R88" s="22">
        <v>50</v>
      </c>
      <c r="S88" s="22">
        <v>30</v>
      </c>
      <c r="T88" s="22">
        <f t="shared" si="20"/>
        <v>20</v>
      </c>
      <c r="U88" s="22">
        <f t="shared" si="21"/>
        <v>1</v>
      </c>
      <c r="V88" s="23">
        <v>71</v>
      </c>
      <c r="W88" s="23">
        <v>31</v>
      </c>
      <c r="X88" s="23">
        <f t="shared" si="22"/>
        <v>40</v>
      </c>
      <c r="Y88" s="23">
        <f t="shared" si="23"/>
        <v>1</v>
      </c>
    </row>
    <row r="89" spans="1:25" x14ac:dyDescent="0.2">
      <c r="A89" s="25" t="s">
        <v>178</v>
      </c>
      <c r="B89" s="22">
        <v>56</v>
      </c>
      <c r="C89" s="22">
        <v>62</v>
      </c>
      <c r="D89" s="22">
        <f t="shared" si="13"/>
        <v>-6</v>
      </c>
      <c r="E89" s="22">
        <f t="shared" si="24"/>
        <v>0</v>
      </c>
      <c r="F89" s="23">
        <v>13</v>
      </c>
      <c r="G89" s="23">
        <v>12</v>
      </c>
      <c r="H89" s="23">
        <f t="shared" si="14"/>
        <v>1</v>
      </c>
      <c r="I89" s="23">
        <f t="shared" si="15"/>
        <v>1</v>
      </c>
      <c r="J89" s="22">
        <v>1</v>
      </c>
      <c r="K89" s="22">
        <v>1</v>
      </c>
      <c r="L89" s="22">
        <f t="shared" si="16"/>
        <v>0</v>
      </c>
      <c r="M89" s="22">
        <f t="shared" si="17"/>
        <v>1</v>
      </c>
      <c r="N89" s="23">
        <v>87</v>
      </c>
      <c r="O89" s="23">
        <v>71</v>
      </c>
      <c r="P89" s="23">
        <f t="shared" si="18"/>
        <v>16</v>
      </c>
      <c r="Q89" s="23">
        <f t="shared" si="19"/>
        <v>1</v>
      </c>
      <c r="R89" s="22">
        <v>56</v>
      </c>
      <c r="S89" s="22">
        <v>48</v>
      </c>
      <c r="T89" s="22">
        <f t="shared" si="20"/>
        <v>8</v>
      </c>
      <c r="U89" s="22">
        <f t="shared" si="21"/>
        <v>1</v>
      </c>
      <c r="V89" s="23">
        <v>50</v>
      </c>
      <c r="W89" s="23">
        <v>50</v>
      </c>
      <c r="X89" s="23">
        <f t="shared" si="22"/>
        <v>0</v>
      </c>
      <c r="Y89" s="23">
        <f t="shared" si="23"/>
        <v>1</v>
      </c>
    </row>
    <row r="90" spans="1:25" x14ac:dyDescent="0.2">
      <c r="A90" s="25" t="s">
        <v>179</v>
      </c>
      <c r="B90" s="22">
        <v>63</v>
      </c>
      <c r="C90" s="22">
        <v>56</v>
      </c>
      <c r="D90" s="22">
        <f t="shared" si="13"/>
        <v>7</v>
      </c>
      <c r="E90" s="22">
        <f t="shared" si="24"/>
        <v>1</v>
      </c>
      <c r="F90" s="23">
        <v>8</v>
      </c>
      <c r="G90" s="23">
        <v>9</v>
      </c>
      <c r="H90" s="23">
        <f t="shared" si="14"/>
        <v>-1</v>
      </c>
      <c r="I90" s="23">
        <f t="shared" si="15"/>
        <v>0</v>
      </c>
      <c r="J90" s="22">
        <v>3</v>
      </c>
      <c r="K90" s="22">
        <v>4</v>
      </c>
      <c r="L90" s="22">
        <f t="shared" si="16"/>
        <v>-1</v>
      </c>
      <c r="M90" s="22">
        <f t="shared" si="17"/>
        <v>1</v>
      </c>
      <c r="N90" s="23">
        <v>67</v>
      </c>
      <c r="O90" s="23">
        <v>65</v>
      </c>
      <c r="P90" s="23">
        <f t="shared" si="18"/>
        <v>2</v>
      </c>
      <c r="Q90" s="23">
        <f t="shared" si="19"/>
        <v>1</v>
      </c>
      <c r="R90" s="22">
        <v>52</v>
      </c>
      <c r="S90" s="22">
        <v>47</v>
      </c>
      <c r="T90" s="22">
        <f t="shared" si="20"/>
        <v>5</v>
      </c>
      <c r="U90" s="22">
        <f t="shared" si="21"/>
        <v>1</v>
      </c>
      <c r="V90" s="23">
        <v>70</v>
      </c>
      <c r="W90" s="23">
        <v>25</v>
      </c>
      <c r="X90" s="23">
        <f t="shared" si="22"/>
        <v>45</v>
      </c>
      <c r="Y90" s="23">
        <f t="shared" si="23"/>
        <v>1</v>
      </c>
    </row>
    <row r="91" spans="1:25" x14ac:dyDescent="0.2">
      <c r="A91" s="25" t="s">
        <v>179</v>
      </c>
      <c r="B91" s="22">
        <v>57</v>
      </c>
      <c r="C91" s="22">
        <v>63</v>
      </c>
      <c r="D91" s="22">
        <f t="shared" si="13"/>
        <v>-6</v>
      </c>
      <c r="E91" s="22">
        <f t="shared" si="24"/>
        <v>0</v>
      </c>
      <c r="F91" s="23">
        <v>5</v>
      </c>
      <c r="G91" s="23">
        <v>6</v>
      </c>
      <c r="H91" s="23">
        <f t="shared" si="14"/>
        <v>-1</v>
      </c>
      <c r="I91" s="23">
        <f t="shared" si="15"/>
        <v>0</v>
      </c>
      <c r="J91" s="22">
        <v>2</v>
      </c>
      <c r="K91" s="22">
        <v>10</v>
      </c>
      <c r="L91" s="22">
        <f t="shared" si="16"/>
        <v>-8</v>
      </c>
      <c r="M91" s="22">
        <f t="shared" si="17"/>
        <v>1</v>
      </c>
      <c r="N91" s="23">
        <v>76</v>
      </c>
      <c r="O91" s="23">
        <v>65</v>
      </c>
      <c r="P91" s="23">
        <f t="shared" si="18"/>
        <v>11</v>
      </c>
      <c r="Q91" s="23">
        <f t="shared" si="19"/>
        <v>1</v>
      </c>
      <c r="R91" s="22">
        <v>75</v>
      </c>
      <c r="S91" s="22">
        <v>51</v>
      </c>
      <c r="T91" s="22">
        <f t="shared" si="20"/>
        <v>24</v>
      </c>
      <c r="U91" s="22">
        <f t="shared" si="21"/>
        <v>1</v>
      </c>
      <c r="V91" s="23">
        <v>46</v>
      </c>
      <c r="W91" s="23">
        <v>33</v>
      </c>
      <c r="X91" s="23">
        <f t="shared" si="22"/>
        <v>13</v>
      </c>
      <c r="Y91" s="23">
        <f t="shared" si="23"/>
        <v>1</v>
      </c>
    </row>
    <row r="92" spans="1:25" x14ac:dyDescent="0.2">
      <c r="A92" s="25" t="s">
        <v>179</v>
      </c>
      <c r="B92" s="22">
        <v>59</v>
      </c>
      <c r="C92" s="22">
        <v>56</v>
      </c>
      <c r="D92" s="22">
        <f t="shared" si="13"/>
        <v>3</v>
      </c>
      <c r="E92" s="22">
        <f t="shared" si="24"/>
        <v>1</v>
      </c>
      <c r="F92" s="23">
        <v>3</v>
      </c>
      <c r="G92" s="23">
        <v>18</v>
      </c>
      <c r="H92" s="23">
        <f t="shared" si="14"/>
        <v>-15</v>
      </c>
      <c r="I92" s="23">
        <f t="shared" si="15"/>
        <v>0</v>
      </c>
      <c r="J92" s="22">
        <v>5</v>
      </c>
      <c r="K92" s="22">
        <v>8</v>
      </c>
      <c r="L92" s="22">
        <f t="shared" si="16"/>
        <v>-3</v>
      </c>
      <c r="M92" s="22">
        <f t="shared" si="17"/>
        <v>1</v>
      </c>
      <c r="N92" s="23">
        <v>76</v>
      </c>
      <c r="O92" s="23">
        <v>84</v>
      </c>
      <c r="P92" s="23">
        <f t="shared" si="18"/>
        <v>-8</v>
      </c>
      <c r="Q92" s="23">
        <f t="shared" si="19"/>
        <v>0</v>
      </c>
      <c r="R92" s="22">
        <v>53</v>
      </c>
      <c r="S92" s="22">
        <v>51</v>
      </c>
      <c r="T92" s="22">
        <f t="shared" si="20"/>
        <v>2</v>
      </c>
      <c r="U92" s="22">
        <f t="shared" si="21"/>
        <v>1</v>
      </c>
      <c r="V92" s="23">
        <v>30</v>
      </c>
      <c r="W92" s="23">
        <v>20</v>
      </c>
      <c r="X92" s="23">
        <f t="shared" si="22"/>
        <v>10</v>
      </c>
      <c r="Y92" s="23">
        <f t="shared" si="23"/>
        <v>1</v>
      </c>
    </row>
    <row r="93" spans="1:25" x14ac:dyDescent="0.2">
      <c r="A93" s="25" t="s">
        <v>179</v>
      </c>
      <c r="B93" s="22">
        <v>63</v>
      </c>
      <c r="C93" s="22">
        <v>50</v>
      </c>
      <c r="D93" s="22">
        <f t="shared" si="13"/>
        <v>13</v>
      </c>
      <c r="E93" s="22">
        <f t="shared" si="24"/>
        <v>1</v>
      </c>
      <c r="F93" s="23">
        <v>19</v>
      </c>
      <c r="G93" s="23">
        <v>4</v>
      </c>
      <c r="H93" s="23">
        <f t="shared" si="14"/>
        <v>15</v>
      </c>
      <c r="I93" s="23">
        <f t="shared" si="15"/>
        <v>1</v>
      </c>
      <c r="J93" s="22">
        <v>5</v>
      </c>
      <c r="K93" s="22">
        <v>5</v>
      </c>
      <c r="L93" s="22">
        <f t="shared" si="16"/>
        <v>0</v>
      </c>
      <c r="M93" s="22">
        <f t="shared" si="17"/>
        <v>1</v>
      </c>
      <c r="N93" s="23">
        <v>84</v>
      </c>
      <c r="O93" s="23">
        <v>72</v>
      </c>
      <c r="P93" s="23">
        <f t="shared" si="18"/>
        <v>12</v>
      </c>
      <c r="Q93" s="23">
        <f t="shared" si="19"/>
        <v>1</v>
      </c>
      <c r="R93" s="22">
        <v>45</v>
      </c>
      <c r="S93" s="22">
        <v>41</v>
      </c>
      <c r="T93" s="22">
        <f t="shared" si="20"/>
        <v>4</v>
      </c>
      <c r="U93" s="22">
        <f t="shared" si="21"/>
        <v>1</v>
      </c>
      <c r="V93" s="23">
        <v>63</v>
      </c>
      <c r="W93" s="23">
        <v>50</v>
      </c>
      <c r="X93" s="23">
        <f t="shared" si="22"/>
        <v>13</v>
      </c>
      <c r="Y93" s="23">
        <f t="shared" si="23"/>
        <v>1</v>
      </c>
    </row>
    <row r="94" spans="1:25" x14ac:dyDescent="0.2">
      <c r="A94" s="19">
        <v>2013</v>
      </c>
      <c r="B94" s="22">
        <v>64</v>
      </c>
      <c r="C94" s="22">
        <v>68</v>
      </c>
      <c r="D94" s="22">
        <f t="shared" si="13"/>
        <v>-4</v>
      </c>
      <c r="E94" s="22">
        <f t="shared" si="24"/>
        <v>0</v>
      </c>
      <c r="F94" s="23">
        <v>1</v>
      </c>
      <c r="G94" s="23">
        <v>6</v>
      </c>
      <c r="H94" s="23">
        <f t="shared" si="14"/>
        <v>-5</v>
      </c>
      <c r="I94" s="23">
        <f t="shared" si="15"/>
        <v>0</v>
      </c>
      <c r="J94" s="22">
        <v>1</v>
      </c>
      <c r="K94" s="22">
        <v>2</v>
      </c>
      <c r="L94" s="22">
        <f t="shared" si="16"/>
        <v>-1</v>
      </c>
      <c r="M94" s="22">
        <f t="shared" si="17"/>
        <v>1</v>
      </c>
      <c r="N94" s="23">
        <v>65</v>
      </c>
      <c r="O94" s="23">
        <v>58</v>
      </c>
      <c r="P94" s="23">
        <f t="shared" si="18"/>
        <v>7</v>
      </c>
      <c r="Q94" s="23">
        <f t="shared" si="19"/>
        <v>1</v>
      </c>
      <c r="R94" s="22">
        <v>56</v>
      </c>
      <c r="S94" s="22">
        <v>48</v>
      </c>
      <c r="T94" s="22">
        <f t="shared" si="20"/>
        <v>8</v>
      </c>
      <c r="U94" s="22">
        <f t="shared" si="21"/>
        <v>1</v>
      </c>
      <c r="V94" s="23">
        <v>58</v>
      </c>
      <c r="W94" s="23">
        <v>27</v>
      </c>
      <c r="X94" s="23">
        <f t="shared" si="22"/>
        <v>31</v>
      </c>
      <c r="Y94" s="23">
        <f t="shared" si="23"/>
        <v>1</v>
      </c>
    </row>
    <row r="95" spans="1:25" x14ac:dyDescent="0.2">
      <c r="A95" s="25" t="s">
        <v>178</v>
      </c>
      <c r="B95" s="22">
        <v>67</v>
      </c>
      <c r="C95" s="22">
        <v>50</v>
      </c>
      <c r="D95" s="22">
        <f t="shared" si="13"/>
        <v>17</v>
      </c>
      <c r="E95" s="22">
        <f t="shared" si="24"/>
        <v>1</v>
      </c>
      <c r="F95" s="23">
        <v>9</v>
      </c>
      <c r="G95" s="23">
        <v>8</v>
      </c>
      <c r="H95" s="23">
        <f t="shared" si="14"/>
        <v>1</v>
      </c>
      <c r="I95" s="23">
        <f t="shared" si="15"/>
        <v>1</v>
      </c>
      <c r="J95" s="22">
        <v>6</v>
      </c>
      <c r="K95" s="22">
        <v>7</v>
      </c>
      <c r="L95" s="22">
        <f t="shared" si="16"/>
        <v>-1</v>
      </c>
      <c r="M95" s="22">
        <f t="shared" si="17"/>
        <v>1</v>
      </c>
      <c r="N95" s="23">
        <v>69</v>
      </c>
      <c r="O95" s="23">
        <v>71</v>
      </c>
      <c r="P95" s="23">
        <f t="shared" si="18"/>
        <v>-2</v>
      </c>
      <c r="Q95" s="23">
        <f t="shared" si="19"/>
        <v>0</v>
      </c>
      <c r="R95" s="22">
        <v>56</v>
      </c>
      <c r="S95" s="22">
        <v>50</v>
      </c>
      <c r="T95" s="22">
        <f t="shared" si="20"/>
        <v>6</v>
      </c>
      <c r="U95" s="22">
        <f t="shared" si="21"/>
        <v>1</v>
      </c>
      <c r="V95" s="23">
        <v>21</v>
      </c>
      <c r="W95" s="23">
        <v>56</v>
      </c>
      <c r="X95" s="23">
        <f t="shared" si="22"/>
        <v>-35</v>
      </c>
      <c r="Y95" s="23">
        <f t="shared" si="23"/>
        <v>0</v>
      </c>
    </row>
    <row r="96" spans="1:25" x14ac:dyDescent="0.2">
      <c r="A96" s="25" t="s">
        <v>178</v>
      </c>
      <c r="B96" s="22">
        <v>71</v>
      </c>
      <c r="C96" s="22">
        <v>64</v>
      </c>
      <c r="D96" s="22">
        <f t="shared" si="13"/>
        <v>7</v>
      </c>
      <c r="E96" s="22">
        <f t="shared" si="24"/>
        <v>1</v>
      </c>
      <c r="F96" s="23">
        <v>3</v>
      </c>
      <c r="G96" s="23">
        <v>6</v>
      </c>
      <c r="H96" s="23">
        <f t="shared" si="14"/>
        <v>-3</v>
      </c>
      <c r="I96" s="23">
        <f t="shared" si="15"/>
        <v>0</v>
      </c>
      <c r="J96" s="22">
        <v>1</v>
      </c>
      <c r="K96" s="22">
        <v>4</v>
      </c>
      <c r="L96" s="22">
        <f t="shared" si="16"/>
        <v>-3</v>
      </c>
      <c r="M96" s="22">
        <f t="shared" si="17"/>
        <v>1</v>
      </c>
      <c r="N96" s="23">
        <v>76</v>
      </c>
      <c r="O96" s="23">
        <v>71</v>
      </c>
      <c r="P96" s="23">
        <f t="shared" si="18"/>
        <v>5</v>
      </c>
      <c r="Q96" s="23">
        <f t="shared" si="19"/>
        <v>1</v>
      </c>
      <c r="R96" s="22">
        <v>57</v>
      </c>
      <c r="S96" s="22">
        <v>45</v>
      </c>
      <c r="T96" s="22">
        <f t="shared" si="20"/>
        <v>12</v>
      </c>
      <c r="U96" s="22">
        <f t="shared" si="21"/>
        <v>1</v>
      </c>
      <c r="V96" s="23">
        <v>100</v>
      </c>
      <c r="W96" s="23">
        <v>17</v>
      </c>
      <c r="X96" s="23">
        <f t="shared" si="22"/>
        <v>83</v>
      </c>
      <c r="Y96" s="23">
        <f t="shared" si="23"/>
        <v>1</v>
      </c>
    </row>
    <row r="97" spans="1:25" x14ac:dyDescent="0.2">
      <c r="A97" s="25" t="s">
        <v>179</v>
      </c>
      <c r="B97" s="22">
        <v>68</v>
      </c>
      <c r="C97" s="22">
        <v>56</v>
      </c>
      <c r="D97" s="22">
        <f t="shared" si="13"/>
        <v>12</v>
      </c>
      <c r="E97" s="22">
        <f t="shared" si="24"/>
        <v>1</v>
      </c>
      <c r="F97" s="23">
        <v>5</v>
      </c>
      <c r="G97" s="23">
        <v>2</v>
      </c>
      <c r="H97" s="23">
        <f t="shared" si="14"/>
        <v>3</v>
      </c>
      <c r="I97" s="23">
        <f t="shared" si="15"/>
        <v>1</v>
      </c>
      <c r="J97" s="22">
        <v>1</v>
      </c>
      <c r="K97" s="22">
        <v>4</v>
      </c>
      <c r="L97" s="22">
        <f t="shared" si="16"/>
        <v>-3</v>
      </c>
      <c r="M97" s="22">
        <f t="shared" si="17"/>
        <v>1</v>
      </c>
      <c r="N97" s="23">
        <v>70</v>
      </c>
      <c r="O97" s="23">
        <v>53</v>
      </c>
      <c r="P97" s="23">
        <f t="shared" si="18"/>
        <v>17</v>
      </c>
      <c r="Q97" s="23">
        <f t="shared" si="19"/>
        <v>1</v>
      </c>
      <c r="R97" s="22">
        <v>58</v>
      </c>
      <c r="S97" s="22">
        <v>52</v>
      </c>
      <c r="T97" s="22">
        <f t="shared" si="20"/>
        <v>6</v>
      </c>
      <c r="U97" s="22">
        <f t="shared" si="21"/>
        <v>1</v>
      </c>
      <c r="V97" s="23">
        <v>58</v>
      </c>
      <c r="W97" s="23">
        <v>20</v>
      </c>
      <c r="X97" s="23">
        <f t="shared" si="22"/>
        <v>38</v>
      </c>
      <c r="Y97" s="23">
        <f t="shared" si="23"/>
        <v>1</v>
      </c>
    </row>
    <row r="98" spans="1:25" x14ac:dyDescent="0.2">
      <c r="A98" s="25" t="s">
        <v>179</v>
      </c>
      <c r="B98" s="22">
        <v>61</v>
      </c>
      <c r="C98" s="22">
        <v>52</v>
      </c>
      <c r="D98" s="22">
        <f t="shared" si="13"/>
        <v>9</v>
      </c>
      <c r="E98" s="22">
        <f t="shared" si="24"/>
        <v>1</v>
      </c>
      <c r="F98" s="23">
        <v>2</v>
      </c>
      <c r="G98" s="23">
        <v>3</v>
      </c>
      <c r="H98" s="23">
        <f t="shared" si="14"/>
        <v>-1</v>
      </c>
      <c r="I98" s="23">
        <f t="shared" si="15"/>
        <v>0</v>
      </c>
      <c r="J98" s="22">
        <v>0</v>
      </c>
      <c r="K98" s="22">
        <v>4</v>
      </c>
      <c r="L98" s="22">
        <f t="shared" si="16"/>
        <v>-4</v>
      </c>
      <c r="M98" s="22">
        <f t="shared" si="17"/>
        <v>1</v>
      </c>
      <c r="N98" s="23">
        <v>86</v>
      </c>
      <c r="O98" s="23">
        <v>59</v>
      </c>
      <c r="P98" s="23">
        <f t="shared" si="18"/>
        <v>27</v>
      </c>
      <c r="Q98" s="23">
        <f t="shared" si="19"/>
        <v>1</v>
      </c>
      <c r="R98" s="22">
        <v>61</v>
      </c>
      <c r="S98" s="22">
        <v>28</v>
      </c>
      <c r="T98" s="22">
        <f t="shared" si="20"/>
        <v>33</v>
      </c>
      <c r="U98" s="22">
        <f t="shared" si="21"/>
        <v>1</v>
      </c>
      <c r="V98" s="23">
        <v>70</v>
      </c>
      <c r="W98" s="23">
        <v>0</v>
      </c>
      <c r="X98" s="23">
        <f t="shared" si="22"/>
        <v>70</v>
      </c>
      <c r="Y98" s="23">
        <f t="shared" si="23"/>
        <v>1</v>
      </c>
    </row>
    <row r="99" spans="1:25" x14ac:dyDescent="0.2">
      <c r="A99" s="25" t="s">
        <v>179</v>
      </c>
      <c r="B99" s="22">
        <v>55</v>
      </c>
      <c r="C99" s="22">
        <v>63</v>
      </c>
      <c r="D99" s="22">
        <f t="shared" si="13"/>
        <v>-8</v>
      </c>
      <c r="E99" s="22">
        <f t="shared" si="24"/>
        <v>0</v>
      </c>
      <c r="F99" s="23">
        <v>4</v>
      </c>
      <c r="G99" s="23">
        <v>5</v>
      </c>
      <c r="H99" s="23">
        <f t="shared" si="14"/>
        <v>-1</v>
      </c>
      <c r="I99" s="23">
        <f t="shared" si="15"/>
        <v>0</v>
      </c>
      <c r="J99" s="22">
        <v>4</v>
      </c>
      <c r="K99" s="22">
        <v>4</v>
      </c>
      <c r="L99" s="22">
        <f t="shared" si="16"/>
        <v>0</v>
      </c>
      <c r="M99" s="22">
        <f t="shared" si="17"/>
        <v>1</v>
      </c>
      <c r="N99" s="23">
        <v>88</v>
      </c>
      <c r="O99" s="23">
        <v>54</v>
      </c>
      <c r="P99" s="23">
        <f t="shared" si="18"/>
        <v>34</v>
      </c>
      <c r="Q99" s="23">
        <f t="shared" si="19"/>
        <v>1</v>
      </c>
      <c r="R99" s="22">
        <v>59</v>
      </c>
      <c r="S99" s="22">
        <v>55</v>
      </c>
      <c r="T99" s="22">
        <f t="shared" si="20"/>
        <v>4</v>
      </c>
      <c r="U99" s="22">
        <f t="shared" si="21"/>
        <v>1</v>
      </c>
      <c r="V99" s="23">
        <v>36</v>
      </c>
      <c r="W99" s="23">
        <v>0</v>
      </c>
      <c r="X99" s="23">
        <f t="shared" si="22"/>
        <v>36</v>
      </c>
      <c r="Y99" s="23">
        <f t="shared" si="23"/>
        <v>1</v>
      </c>
    </row>
    <row r="100" spans="1:25" x14ac:dyDescent="0.2">
      <c r="A100" s="25" t="s">
        <v>179</v>
      </c>
      <c r="B100" s="22">
        <v>59</v>
      </c>
      <c r="C100" s="22">
        <v>63</v>
      </c>
      <c r="D100" s="22">
        <f t="shared" si="13"/>
        <v>-4</v>
      </c>
      <c r="E100" s="22">
        <f t="shared" si="24"/>
        <v>0</v>
      </c>
      <c r="F100" s="23">
        <v>6</v>
      </c>
      <c r="G100" s="23">
        <v>5</v>
      </c>
      <c r="H100" s="23">
        <f t="shared" si="14"/>
        <v>1</v>
      </c>
      <c r="I100" s="23">
        <f t="shared" si="15"/>
        <v>1</v>
      </c>
      <c r="J100" s="22">
        <v>3</v>
      </c>
      <c r="K100" s="22">
        <v>3</v>
      </c>
      <c r="L100" s="22">
        <f t="shared" si="16"/>
        <v>0</v>
      </c>
      <c r="M100" s="22">
        <f t="shared" si="17"/>
        <v>1</v>
      </c>
      <c r="N100" s="23">
        <v>68</v>
      </c>
      <c r="O100" s="23">
        <v>62</v>
      </c>
      <c r="P100" s="23">
        <f t="shared" si="18"/>
        <v>6</v>
      </c>
      <c r="Q100" s="23">
        <f t="shared" si="19"/>
        <v>1</v>
      </c>
      <c r="R100" s="22">
        <v>53</v>
      </c>
      <c r="S100" s="22">
        <v>58</v>
      </c>
      <c r="T100" s="22">
        <f t="shared" si="20"/>
        <v>-5</v>
      </c>
      <c r="U100" s="22">
        <f t="shared" si="21"/>
        <v>0</v>
      </c>
      <c r="V100" s="23">
        <v>43</v>
      </c>
      <c r="W100" s="23">
        <v>27</v>
      </c>
      <c r="X100" s="23">
        <f t="shared" si="22"/>
        <v>16</v>
      </c>
      <c r="Y100" s="23">
        <f t="shared" si="23"/>
        <v>1</v>
      </c>
    </row>
    <row r="101" spans="1:25" x14ac:dyDescent="0.2">
      <c r="A101" s="19">
        <v>2012</v>
      </c>
      <c r="B101" s="22">
        <v>66</v>
      </c>
      <c r="C101" s="22">
        <v>62</v>
      </c>
      <c r="D101" s="22">
        <f t="shared" si="13"/>
        <v>4</v>
      </c>
      <c r="E101" s="22">
        <f t="shared" si="24"/>
        <v>1</v>
      </c>
      <c r="F101" s="23">
        <v>5</v>
      </c>
      <c r="G101" s="23">
        <v>7</v>
      </c>
      <c r="H101" s="23">
        <f t="shared" si="14"/>
        <v>-2</v>
      </c>
      <c r="I101" s="23">
        <f t="shared" si="15"/>
        <v>0</v>
      </c>
      <c r="J101" s="22">
        <v>4</v>
      </c>
      <c r="K101" s="22">
        <v>5</v>
      </c>
      <c r="L101" s="22">
        <f t="shared" si="16"/>
        <v>-1</v>
      </c>
      <c r="M101" s="22">
        <f t="shared" si="17"/>
        <v>1</v>
      </c>
      <c r="N101" s="23">
        <v>62</v>
      </c>
      <c r="O101" s="23">
        <v>63</v>
      </c>
      <c r="P101" s="23">
        <f t="shared" si="18"/>
        <v>-1</v>
      </c>
      <c r="Q101" s="23">
        <f t="shared" si="19"/>
        <v>0</v>
      </c>
      <c r="R101" s="22">
        <v>48</v>
      </c>
      <c r="S101" s="22">
        <v>42</v>
      </c>
      <c r="T101" s="22">
        <f t="shared" si="20"/>
        <v>6</v>
      </c>
      <c r="U101" s="22">
        <f t="shared" si="21"/>
        <v>1</v>
      </c>
      <c r="V101" s="23">
        <v>47</v>
      </c>
      <c r="W101" s="23">
        <v>50</v>
      </c>
      <c r="X101" s="23">
        <f t="shared" si="22"/>
        <v>-3</v>
      </c>
      <c r="Y101" s="23">
        <f t="shared" si="23"/>
        <v>0</v>
      </c>
    </row>
    <row r="102" spans="1:25" x14ac:dyDescent="0.2">
      <c r="A102" s="25" t="s">
        <v>178</v>
      </c>
      <c r="B102" s="22">
        <v>59</v>
      </c>
      <c r="C102" s="22">
        <v>60</v>
      </c>
      <c r="D102" s="22">
        <f t="shared" si="13"/>
        <v>-1</v>
      </c>
      <c r="E102" s="22">
        <f t="shared" si="24"/>
        <v>0</v>
      </c>
      <c r="F102" s="23">
        <v>7</v>
      </c>
      <c r="G102" s="23">
        <v>1</v>
      </c>
      <c r="H102" s="23">
        <f t="shared" si="14"/>
        <v>6</v>
      </c>
      <c r="I102" s="23">
        <f t="shared" si="15"/>
        <v>1</v>
      </c>
      <c r="J102" s="22">
        <v>1</v>
      </c>
      <c r="K102" s="22">
        <v>3</v>
      </c>
      <c r="L102" s="22">
        <f t="shared" si="16"/>
        <v>-2</v>
      </c>
      <c r="M102" s="22">
        <f t="shared" si="17"/>
        <v>1</v>
      </c>
      <c r="N102" s="23">
        <v>72</v>
      </c>
      <c r="O102" s="23">
        <v>64</v>
      </c>
      <c r="P102" s="23">
        <f t="shared" si="18"/>
        <v>8</v>
      </c>
      <c r="Q102" s="23">
        <f t="shared" si="19"/>
        <v>1</v>
      </c>
      <c r="R102" s="22">
        <v>59</v>
      </c>
      <c r="S102" s="22">
        <v>46</v>
      </c>
      <c r="T102" s="22">
        <f t="shared" si="20"/>
        <v>13</v>
      </c>
      <c r="U102" s="22">
        <f t="shared" si="21"/>
        <v>1</v>
      </c>
      <c r="V102" s="23">
        <v>67</v>
      </c>
      <c r="W102" s="23">
        <v>43</v>
      </c>
      <c r="X102" s="23">
        <f t="shared" si="22"/>
        <v>24</v>
      </c>
      <c r="Y102" s="23">
        <f t="shared" si="23"/>
        <v>1</v>
      </c>
    </row>
    <row r="103" spans="1:25" x14ac:dyDescent="0.2">
      <c r="A103" s="25" t="s">
        <v>178</v>
      </c>
      <c r="B103" s="22">
        <v>74</v>
      </c>
      <c r="C103" s="22">
        <v>62</v>
      </c>
      <c r="D103" s="22">
        <f t="shared" si="13"/>
        <v>12</v>
      </c>
      <c r="E103" s="22">
        <f t="shared" si="24"/>
        <v>1</v>
      </c>
      <c r="F103" s="23">
        <v>5</v>
      </c>
      <c r="G103" s="23">
        <v>7</v>
      </c>
      <c r="H103" s="23">
        <f t="shared" si="14"/>
        <v>-2</v>
      </c>
      <c r="I103" s="23">
        <f t="shared" si="15"/>
        <v>0</v>
      </c>
      <c r="J103" s="22">
        <v>3</v>
      </c>
      <c r="K103" s="22">
        <v>6</v>
      </c>
      <c r="L103" s="22">
        <f t="shared" si="16"/>
        <v>-3</v>
      </c>
      <c r="M103" s="22">
        <f t="shared" si="17"/>
        <v>1</v>
      </c>
      <c r="N103" s="23">
        <v>73</v>
      </c>
      <c r="O103" s="23">
        <v>60</v>
      </c>
      <c r="P103" s="23">
        <f t="shared" si="18"/>
        <v>13</v>
      </c>
      <c r="Q103" s="23">
        <f t="shared" si="19"/>
        <v>1</v>
      </c>
      <c r="R103" s="22">
        <v>57</v>
      </c>
      <c r="S103" s="22">
        <v>48</v>
      </c>
      <c r="T103" s="22">
        <f t="shared" si="20"/>
        <v>9</v>
      </c>
      <c r="U103" s="22">
        <f t="shared" si="21"/>
        <v>1</v>
      </c>
      <c r="V103" s="23">
        <v>32</v>
      </c>
      <c r="W103" s="23">
        <v>50</v>
      </c>
      <c r="X103" s="23">
        <f t="shared" si="22"/>
        <v>-18</v>
      </c>
      <c r="Y103" s="23">
        <f t="shared" si="23"/>
        <v>0</v>
      </c>
    </row>
    <row r="104" spans="1:25" x14ac:dyDescent="0.2">
      <c r="A104" s="25" t="s">
        <v>179</v>
      </c>
      <c r="B104" s="22">
        <v>59</v>
      </c>
      <c r="C104" s="22">
        <v>63</v>
      </c>
      <c r="D104" s="22">
        <f t="shared" si="13"/>
        <v>-4</v>
      </c>
      <c r="E104" s="22">
        <f t="shared" si="24"/>
        <v>0</v>
      </c>
      <c r="F104" s="23">
        <v>14</v>
      </c>
      <c r="G104" s="23">
        <v>7</v>
      </c>
      <c r="H104" s="23">
        <f t="shared" si="14"/>
        <v>7</v>
      </c>
      <c r="I104" s="23">
        <f t="shared" si="15"/>
        <v>1</v>
      </c>
      <c r="J104" s="22">
        <v>3</v>
      </c>
      <c r="K104" s="22">
        <v>3</v>
      </c>
      <c r="L104" s="22">
        <f t="shared" si="16"/>
        <v>0</v>
      </c>
      <c r="M104" s="22">
        <f t="shared" si="17"/>
        <v>1</v>
      </c>
      <c r="N104" s="23">
        <v>80</v>
      </c>
      <c r="O104" s="23">
        <v>71</v>
      </c>
      <c r="P104" s="23">
        <f t="shared" si="18"/>
        <v>9</v>
      </c>
      <c r="Q104" s="23">
        <f t="shared" si="19"/>
        <v>1</v>
      </c>
      <c r="R104" s="22">
        <v>51</v>
      </c>
      <c r="S104" s="22">
        <v>45</v>
      </c>
      <c r="T104" s="22">
        <f t="shared" si="20"/>
        <v>6</v>
      </c>
      <c r="U104" s="22">
        <f t="shared" si="21"/>
        <v>1</v>
      </c>
      <c r="V104" s="23">
        <v>45</v>
      </c>
      <c r="W104" s="23">
        <v>67</v>
      </c>
      <c r="X104" s="23">
        <f t="shared" si="22"/>
        <v>-22</v>
      </c>
      <c r="Y104" s="23">
        <f t="shared" si="23"/>
        <v>0</v>
      </c>
    </row>
    <row r="105" spans="1:25" x14ac:dyDescent="0.2">
      <c r="A105" s="25" t="s">
        <v>179</v>
      </c>
      <c r="B105" s="22">
        <v>57</v>
      </c>
      <c r="C105" s="22">
        <v>66</v>
      </c>
      <c r="D105" s="22">
        <f t="shared" si="13"/>
        <v>-9</v>
      </c>
      <c r="E105" s="22">
        <f t="shared" si="24"/>
        <v>0</v>
      </c>
      <c r="F105" s="23">
        <v>7</v>
      </c>
      <c r="G105" s="23">
        <v>8</v>
      </c>
      <c r="H105" s="23">
        <f t="shared" si="14"/>
        <v>-1</v>
      </c>
      <c r="I105" s="23">
        <f t="shared" si="15"/>
        <v>0</v>
      </c>
      <c r="J105" s="22">
        <v>2</v>
      </c>
      <c r="K105" s="22">
        <v>3</v>
      </c>
      <c r="L105" s="22">
        <f t="shared" si="16"/>
        <v>-1</v>
      </c>
      <c r="M105" s="22">
        <f t="shared" si="17"/>
        <v>1</v>
      </c>
      <c r="N105" s="23">
        <v>84</v>
      </c>
      <c r="O105" s="23">
        <v>65</v>
      </c>
      <c r="P105" s="23">
        <f t="shared" si="18"/>
        <v>19</v>
      </c>
      <c r="Q105" s="23">
        <f t="shared" si="19"/>
        <v>1</v>
      </c>
      <c r="R105" s="22">
        <v>55</v>
      </c>
      <c r="S105" s="22">
        <v>45</v>
      </c>
      <c r="T105" s="22">
        <f t="shared" si="20"/>
        <v>10</v>
      </c>
      <c r="U105" s="22">
        <f t="shared" si="21"/>
        <v>1</v>
      </c>
      <c r="V105" s="23">
        <v>31</v>
      </c>
      <c r="W105" s="23">
        <v>33</v>
      </c>
      <c r="X105" s="23">
        <f t="shared" si="22"/>
        <v>-2</v>
      </c>
      <c r="Y105" s="23">
        <f t="shared" si="23"/>
        <v>0</v>
      </c>
    </row>
    <row r="106" spans="1:25" x14ac:dyDescent="0.2">
      <c r="A106" s="25" t="s">
        <v>179</v>
      </c>
      <c r="B106" s="22">
        <v>55</v>
      </c>
      <c r="C106" s="22">
        <v>53</v>
      </c>
      <c r="D106" s="22">
        <f t="shared" si="13"/>
        <v>2</v>
      </c>
      <c r="E106" s="22">
        <f t="shared" si="24"/>
        <v>1</v>
      </c>
      <c r="F106" s="23">
        <v>11</v>
      </c>
      <c r="G106" s="23">
        <v>2</v>
      </c>
      <c r="H106" s="23">
        <f t="shared" si="14"/>
        <v>9</v>
      </c>
      <c r="I106" s="23">
        <f t="shared" si="15"/>
        <v>1</v>
      </c>
      <c r="J106" s="22">
        <v>4</v>
      </c>
      <c r="K106" s="22">
        <v>6</v>
      </c>
      <c r="L106" s="22">
        <f t="shared" si="16"/>
        <v>-2</v>
      </c>
      <c r="M106" s="22">
        <f t="shared" si="17"/>
        <v>1</v>
      </c>
      <c r="N106" s="23">
        <v>70</v>
      </c>
      <c r="O106" s="23">
        <v>68</v>
      </c>
      <c r="P106" s="23">
        <f t="shared" si="18"/>
        <v>2</v>
      </c>
      <c r="Q106" s="23">
        <f t="shared" si="19"/>
        <v>1</v>
      </c>
      <c r="R106" s="22">
        <v>49</v>
      </c>
      <c r="S106" s="22">
        <v>34</v>
      </c>
      <c r="T106" s="22">
        <f t="shared" si="20"/>
        <v>15</v>
      </c>
      <c r="U106" s="22">
        <f t="shared" si="21"/>
        <v>1</v>
      </c>
      <c r="V106" s="23">
        <v>42</v>
      </c>
      <c r="W106" s="23">
        <v>44</v>
      </c>
      <c r="X106" s="23">
        <f t="shared" si="22"/>
        <v>-2</v>
      </c>
      <c r="Y106" s="23">
        <f t="shared" si="23"/>
        <v>0</v>
      </c>
    </row>
    <row r="107" spans="1:25" x14ac:dyDescent="0.2">
      <c r="A107" s="25" t="s">
        <v>179</v>
      </c>
      <c r="B107" s="22">
        <v>62</v>
      </c>
      <c r="C107" s="22">
        <v>58</v>
      </c>
      <c r="D107" s="22">
        <f t="shared" si="13"/>
        <v>4</v>
      </c>
      <c r="E107" s="22">
        <f t="shared" si="24"/>
        <v>1</v>
      </c>
      <c r="F107" s="23">
        <v>15</v>
      </c>
      <c r="G107" s="23">
        <v>10</v>
      </c>
      <c r="H107" s="23">
        <f t="shared" si="14"/>
        <v>5</v>
      </c>
      <c r="I107" s="23">
        <f t="shared" si="15"/>
        <v>1</v>
      </c>
      <c r="J107" s="22">
        <v>6</v>
      </c>
      <c r="K107" s="22">
        <v>0</v>
      </c>
      <c r="L107" s="22">
        <f t="shared" si="16"/>
        <v>6</v>
      </c>
      <c r="M107" s="22">
        <f t="shared" si="17"/>
        <v>0</v>
      </c>
      <c r="N107" s="23">
        <v>70</v>
      </c>
      <c r="O107" s="23">
        <v>67</v>
      </c>
      <c r="P107" s="23">
        <f t="shared" si="18"/>
        <v>3</v>
      </c>
      <c r="Q107" s="23">
        <f t="shared" si="19"/>
        <v>1</v>
      </c>
      <c r="R107" s="22">
        <v>66</v>
      </c>
      <c r="S107" s="22">
        <v>61</v>
      </c>
      <c r="T107" s="22">
        <f t="shared" si="20"/>
        <v>5</v>
      </c>
      <c r="U107" s="22">
        <f t="shared" si="21"/>
        <v>1</v>
      </c>
      <c r="V107" s="23">
        <v>27</v>
      </c>
      <c r="W107" s="23">
        <v>57</v>
      </c>
      <c r="X107" s="23">
        <f t="shared" si="22"/>
        <v>-30</v>
      </c>
      <c r="Y107" s="23">
        <f t="shared" si="23"/>
        <v>0</v>
      </c>
    </row>
    <row r="108" spans="1:25" x14ac:dyDescent="0.2">
      <c r="A108" s="19">
        <v>2011</v>
      </c>
      <c r="B108" s="22">
        <v>66</v>
      </c>
      <c r="C108" s="22">
        <v>68</v>
      </c>
      <c r="D108" s="22">
        <f t="shared" si="13"/>
        <v>-2</v>
      </c>
      <c r="E108" s="22">
        <f t="shared" si="24"/>
        <v>0</v>
      </c>
      <c r="F108" s="23">
        <v>7</v>
      </c>
      <c r="G108" s="23">
        <v>2</v>
      </c>
      <c r="H108" s="23">
        <f t="shared" si="14"/>
        <v>5</v>
      </c>
      <c r="I108" s="23">
        <f t="shared" si="15"/>
        <v>1</v>
      </c>
      <c r="J108" s="22">
        <v>1</v>
      </c>
      <c r="K108" s="22">
        <v>3</v>
      </c>
      <c r="L108" s="22">
        <f t="shared" si="16"/>
        <v>-2</v>
      </c>
      <c r="M108" s="22">
        <f t="shared" si="17"/>
        <v>1</v>
      </c>
      <c r="N108" s="23">
        <v>65</v>
      </c>
      <c r="O108" s="23">
        <v>52</v>
      </c>
      <c r="P108" s="23">
        <f t="shared" si="18"/>
        <v>13</v>
      </c>
      <c r="Q108" s="23">
        <f t="shared" si="19"/>
        <v>1</v>
      </c>
      <c r="R108" s="22">
        <v>44</v>
      </c>
      <c r="S108" s="22">
        <v>42</v>
      </c>
      <c r="T108" s="22">
        <f t="shared" si="20"/>
        <v>2</v>
      </c>
      <c r="U108" s="22">
        <f t="shared" si="21"/>
        <v>1</v>
      </c>
      <c r="V108" s="23">
        <v>42</v>
      </c>
      <c r="W108" s="23">
        <v>43</v>
      </c>
      <c r="X108" s="23">
        <f t="shared" si="22"/>
        <v>-1</v>
      </c>
      <c r="Y108" s="23">
        <f t="shared" si="23"/>
        <v>0</v>
      </c>
    </row>
    <row r="109" spans="1:25" x14ac:dyDescent="0.2">
      <c r="A109" s="25" t="s">
        <v>178</v>
      </c>
      <c r="B109" s="22">
        <v>59</v>
      </c>
      <c r="C109" s="22">
        <v>61</v>
      </c>
      <c r="D109" s="22">
        <f t="shared" si="13"/>
        <v>-2</v>
      </c>
      <c r="E109" s="22">
        <f t="shared" si="24"/>
        <v>0</v>
      </c>
      <c r="F109" s="23">
        <v>8</v>
      </c>
      <c r="G109" s="23">
        <v>11</v>
      </c>
      <c r="H109" s="23">
        <f t="shared" si="14"/>
        <v>-3</v>
      </c>
      <c r="I109" s="23">
        <f t="shared" si="15"/>
        <v>0</v>
      </c>
      <c r="J109" s="22">
        <v>6</v>
      </c>
      <c r="K109" s="22">
        <v>4</v>
      </c>
      <c r="L109" s="22">
        <f t="shared" si="16"/>
        <v>2</v>
      </c>
      <c r="M109" s="22">
        <f t="shared" si="17"/>
        <v>0</v>
      </c>
      <c r="N109" s="23">
        <v>83</v>
      </c>
      <c r="O109" s="23">
        <v>67</v>
      </c>
      <c r="P109" s="23">
        <f t="shared" si="18"/>
        <v>16</v>
      </c>
      <c r="Q109" s="23">
        <f t="shared" si="19"/>
        <v>1</v>
      </c>
      <c r="R109" s="22">
        <v>55</v>
      </c>
      <c r="S109" s="22">
        <v>56</v>
      </c>
      <c r="T109" s="22">
        <f t="shared" si="20"/>
        <v>-1</v>
      </c>
      <c r="U109" s="22">
        <f t="shared" si="21"/>
        <v>0</v>
      </c>
      <c r="V109" s="23">
        <v>50</v>
      </c>
      <c r="W109" s="23">
        <v>60</v>
      </c>
      <c r="X109" s="23">
        <f t="shared" si="22"/>
        <v>-10</v>
      </c>
      <c r="Y109" s="23">
        <f t="shared" si="23"/>
        <v>0</v>
      </c>
    </row>
    <row r="110" spans="1:25" x14ac:dyDescent="0.2">
      <c r="A110" s="25" t="s">
        <v>178</v>
      </c>
      <c r="B110" s="22">
        <v>67</v>
      </c>
      <c r="C110" s="22">
        <v>54</v>
      </c>
      <c r="D110" s="22">
        <f t="shared" si="13"/>
        <v>13</v>
      </c>
      <c r="E110" s="22">
        <f t="shared" si="24"/>
        <v>1</v>
      </c>
      <c r="F110" s="23">
        <v>3</v>
      </c>
      <c r="G110" s="23">
        <v>8</v>
      </c>
      <c r="H110" s="23">
        <f t="shared" si="14"/>
        <v>-5</v>
      </c>
      <c r="I110" s="23">
        <f t="shared" si="15"/>
        <v>0</v>
      </c>
      <c r="J110" s="22">
        <v>1</v>
      </c>
      <c r="K110" s="22">
        <v>2</v>
      </c>
      <c r="L110" s="22">
        <f t="shared" si="16"/>
        <v>-1</v>
      </c>
      <c r="M110" s="22">
        <f t="shared" si="17"/>
        <v>1</v>
      </c>
      <c r="N110" s="23">
        <v>72</v>
      </c>
      <c r="O110" s="23">
        <v>66</v>
      </c>
      <c r="P110" s="23">
        <f t="shared" si="18"/>
        <v>6</v>
      </c>
      <c r="Q110" s="23">
        <f t="shared" si="19"/>
        <v>1</v>
      </c>
      <c r="R110" s="22">
        <v>57</v>
      </c>
      <c r="S110" s="22">
        <v>46</v>
      </c>
      <c r="T110" s="22">
        <f t="shared" si="20"/>
        <v>11</v>
      </c>
      <c r="U110" s="22">
        <f t="shared" si="21"/>
        <v>1</v>
      </c>
      <c r="V110" s="23">
        <v>33</v>
      </c>
      <c r="W110" s="23">
        <v>20</v>
      </c>
      <c r="X110" s="23">
        <f t="shared" si="22"/>
        <v>13</v>
      </c>
      <c r="Y110" s="23">
        <f t="shared" si="23"/>
        <v>1</v>
      </c>
    </row>
    <row r="111" spans="1:25" x14ac:dyDescent="0.2">
      <c r="A111" s="25" t="s">
        <v>179</v>
      </c>
      <c r="B111" s="22">
        <v>65</v>
      </c>
      <c r="C111" s="22">
        <v>66</v>
      </c>
      <c r="D111" s="22">
        <f t="shared" si="13"/>
        <v>-1</v>
      </c>
      <c r="E111" s="22">
        <f t="shared" si="24"/>
        <v>0</v>
      </c>
      <c r="F111" s="23">
        <v>8</v>
      </c>
      <c r="G111" s="23">
        <v>10</v>
      </c>
      <c r="H111" s="23">
        <f t="shared" si="14"/>
        <v>-2</v>
      </c>
      <c r="I111" s="23">
        <f t="shared" si="15"/>
        <v>0</v>
      </c>
      <c r="J111" s="22">
        <v>2</v>
      </c>
      <c r="K111" s="22">
        <v>5</v>
      </c>
      <c r="L111" s="22">
        <f t="shared" si="16"/>
        <v>-3</v>
      </c>
      <c r="M111" s="22">
        <f t="shared" si="17"/>
        <v>1</v>
      </c>
      <c r="N111" s="23">
        <v>65</v>
      </c>
      <c r="O111" s="23">
        <v>65</v>
      </c>
      <c r="P111" s="23">
        <f t="shared" si="18"/>
        <v>0</v>
      </c>
      <c r="Q111" s="23">
        <f t="shared" si="19"/>
        <v>1</v>
      </c>
      <c r="R111" s="22">
        <v>50</v>
      </c>
      <c r="S111" s="22">
        <v>22</v>
      </c>
      <c r="T111" s="22">
        <f t="shared" si="20"/>
        <v>28</v>
      </c>
      <c r="U111" s="22">
        <f t="shared" si="21"/>
        <v>1</v>
      </c>
      <c r="V111" s="23">
        <v>62</v>
      </c>
      <c r="W111" s="23">
        <v>31</v>
      </c>
      <c r="X111" s="23">
        <f t="shared" si="22"/>
        <v>31</v>
      </c>
      <c r="Y111" s="23">
        <f t="shared" si="23"/>
        <v>1</v>
      </c>
    </row>
    <row r="112" spans="1:25" x14ac:dyDescent="0.2">
      <c r="A112" s="25" t="s">
        <v>179</v>
      </c>
      <c r="B112" s="22">
        <v>67</v>
      </c>
      <c r="C112" s="22">
        <v>59</v>
      </c>
      <c r="D112" s="22">
        <f t="shared" si="13"/>
        <v>8</v>
      </c>
      <c r="E112" s="22">
        <f t="shared" si="24"/>
        <v>1</v>
      </c>
      <c r="F112" s="23">
        <v>6</v>
      </c>
      <c r="G112" s="23">
        <v>8</v>
      </c>
      <c r="H112" s="23">
        <f t="shared" si="14"/>
        <v>-2</v>
      </c>
      <c r="I112" s="23">
        <f t="shared" si="15"/>
        <v>0</v>
      </c>
      <c r="J112" s="22">
        <v>1</v>
      </c>
      <c r="K112" s="22">
        <v>3</v>
      </c>
      <c r="L112" s="22">
        <f t="shared" si="16"/>
        <v>-2</v>
      </c>
      <c r="M112" s="22">
        <f t="shared" si="17"/>
        <v>1</v>
      </c>
      <c r="N112" s="23">
        <v>84</v>
      </c>
      <c r="O112" s="23">
        <v>63</v>
      </c>
      <c r="P112" s="23">
        <f t="shared" si="18"/>
        <v>21</v>
      </c>
      <c r="Q112" s="23">
        <f t="shared" si="19"/>
        <v>1</v>
      </c>
      <c r="R112" s="22">
        <v>55</v>
      </c>
      <c r="S112" s="22">
        <v>32</v>
      </c>
      <c r="T112" s="22">
        <f t="shared" si="20"/>
        <v>23</v>
      </c>
      <c r="U112" s="22">
        <f t="shared" si="21"/>
        <v>1</v>
      </c>
      <c r="V112" s="23">
        <v>86</v>
      </c>
      <c r="W112" s="23">
        <v>0</v>
      </c>
      <c r="X112" s="23">
        <f t="shared" si="22"/>
        <v>86</v>
      </c>
      <c r="Y112" s="23">
        <f t="shared" si="23"/>
        <v>1</v>
      </c>
    </row>
    <row r="113" spans="1:25" x14ac:dyDescent="0.2">
      <c r="A113" s="25" t="s">
        <v>179</v>
      </c>
      <c r="B113" s="22">
        <v>72</v>
      </c>
      <c r="C113" s="22">
        <v>53</v>
      </c>
      <c r="D113" s="22">
        <f t="shared" si="13"/>
        <v>19</v>
      </c>
      <c r="E113" s="22">
        <f t="shared" si="24"/>
        <v>1</v>
      </c>
      <c r="F113" s="23">
        <v>5</v>
      </c>
      <c r="G113" s="23">
        <v>5</v>
      </c>
      <c r="H113" s="23">
        <f t="shared" si="14"/>
        <v>0</v>
      </c>
      <c r="I113" s="23">
        <f t="shared" si="15"/>
        <v>1</v>
      </c>
      <c r="J113" s="22">
        <v>2</v>
      </c>
      <c r="K113" s="22">
        <v>3</v>
      </c>
      <c r="L113" s="22">
        <f t="shared" si="16"/>
        <v>-1</v>
      </c>
      <c r="M113" s="22">
        <f t="shared" si="17"/>
        <v>1</v>
      </c>
      <c r="N113" s="23">
        <v>77</v>
      </c>
      <c r="O113" s="23">
        <v>69</v>
      </c>
      <c r="P113" s="23">
        <f t="shared" si="18"/>
        <v>8</v>
      </c>
      <c r="Q113" s="23">
        <f t="shared" si="19"/>
        <v>1</v>
      </c>
      <c r="R113" s="22">
        <v>42</v>
      </c>
      <c r="S113" s="22">
        <v>40</v>
      </c>
      <c r="T113" s="22">
        <f t="shared" si="20"/>
        <v>2</v>
      </c>
      <c r="U113" s="22">
        <f t="shared" si="21"/>
        <v>1</v>
      </c>
      <c r="V113" s="23">
        <v>46</v>
      </c>
      <c r="W113" s="23">
        <v>67</v>
      </c>
      <c r="X113" s="23">
        <f t="shared" si="22"/>
        <v>-21</v>
      </c>
      <c r="Y113" s="23">
        <f t="shared" si="23"/>
        <v>0</v>
      </c>
    </row>
    <row r="114" spans="1:25" x14ac:dyDescent="0.2">
      <c r="A114" s="25" t="s">
        <v>179</v>
      </c>
      <c r="B114" s="22">
        <v>68</v>
      </c>
      <c r="C114" s="22">
        <v>67</v>
      </c>
      <c r="D114" s="22">
        <f t="shared" si="13"/>
        <v>1</v>
      </c>
      <c r="E114" s="22">
        <f t="shared" si="24"/>
        <v>1</v>
      </c>
      <c r="F114" s="23">
        <v>14</v>
      </c>
      <c r="G114" s="23">
        <v>17</v>
      </c>
      <c r="H114" s="23">
        <f t="shared" si="14"/>
        <v>-3</v>
      </c>
      <c r="I114" s="23">
        <f t="shared" si="15"/>
        <v>0</v>
      </c>
      <c r="J114" s="22">
        <v>2</v>
      </c>
      <c r="K114" s="22">
        <v>5</v>
      </c>
      <c r="L114" s="22">
        <f t="shared" si="16"/>
        <v>-3</v>
      </c>
      <c r="M114" s="22">
        <f t="shared" si="17"/>
        <v>1</v>
      </c>
      <c r="N114" s="23">
        <v>78</v>
      </c>
      <c r="O114" s="23">
        <v>74</v>
      </c>
      <c r="P114" s="23">
        <f t="shared" si="18"/>
        <v>4</v>
      </c>
      <c r="Q114" s="23">
        <f t="shared" si="19"/>
        <v>1</v>
      </c>
      <c r="R114" s="22">
        <v>63</v>
      </c>
      <c r="S114" s="22">
        <v>50</v>
      </c>
      <c r="T114" s="22">
        <f t="shared" si="20"/>
        <v>13</v>
      </c>
      <c r="U114" s="22">
        <f t="shared" si="21"/>
        <v>1</v>
      </c>
      <c r="V114" s="23">
        <v>40</v>
      </c>
      <c r="W114" s="23">
        <v>17</v>
      </c>
      <c r="X114" s="23">
        <f t="shared" si="22"/>
        <v>23</v>
      </c>
      <c r="Y114" s="23">
        <f t="shared" si="23"/>
        <v>1</v>
      </c>
    </row>
    <row r="116" spans="1:25" x14ac:dyDescent="0.2">
      <c r="D116" s="27" t="b">
        <v>1</v>
      </c>
      <c r="E116" s="27">
        <f>COUNTIF(E3:E114, "=1")</f>
        <v>70</v>
      </c>
      <c r="H116" s="27" t="b">
        <v>1</v>
      </c>
      <c r="I116" s="27">
        <f>COUNTIF(I3:I114, "=1")</f>
        <v>67</v>
      </c>
      <c r="L116" s="27" t="b">
        <v>1</v>
      </c>
      <c r="M116" s="27">
        <f>COUNTIF(M3:M114, "=1")</f>
        <v>89</v>
      </c>
      <c r="P116" s="27" t="b">
        <v>1</v>
      </c>
      <c r="Q116" s="27">
        <f>COUNTIF(Q3:Q114, "=1")</f>
        <v>100</v>
      </c>
      <c r="T116" s="27" t="b">
        <v>1</v>
      </c>
      <c r="U116" s="27">
        <f>COUNTIF(U3:U114, "=1")</f>
        <v>101</v>
      </c>
      <c r="X116" s="27" t="b">
        <v>1</v>
      </c>
      <c r="Y116" s="27">
        <f>COUNTIF(Y3:Y114, "=1")</f>
        <v>75</v>
      </c>
    </row>
    <row r="117" spans="1:25" x14ac:dyDescent="0.2">
      <c r="D117" s="27" t="b">
        <v>0</v>
      </c>
      <c r="E117" s="27">
        <f>COUNTIF(E4:E115, "=0")</f>
        <v>41</v>
      </c>
      <c r="H117" s="27" t="b">
        <v>0</v>
      </c>
      <c r="I117" s="27">
        <f>COUNTIF(I4:I115, "=0")</f>
        <v>44</v>
      </c>
      <c r="L117" s="27" t="b">
        <v>0</v>
      </c>
      <c r="M117" s="27">
        <f>COUNTIF(M4:M115, "=0")</f>
        <v>23</v>
      </c>
      <c r="P117" s="27" t="b">
        <v>0</v>
      </c>
      <c r="Q117" s="27">
        <f>COUNTIF(Q4:Q115, "=0")</f>
        <v>11</v>
      </c>
      <c r="T117" s="27" t="b">
        <v>0</v>
      </c>
      <c r="U117" s="27">
        <f>COUNTIF(U4:U115, "=0")</f>
        <v>11</v>
      </c>
      <c r="X117" s="27" t="b">
        <v>0</v>
      </c>
      <c r="Y117" s="27">
        <f>COUNTIF(Y4:Y115, "=0")</f>
        <v>37</v>
      </c>
    </row>
    <row r="118" spans="1:25" x14ac:dyDescent="0.2">
      <c r="D118" s="27" t="s">
        <v>200</v>
      </c>
      <c r="E118" s="28">
        <f>E116/(E116+E117)</f>
        <v>0.63063063063063063</v>
      </c>
      <c r="H118" s="27" t="s">
        <v>200</v>
      </c>
      <c r="I118" s="28">
        <f>I116/(I116+I117)</f>
        <v>0.60360360360360366</v>
      </c>
      <c r="L118" s="27" t="s">
        <v>200</v>
      </c>
      <c r="M118" s="28">
        <f>M116/(M116+M117)</f>
        <v>0.7946428571428571</v>
      </c>
      <c r="P118" s="27" t="s">
        <v>200</v>
      </c>
      <c r="Q118" s="28">
        <f>Q116/(Q116+Q117)</f>
        <v>0.90090090090090091</v>
      </c>
      <c r="T118" s="27" t="s">
        <v>200</v>
      </c>
      <c r="U118" s="28">
        <f>U116/(U116+U117)</f>
        <v>0.9017857142857143</v>
      </c>
      <c r="X118" s="27" t="s">
        <v>200</v>
      </c>
      <c r="Y118" s="28">
        <f>Y116/(Y116+Y117)</f>
        <v>0.6696428571428571</v>
      </c>
    </row>
  </sheetData>
  <mergeCells count="6">
    <mergeCell ref="V1:Y1"/>
    <mergeCell ref="B1:E1"/>
    <mergeCell ref="F1:I1"/>
    <mergeCell ref="J1:M1"/>
    <mergeCell ref="N1:Q1"/>
    <mergeCell ref="R1:U1"/>
  </mergeCells>
  <dataValidations count="6">
    <dataValidation allowBlank="1" showInputMessage="1" showErrorMessage="1" prompt="Number of first serves, which were considered &quot;in&quot;, divided by total number of first serves available, Includes aces" sqref="B1:E1"/>
    <dataValidation allowBlank="1" showInputMessage="1" showErrorMessage="1" prompt="Recorded as winner from the baseline" sqref="F1:I1"/>
    <dataValidation allowBlank="1" showInputMessage="1" showErrorMessage="1" prompt="Number of points won on first serve, divided by total number of first serves available. Includes aces. This metric is always less or equal than the 1st serve %. " sqref="N1:Q1"/>
    <dataValidation allowBlank="1" showInputMessage="1" showErrorMessage="1" prompt="Number of second serves which were considered &quot;in&quot;, divided by total number of second serves available, Includes aces" sqref="R1:U1"/>
    <dataValidation allowBlank="1" showInputMessage="1" showErrorMessage="1" prompt="Number of breakpoints won divided by total number of break points played." sqref="V1:Y1"/>
    <dataValidation allowBlank="1" showInputMessage="1" showErrorMessage="1" prompt="Recorded as unforced error from the baseline" sqref="J1:M1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"/>
  <sheetViews>
    <sheetView topLeftCell="A4" workbookViewId="0">
      <selection activeCell="AD16" sqref="AD16"/>
    </sheetView>
  </sheetViews>
  <sheetFormatPr defaultRowHeight="15" x14ac:dyDescent="0.25"/>
  <cols>
    <col min="1" max="1" width="2" customWidth="1"/>
    <col min="2" max="2" width="5" customWidth="1"/>
    <col min="3" max="3" width="7.5703125" bestFit="1" customWidth="1"/>
    <col min="4" max="4" width="6.140625" bestFit="1" customWidth="1"/>
    <col min="5" max="5" width="5.7109375" bestFit="1" customWidth="1"/>
    <col min="6" max="6" width="5.42578125" bestFit="1" customWidth="1"/>
    <col min="7" max="7" width="1.5703125" customWidth="1"/>
    <col min="8" max="8" width="5" bestFit="1" customWidth="1"/>
    <col min="9" max="9" width="7.5703125" bestFit="1" customWidth="1"/>
    <col min="10" max="10" width="6.140625" bestFit="1" customWidth="1"/>
    <col min="11" max="11" width="5.7109375" bestFit="1" customWidth="1"/>
    <col min="12" max="12" width="5.42578125" bestFit="1" customWidth="1"/>
    <col min="13" max="13" width="1.7109375" customWidth="1"/>
    <col min="14" max="14" width="5" bestFit="1" customWidth="1"/>
    <col min="15" max="15" width="7.5703125" bestFit="1" customWidth="1"/>
    <col min="16" max="16" width="6.140625" bestFit="1" customWidth="1"/>
    <col min="17" max="17" width="5.7109375" bestFit="1" customWidth="1"/>
    <col min="18" max="18" width="5.42578125" bestFit="1" customWidth="1"/>
    <col min="19" max="19" width="1.5703125" customWidth="1"/>
    <col min="20" max="20" width="5" bestFit="1" customWidth="1"/>
    <col min="21" max="21" width="7.5703125" bestFit="1" customWidth="1"/>
    <col min="22" max="22" width="6.140625" bestFit="1" customWidth="1"/>
    <col min="23" max="23" width="5.7109375" bestFit="1" customWidth="1"/>
    <col min="24" max="24" width="5.42578125" bestFit="1" customWidth="1"/>
    <col min="25" max="25" width="2.140625" customWidth="1"/>
  </cols>
  <sheetData>
    <row r="1" spans="1:25" ht="10.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9.5" thickBot="1" x14ac:dyDescent="0.35">
      <c r="A2" s="3"/>
      <c r="B2" s="113" t="s">
        <v>187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5"/>
      <c r="Y2" s="3"/>
    </row>
    <row r="3" spans="1:25" ht="16.5" thickBot="1" x14ac:dyDescent="0.3">
      <c r="A3" s="3"/>
      <c r="B3" s="116" t="s">
        <v>183</v>
      </c>
      <c r="C3" s="117"/>
      <c r="D3" s="117"/>
      <c r="E3" s="117"/>
      <c r="F3" s="118"/>
      <c r="G3" s="4"/>
      <c r="H3" s="116" t="s">
        <v>186</v>
      </c>
      <c r="I3" s="117"/>
      <c r="J3" s="117"/>
      <c r="K3" s="117"/>
      <c r="L3" s="118"/>
      <c r="M3" s="4"/>
      <c r="N3" s="116" t="s">
        <v>184</v>
      </c>
      <c r="O3" s="117"/>
      <c r="P3" s="117"/>
      <c r="Q3" s="117"/>
      <c r="R3" s="118"/>
      <c r="S3" s="4"/>
      <c r="T3" s="116" t="s">
        <v>185</v>
      </c>
      <c r="U3" s="117"/>
      <c r="V3" s="117"/>
      <c r="W3" s="117"/>
      <c r="X3" s="118"/>
      <c r="Y3" s="3"/>
    </row>
    <row r="4" spans="1:25" x14ac:dyDescent="0.25">
      <c r="A4" s="3"/>
      <c r="B4" s="13"/>
      <c r="C4" s="14" t="s">
        <v>180</v>
      </c>
      <c r="D4" s="14" t="s">
        <v>181</v>
      </c>
      <c r="E4" s="14" t="s">
        <v>182</v>
      </c>
      <c r="F4" s="15" t="b">
        <v>1</v>
      </c>
      <c r="G4" s="4"/>
      <c r="H4" s="13"/>
      <c r="I4" s="14" t="s">
        <v>180</v>
      </c>
      <c r="J4" s="14" t="s">
        <v>181</v>
      </c>
      <c r="K4" s="14" t="s">
        <v>182</v>
      </c>
      <c r="L4" s="15" t="b">
        <v>1</v>
      </c>
      <c r="M4" s="4"/>
      <c r="N4" s="13"/>
      <c r="O4" s="14" t="s">
        <v>180</v>
      </c>
      <c r="P4" s="14" t="s">
        <v>181</v>
      </c>
      <c r="Q4" s="14" t="s">
        <v>182</v>
      </c>
      <c r="R4" s="15" t="b">
        <v>1</v>
      </c>
      <c r="S4" s="4"/>
      <c r="T4" s="13"/>
      <c r="U4" s="14" t="s">
        <v>180</v>
      </c>
      <c r="V4" s="14" t="s">
        <v>181</v>
      </c>
      <c r="W4" s="14" t="s">
        <v>182</v>
      </c>
      <c r="X4" s="15" t="b">
        <v>1</v>
      </c>
      <c r="Y4" s="3"/>
    </row>
    <row r="5" spans="1:25" x14ac:dyDescent="0.25">
      <c r="A5" s="3"/>
      <c r="B5" s="5">
        <v>2015</v>
      </c>
      <c r="C5" s="6">
        <v>60</v>
      </c>
      <c r="D5" s="6">
        <v>65</v>
      </c>
      <c r="E5" s="6">
        <f>C5-D5</f>
        <v>-5</v>
      </c>
      <c r="F5" s="7">
        <f>IF(E5&gt;=0,1,0)</f>
        <v>0</v>
      </c>
      <c r="G5" s="4"/>
      <c r="H5" s="5">
        <v>2015</v>
      </c>
      <c r="I5" s="6">
        <v>67</v>
      </c>
      <c r="J5" s="6">
        <v>65</v>
      </c>
      <c r="K5" s="6">
        <f t="shared" ref="K5:K12" si="0">I5-J5</f>
        <v>2</v>
      </c>
      <c r="L5" s="7">
        <f>IF(K5&gt;=0,1,0)</f>
        <v>1</v>
      </c>
      <c r="M5" s="4"/>
      <c r="N5" s="5">
        <v>2015</v>
      </c>
      <c r="O5" s="6">
        <v>66</v>
      </c>
      <c r="P5" s="6">
        <v>67</v>
      </c>
      <c r="Q5" s="6">
        <f t="shared" ref="Q5:Q11" si="1">O5-P5</f>
        <v>-1</v>
      </c>
      <c r="R5" s="7">
        <f>IF(Q5&gt;=0,1,0)</f>
        <v>0</v>
      </c>
      <c r="S5" s="4"/>
      <c r="T5" s="5">
        <v>2014</v>
      </c>
      <c r="U5" s="6">
        <v>52</v>
      </c>
      <c r="V5" s="6">
        <v>52</v>
      </c>
      <c r="W5" s="6">
        <f t="shared" ref="W5:W12" si="2">U5-V5</f>
        <v>0</v>
      </c>
      <c r="X5" s="7">
        <f>IF(W5&gt;=0,1,0)</f>
        <v>1</v>
      </c>
      <c r="Y5" s="3"/>
    </row>
    <row r="6" spans="1:25" x14ac:dyDescent="0.25">
      <c r="A6" s="3"/>
      <c r="B6" s="5" t="s">
        <v>178</v>
      </c>
      <c r="C6" s="6">
        <v>65</v>
      </c>
      <c r="D6" s="6">
        <v>59</v>
      </c>
      <c r="E6" s="6">
        <f t="shared" ref="E6:E11" si="3">C6-D6</f>
        <v>6</v>
      </c>
      <c r="F6" s="7">
        <f t="shared" ref="F6:F11" si="4">IF(E6&gt;=0,1,0)</f>
        <v>1</v>
      </c>
      <c r="G6" s="4"/>
      <c r="H6" s="5" t="s">
        <v>178</v>
      </c>
      <c r="I6" s="6">
        <v>70</v>
      </c>
      <c r="J6" s="6">
        <v>66</v>
      </c>
      <c r="K6" s="6">
        <f t="shared" si="0"/>
        <v>4</v>
      </c>
      <c r="L6" s="7">
        <f t="shared" ref="L6:L11" si="5">IF(K6&gt;=0,1,0)</f>
        <v>1</v>
      </c>
      <c r="M6" s="4"/>
      <c r="N6" s="5" t="s">
        <v>178</v>
      </c>
      <c r="O6" s="6">
        <v>76</v>
      </c>
      <c r="P6" s="6">
        <v>51</v>
      </c>
      <c r="Q6" s="6">
        <f t="shared" si="1"/>
        <v>25</v>
      </c>
      <c r="R6" s="7">
        <f t="shared" ref="R6:R11" si="6">IF(Q6&gt;=0,1,0)</f>
        <v>1</v>
      </c>
      <c r="S6" s="4"/>
      <c r="T6" s="5" t="s">
        <v>178</v>
      </c>
      <c r="U6" s="6">
        <v>58</v>
      </c>
      <c r="V6" s="6">
        <v>59</v>
      </c>
      <c r="W6" s="6">
        <f t="shared" si="2"/>
        <v>-1</v>
      </c>
      <c r="X6" s="7">
        <f t="shared" ref="X6:X11" si="7">IF(W6&gt;=0,1,0)</f>
        <v>0</v>
      </c>
      <c r="Y6" s="3"/>
    </row>
    <row r="7" spans="1:25" x14ac:dyDescent="0.25">
      <c r="A7" s="3"/>
      <c r="B7" s="5" t="s">
        <v>178</v>
      </c>
      <c r="C7" s="6">
        <v>65</v>
      </c>
      <c r="D7" s="6">
        <v>59</v>
      </c>
      <c r="E7" s="6">
        <f t="shared" si="3"/>
        <v>6</v>
      </c>
      <c r="F7" s="7">
        <f t="shared" si="4"/>
        <v>1</v>
      </c>
      <c r="G7" s="4"/>
      <c r="H7" s="5" t="s">
        <v>178</v>
      </c>
      <c r="I7" s="6">
        <v>52</v>
      </c>
      <c r="J7" s="6">
        <v>69</v>
      </c>
      <c r="K7" s="6">
        <f t="shared" si="0"/>
        <v>-17</v>
      </c>
      <c r="L7" s="7">
        <f t="shared" si="5"/>
        <v>0</v>
      </c>
      <c r="M7" s="4"/>
      <c r="N7" s="5" t="s">
        <v>178</v>
      </c>
      <c r="O7" s="6">
        <v>76</v>
      </c>
      <c r="P7" s="6">
        <v>74</v>
      </c>
      <c r="Q7" s="6">
        <f t="shared" si="1"/>
        <v>2</v>
      </c>
      <c r="R7" s="7">
        <f t="shared" si="6"/>
        <v>1</v>
      </c>
      <c r="S7" s="4"/>
      <c r="T7" s="5" t="s">
        <v>178</v>
      </c>
      <c r="U7" s="6">
        <v>56</v>
      </c>
      <c r="V7" s="6">
        <v>62</v>
      </c>
      <c r="W7" s="6">
        <f t="shared" si="2"/>
        <v>-6</v>
      </c>
      <c r="X7" s="7">
        <f t="shared" si="7"/>
        <v>0</v>
      </c>
      <c r="Y7" s="3"/>
    </row>
    <row r="8" spans="1:25" x14ac:dyDescent="0.25">
      <c r="A8" s="3"/>
      <c r="B8" s="5" t="s">
        <v>179</v>
      </c>
      <c r="C8" s="6">
        <v>69</v>
      </c>
      <c r="D8" s="6">
        <v>68</v>
      </c>
      <c r="E8" s="6">
        <f t="shared" si="3"/>
        <v>1</v>
      </c>
      <c r="F8" s="7">
        <f t="shared" si="4"/>
        <v>1</v>
      </c>
      <c r="G8" s="4"/>
      <c r="H8" s="5" t="s">
        <v>179</v>
      </c>
      <c r="I8" s="6">
        <v>63</v>
      </c>
      <c r="J8" s="6">
        <v>60</v>
      </c>
      <c r="K8" s="6">
        <f t="shared" si="0"/>
        <v>3</v>
      </c>
      <c r="L8" s="7">
        <f t="shared" si="5"/>
        <v>1</v>
      </c>
      <c r="M8" s="4"/>
      <c r="N8" s="5" t="s">
        <v>179</v>
      </c>
      <c r="O8" s="6">
        <v>72</v>
      </c>
      <c r="P8" s="6">
        <v>55</v>
      </c>
      <c r="Q8" s="6">
        <f t="shared" si="1"/>
        <v>17</v>
      </c>
      <c r="R8" s="7">
        <f t="shared" si="6"/>
        <v>1</v>
      </c>
      <c r="S8" s="4"/>
      <c r="T8" s="5" t="s">
        <v>179</v>
      </c>
      <c r="U8" s="6">
        <v>63</v>
      </c>
      <c r="V8" s="6">
        <v>56</v>
      </c>
      <c r="W8" s="6">
        <f t="shared" si="2"/>
        <v>7</v>
      </c>
      <c r="X8" s="7">
        <f t="shared" si="7"/>
        <v>1</v>
      </c>
      <c r="Y8" s="3"/>
    </row>
    <row r="9" spans="1:25" x14ac:dyDescent="0.25">
      <c r="A9" s="3"/>
      <c r="B9" s="5" t="s">
        <v>179</v>
      </c>
      <c r="C9" s="6">
        <v>67</v>
      </c>
      <c r="D9" s="6">
        <v>74</v>
      </c>
      <c r="E9" s="6">
        <f t="shared" si="3"/>
        <v>-7</v>
      </c>
      <c r="F9" s="7">
        <f t="shared" si="4"/>
        <v>0</v>
      </c>
      <c r="G9" s="4"/>
      <c r="H9" s="5" t="s">
        <v>179</v>
      </c>
      <c r="I9" s="6">
        <v>54</v>
      </c>
      <c r="J9" s="6">
        <v>63</v>
      </c>
      <c r="K9" s="6">
        <f t="shared" si="0"/>
        <v>-9</v>
      </c>
      <c r="L9" s="7">
        <f t="shared" si="5"/>
        <v>0</v>
      </c>
      <c r="M9" s="4"/>
      <c r="N9" s="5" t="s">
        <v>179</v>
      </c>
      <c r="O9" s="6">
        <v>67</v>
      </c>
      <c r="P9" s="6">
        <v>61</v>
      </c>
      <c r="Q9" s="6">
        <f t="shared" si="1"/>
        <v>6</v>
      </c>
      <c r="R9" s="7">
        <f t="shared" si="6"/>
        <v>1</v>
      </c>
      <c r="S9" s="4"/>
      <c r="T9" s="5" t="s">
        <v>179</v>
      </c>
      <c r="U9" s="6">
        <v>57</v>
      </c>
      <c r="V9" s="6">
        <v>63</v>
      </c>
      <c r="W9" s="6">
        <f t="shared" si="2"/>
        <v>-6</v>
      </c>
      <c r="X9" s="7">
        <f t="shared" si="7"/>
        <v>0</v>
      </c>
      <c r="Y9" s="3"/>
    </row>
    <row r="10" spans="1:25" x14ac:dyDescent="0.25">
      <c r="A10" s="3"/>
      <c r="B10" s="5" t="s">
        <v>179</v>
      </c>
      <c r="C10" s="6">
        <v>62</v>
      </c>
      <c r="D10" s="6">
        <v>62</v>
      </c>
      <c r="E10" s="6">
        <f t="shared" si="3"/>
        <v>0</v>
      </c>
      <c r="F10" s="7">
        <f t="shared" si="4"/>
        <v>1</v>
      </c>
      <c r="G10" s="4"/>
      <c r="H10" s="5" t="s">
        <v>179</v>
      </c>
      <c r="I10" s="6">
        <v>58</v>
      </c>
      <c r="J10" s="6">
        <v>56</v>
      </c>
      <c r="K10" s="6">
        <f t="shared" si="0"/>
        <v>2</v>
      </c>
      <c r="L10" s="7">
        <f t="shared" si="5"/>
        <v>1</v>
      </c>
      <c r="M10" s="4"/>
      <c r="N10" s="5" t="s">
        <v>179</v>
      </c>
      <c r="O10" s="6">
        <v>64</v>
      </c>
      <c r="P10" s="6">
        <v>59</v>
      </c>
      <c r="Q10" s="6">
        <f t="shared" si="1"/>
        <v>5</v>
      </c>
      <c r="R10" s="7">
        <f t="shared" si="6"/>
        <v>1</v>
      </c>
      <c r="S10" s="4"/>
      <c r="T10" s="5" t="s">
        <v>179</v>
      </c>
      <c r="U10" s="6">
        <v>59</v>
      </c>
      <c r="V10" s="6">
        <v>56</v>
      </c>
      <c r="W10" s="6">
        <f t="shared" si="2"/>
        <v>3</v>
      </c>
      <c r="X10" s="7">
        <f t="shared" si="7"/>
        <v>1</v>
      </c>
      <c r="Y10" s="3"/>
    </row>
    <row r="11" spans="1:25" x14ac:dyDescent="0.25">
      <c r="A11" s="3"/>
      <c r="B11" s="5" t="s">
        <v>179</v>
      </c>
      <c r="C11" s="6">
        <v>69</v>
      </c>
      <c r="D11" s="6">
        <v>63</v>
      </c>
      <c r="E11" s="6">
        <f t="shared" si="3"/>
        <v>6</v>
      </c>
      <c r="F11" s="7">
        <f t="shared" si="4"/>
        <v>1</v>
      </c>
      <c r="G11" s="4"/>
      <c r="H11" s="5" t="s">
        <v>179</v>
      </c>
      <c r="I11" s="6">
        <v>61</v>
      </c>
      <c r="J11" s="6">
        <v>66</v>
      </c>
      <c r="K11" s="6">
        <f t="shared" si="0"/>
        <v>-5</v>
      </c>
      <c r="L11" s="7">
        <f t="shared" si="5"/>
        <v>0</v>
      </c>
      <c r="M11" s="4"/>
      <c r="N11" s="5" t="s">
        <v>179</v>
      </c>
      <c r="O11" s="6">
        <v>73</v>
      </c>
      <c r="P11" s="6">
        <v>58</v>
      </c>
      <c r="Q11" s="6">
        <f t="shared" si="1"/>
        <v>15</v>
      </c>
      <c r="R11" s="7">
        <f t="shared" si="6"/>
        <v>1</v>
      </c>
      <c r="S11" s="4"/>
      <c r="T11" s="5" t="s">
        <v>179</v>
      </c>
      <c r="U11" s="6">
        <v>63</v>
      </c>
      <c r="V11" s="6">
        <v>50</v>
      </c>
      <c r="W11" s="6">
        <f t="shared" si="2"/>
        <v>13</v>
      </c>
      <c r="X11" s="7">
        <f t="shared" si="7"/>
        <v>1</v>
      </c>
      <c r="Y11" s="3"/>
    </row>
    <row r="12" spans="1:25" x14ac:dyDescent="0.25">
      <c r="A12" s="3"/>
      <c r="B12" s="5">
        <v>2014</v>
      </c>
      <c r="C12" s="6">
        <v>55</v>
      </c>
      <c r="D12" s="6">
        <v>78</v>
      </c>
      <c r="E12" s="6">
        <f>C12-D12</f>
        <v>-23</v>
      </c>
      <c r="F12" s="7">
        <f>IF(E12&gt;=0,1,0)</f>
        <v>0</v>
      </c>
      <c r="G12" s="4"/>
      <c r="H12" s="5">
        <v>2014</v>
      </c>
      <c r="I12" s="6">
        <v>70</v>
      </c>
      <c r="J12" s="6">
        <v>65</v>
      </c>
      <c r="K12" s="6">
        <f t="shared" si="0"/>
        <v>5</v>
      </c>
      <c r="L12" s="7">
        <f>IF(K12&gt;=0,1,0)</f>
        <v>1</v>
      </c>
      <c r="M12" s="4"/>
      <c r="N12" s="5">
        <v>2014</v>
      </c>
      <c r="O12" s="6">
        <v>62</v>
      </c>
      <c r="P12" s="6">
        <v>69</v>
      </c>
      <c r="Q12" s="6">
        <f t="shared" ref="Q12:Q25" si="8">O12-P12</f>
        <v>-7</v>
      </c>
      <c r="R12" s="7">
        <f>IF(Q12&gt;=0,1,0)</f>
        <v>0</v>
      </c>
      <c r="S12" s="4"/>
      <c r="T12" s="5">
        <v>2013</v>
      </c>
      <c r="U12" s="6">
        <v>64</v>
      </c>
      <c r="V12" s="6">
        <v>68</v>
      </c>
      <c r="W12" s="6">
        <f t="shared" si="2"/>
        <v>-4</v>
      </c>
      <c r="X12" s="7">
        <f>IF(W12&gt;=0,1,0)</f>
        <v>0</v>
      </c>
      <c r="Y12" s="3"/>
    </row>
    <row r="13" spans="1:25" x14ac:dyDescent="0.25">
      <c r="A13" s="3"/>
      <c r="B13" s="5" t="s">
        <v>178</v>
      </c>
      <c r="C13" s="6">
        <v>65</v>
      </c>
      <c r="D13" s="6">
        <v>66</v>
      </c>
      <c r="E13" s="6">
        <f t="shared" ref="E13:E18" si="9">C13-D13</f>
        <v>-1</v>
      </c>
      <c r="F13" s="7">
        <f t="shared" ref="F13:F18" si="10">IF(E13&gt;=0,1,0)</f>
        <v>0</v>
      </c>
      <c r="G13" s="4"/>
      <c r="H13" s="5" t="s">
        <v>178</v>
      </c>
      <c r="I13" s="6">
        <v>76</v>
      </c>
      <c r="J13" s="6">
        <v>52</v>
      </c>
      <c r="K13" s="6">
        <f t="shared" ref="K13:K18" si="11">I13-J13</f>
        <v>24</v>
      </c>
      <c r="L13" s="7">
        <f t="shared" ref="L13:L18" si="12">IF(K13&gt;=0,1,0)</f>
        <v>1</v>
      </c>
      <c r="M13" s="4"/>
      <c r="N13" s="5" t="s">
        <v>178</v>
      </c>
      <c r="O13" s="6">
        <v>70</v>
      </c>
      <c r="P13" s="6">
        <v>63</v>
      </c>
      <c r="Q13" s="6">
        <f t="shared" si="8"/>
        <v>7</v>
      </c>
      <c r="R13" s="7">
        <f t="shared" ref="R13:R18" si="13">IF(Q13&gt;=0,1,0)</f>
        <v>1</v>
      </c>
      <c r="S13" s="4"/>
      <c r="T13" s="5" t="s">
        <v>178</v>
      </c>
      <c r="U13" s="6">
        <v>67</v>
      </c>
      <c r="V13" s="6">
        <v>50</v>
      </c>
      <c r="W13" s="6">
        <f t="shared" ref="W13:W18" si="14">U13-V13</f>
        <v>17</v>
      </c>
      <c r="X13" s="7">
        <f t="shared" ref="X13:X18" si="15">IF(W13&gt;=0,1,0)</f>
        <v>1</v>
      </c>
      <c r="Y13" s="3"/>
    </row>
    <row r="14" spans="1:25" x14ac:dyDescent="0.25">
      <c r="A14" s="3"/>
      <c r="B14" s="5" t="s">
        <v>178</v>
      </c>
      <c r="C14" s="6">
        <v>61</v>
      </c>
      <c r="D14" s="6">
        <v>62</v>
      </c>
      <c r="E14" s="6">
        <f t="shared" si="9"/>
        <v>-1</v>
      </c>
      <c r="F14" s="7">
        <f t="shared" si="10"/>
        <v>0</v>
      </c>
      <c r="G14" s="4"/>
      <c r="H14" s="5" t="s">
        <v>178</v>
      </c>
      <c r="I14" s="6">
        <v>67</v>
      </c>
      <c r="J14" s="6">
        <v>57</v>
      </c>
      <c r="K14" s="6">
        <f t="shared" si="11"/>
        <v>10</v>
      </c>
      <c r="L14" s="7">
        <f t="shared" si="12"/>
        <v>1</v>
      </c>
      <c r="M14" s="4"/>
      <c r="N14" s="5" t="s">
        <v>178</v>
      </c>
      <c r="O14" s="6">
        <v>65</v>
      </c>
      <c r="P14" s="6">
        <v>55</v>
      </c>
      <c r="Q14" s="6">
        <f t="shared" si="8"/>
        <v>10</v>
      </c>
      <c r="R14" s="7">
        <f t="shared" si="13"/>
        <v>1</v>
      </c>
      <c r="S14" s="4"/>
      <c r="T14" s="5" t="s">
        <v>178</v>
      </c>
      <c r="U14" s="6">
        <v>71</v>
      </c>
      <c r="V14" s="6">
        <v>64</v>
      </c>
      <c r="W14" s="6">
        <f t="shared" si="14"/>
        <v>7</v>
      </c>
      <c r="X14" s="7">
        <f t="shared" si="15"/>
        <v>1</v>
      </c>
      <c r="Y14" s="3"/>
    </row>
    <row r="15" spans="1:25" x14ac:dyDescent="0.25">
      <c r="A15" s="3"/>
      <c r="B15" s="5" t="s">
        <v>179</v>
      </c>
      <c r="C15" s="6">
        <v>73</v>
      </c>
      <c r="D15" s="6">
        <v>58</v>
      </c>
      <c r="E15" s="6">
        <f t="shared" si="9"/>
        <v>15</v>
      </c>
      <c r="F15" s="7">
        <f t="shared" si="10"/>
        <v>1</v>
      </c>
      <c r="G15" s="4"/>
      <c r="H15" s="5" t="s">
        <v>179</v>
      </c>
      <c r="I15" s="6">
        <v>62</v>
      </c>
      <c r="J15" s="6">
        <v>63</v>
      </c>
      <c r="K15" s="6">
        <f t="shared" si="11"/>
        <v>-1</v>
      </c>
      <c r="L15" s="7">
        <f t="shared" si="12"/>
        <v>0</v>
      </c>
      <c r="M15" s="4"/>
      <c r="N15" s="5" t="s">
        <v>179</v>
      </c>
      <c r="O15" s="6">
        <v>70</v>
      </c>
      <c r="P15" s="6">
        <v>56</v>
      </c>
      <c r="Q15" s="6">
        <f t="shared" si="8"/>
        <v>14</v>
      </c>
      <c r="R15" s="7">
        <f t="shared" si="13"/>
        <v>1</v>
      </c>
      <c r="S15" s="4"/>
      <c r="T15" s="5" t="s">
        <v>179</v>
      </c>
      <c r="U15" s="6">
        <v>68</v>
      </c>
      <c r="V15" s="6">
        <v>56</v>
      </c>
      <c r="W15" s="6">
        <f t="shared" si="14"/>
        <v>12</v>
      </c>
      <c r="X15" s="7">
        <f t="shared" si="15"/>
        <v>1</v>
      </c>
      <c r="Y15" s="3"/>
    </row>
    <row r="16" spans="1:25" x14ac:dyDescent="0.25">
      <c r="A16" s="3"/>
      <c r="B16" s="5" t="s">
        <v>179</v>
      </c>
      <c r="C16" s="6">
        <v>58</v>
      </c>
      <c r="D16" s="6">
        <v>73</v>
      </c>
      <c r="E16" s="6">
        <f t="shared" si="9"/>
        <v>-15</v>
      </c>
      <c r="F16" s="7">
        <f t="shared" si="10"/>
        <v>0</v>
      </c>
      <c r="G16" s="4"/>
      <c r="H16" s="5" t="s">
        <v>179</v>
      </c>
      <c r="I16" s="6">
        <v>68</v>
      </c>
      <c r="J16" s="6">
        <v>70</v>
      </c>
      <c r="K16" s="6">
        <f t="shared" si="11"/>
        <v>-2</v>
      </c>
      <c r="L16" s="7">
        <f t="shared" si="12"/>
        <v>0</v>
      </c>
      <c r="M16" s="4"/>
      <c r="N16" s="5" t="s">
        <v>179</v>
      </c>
      <c r="O16" s="6">
        <v>63</v>
      </c>
      <c r="P16" s="6">
        <v>61</v>
      </c>
      <c r="Q16" s="6">
        <f t="shared" si="8"/>
        <v>2</v>
      </c>
      <c r="R16" s="7">
        <f t="shared" si="13"/>
        <v>1</v>
      </c>
      <c r="S16" s="4"/>
      <c r="T16" s="5" t="s">
        <v>179</v>
      </c>
      <c r="U16" s="6">
        <v>61</v>
      </c>
      <c r="V16" s="6">
        <v>52</v>
      </c>
      <c r="W16" s="6">
        <f t="shared" si="14"/>
        <v>9</v>
      </c>
      <c r="X16" s="7">
        <f t="shared" si="15"/>
        <v>1</v>
      </c>
      <c r="Y16" s="3"/>
    </row>
    <row r="17" spans="1:25" x14ac:dyDescent="0.25">
      <c r="A17" s="3"/>
      <c r="B17" s="5" t="s">
        <v>179</v>
      </c>
      <c r="C17" s="6">
        <v>52</v>
      </c>
      <c r="D17" s="6">
        <v>61</v>
      </c>
      <c r="E17" s="6">
        <f t="shared" si="9"/>
        <v>-9</v>
      </c>
      <c r="F17" s="7">
        <f t="shared" si="10"/>
        <v>0</v>
      </c>
      <c r="G17" s="4"/>
      <c r="H17" s="5" t="s">
        <v>179</v>
      </c>
      <c r="I17" s="6">
        <v>59</v>
      </c>
      <c r="J17" s="6">
        <v>50</v>
      </c>
      <c r="K17" s="6">
        <f t="shared" si="11"/>
        <v>9</v>
      </c>
      <c r="L17" s="7">
        <f t="shared" si="12"/>
        <v>1</v>
      </c>
      <c r="M17" s="4"/>
      <c r="N17" s="5" t="s">
        <v>179</v>
      </c>
      <c r="O17" s="6">
        <v>65</v>
      </c>
      <c r="P17" s="6">
        <v>60</v>
      </c>
      <c r="Q17" s="6">
        <f t="shared" si="8"/>
        <v>5</v>
      </c>
      <c r="R17" s="7">
        <f t="shared" si="13"/>
        <v>1</v>
      </c>
      <c r="S17" s="4"/>
      <c r="T17" s="5" t="s">
        <v>179</v>
      </c>
      <c r="U17" s="6">
        <v>55</v>
      </c>
      <c r="V17" s="6">
        <v>63</v>
      </c>
      <c r="W17" s="6">
        <f t="shared" si="14"/>
        <v>-8</v>
      </c>
      <c r="X17" s="7">
        <f t="shared" si="15"/>
        <v>0</v>
      </c>
      <c r="Y17" s="3"/>
    </row>
    <row r="18" spans="1:25" x14ac:dyDescent="0.25">
      <c r="A18" s="3"/>
      <c r="B18" s="5" t="s">
        <v>179</v>
      </c>
      <c r="C18" s="6">
        <v>64</v>
      </c>
      <c r="D18" s="6">
        <v>61</v>
      </c>
      <c r="E18" s="6">
        <f t="shared" si="9"/>
        <v>3</v>
      </c>
      <c r="F18" s="7">
        <f t="shared" si="10"/>
        <v>1</v>
      </c>
      <c r="G18" s="4"/>
      <c r="H18" s="5" t="s">
        <v>179</v>
      </c>
      <c r="I18" s="6">
        <v>62</v>
      </c>
      <c r="J18" s="6">
        <v>76</v>
      </c>
      <c r="K18" s="6">
        <f t="shared" si="11"/>
        <v>-14</v>
      </c>
      <c r="L18" s="7">
        <f t="shared" si="12"/>
        <v>0</v>
      </c>
      <c r="M18" s="4"/>
      <c r="N18" s="5" t="s">
        <v>179</v>
      </c>
      <c r="O18" s="6">
        <v>70</v>
      </c>
      <c r="P18" s="6">
        <v>72</v>
      </c>
      <c r="Q18" s="6">
        <f t="shared" si="8"/>
        <v>-2</v>
      </c>
      <c r="R18" s="7">
        <f t="shared" si="13"/>
        <v>0</v>
      </c>
      <c r="S18" s="4"/>
      <c r="T18" s="5" t="s">
        <v>179</v>
      </c>
      <c r="U18" s="6">
        <v>59</v>
      </c>
      <c r="V18" s="6">
        <v>63</v>
      </c>
      <c r="W18" s="6">
        <f t="shared" si="14"/>
        <v>-4</v>
      </c>
      <c r="X18" s="7">
        <f t="shared" si="15"/>
        <v>0</v>
      </c>
      <c r="Y18" s="3"/>
    </row>
    <row r="19" spans="1:25" x14ac:dyDescent="0.25">
      <c r="A19" s="3"/>
      <c r="B19" s="5">
        <v>2013</v>
      </c>
      <c r="C19" s="6">
        <v>63</v>
      </c>
      <c r="D19" s="6">
        <v>62</v>
      </c>
      <c r="E19" s="6">
        <f>C19-D19</f>
        <v>1</v>
      </c>
      <c r="F19" s="7">
        <f>IF(E19&gt;=0,1,0)</f>
        <v>1</v>
      </c>
      <c r="G19" s="4"/>
      <c r="H19" s="5">
        <v>2013</v>
      </c>
      <c r="I19" s="6">
        <v>70</v>
      </c>
      <c r="J19" s="6">
        <v>62</v>
      </c>
      <c r="K19" s="6">
        <f>I19-J19</f>
        <v>8</v>
      </c>
      <c r="L19" s="7">
        <f>IF(K19&gt;=0,1,0)</f>
        <v>1</v>
      </c>
      <c r="M19" s="4"/>
      <c r="N19" s="5">
        <v>2013</v>
      </c>
      <c r="O19" s="6">
        <v>64</v>
      </c>
      <c r="P19" s="6">
        <v>65</v>
      </c>
      <c r="Q19" s="6">
        <f t="shared" si="8"/>
        <v>-1</v>
      </c>
      <c r="R19" s="7">
        <f>IF(Q19&gt;=0,1,0)</f>
        <v>0</v>
      </c>
      <c r="S19" s="4"/>
      <c r="T19" s="5">
        <v>2012</v>
      </c>
      <c r="U19" s="6">
        <v>66</v>
      </c>
      <c r="V19" s="6">
        <v>62</v>
      </c>
      <c r="W19" s="6">
        <f>U19-V19</f>
        <v>4</v>
      </c>
      <c r="X19" s="7">
        <f>IF(W19&gt;=0,1,0)</f>
        <v>1</v>
      </c>
      <c r="Y19" s="3"/>
    </row>
    <row r="20" spans="1:25" x14ac:dyDescent="0.25">
      <c r="A20" s="3"/>
      <c r="B20" s="5" t="s">
        <v>178</v>
      </c>
      <c r="C20" s="6">
        <v>63</v>
      </c>
      <c r="D20" s="6">
        <v>60</v>
      </c>
      <c r="E20" s="6">
        <f t="shared" ref="E20:E25" si="16">C20-D20</f>
        <v>3</v>
      </c>
      <c r="F20" s="7">
        <f t="shared" ref="F20:F25" si="17">IF(E20&gt;=0,1,0)</f>
        <v>1</v>
      </c>
      <c r="G20" s="4"/>
      <c r="H20" s="5" t="s">
        <v>178</v>
      </c>
      <c r="I20" s="6">
        <v>64</v>
      </c>
      <c r="J20" s="6">
        <v>67</v>
      </c>
      <c r="K20" s="6">
        <f t="shared" ref="K20:K25" si="18">I20-J20</f>
        <v>-3</v>
      </c>
      <c r="L20" s="7">
        <f t="shared" ref="L20:L25" si="19">IF(K20&gt;=0,1,0)</f>
        <v>0</v>
      </c>
      <c r="M20" s="4"/>
      <c r="N20" s="5" t="s">
        <v>178</v>
      </c>
      <c r="O20" s="6">
        <v>69</v>
      </c>
      <c r="P20" s="6">
        <v>60</v>
      </c>
      <c r="Q20" s="6">
        <f t="shared" si="8"/>
        <v>9</v>
      </c>
      <c r="R20" s="7">
        <f t="shared" ref="R20:R25" si="20">IF(Q20&gt;=0,1,0)</f>
        <v>1</v>
      </c>
      <c r="S20" s="4"/>
      <c r="T20" s="5" t="s">
        <v>178</v>
      </c>
      <c r="U20" s="6">
        <v>59</v>
      </c>
      <c r="V20" s="6">
        <v>60</v>
      </c>
      <c r="W20" s="6">
        <f t="shared" ref="W20:W25" si="21">U20-V20</f>
        <v>-1</v>
      </c>
      <c r="X20" s="7">
        <f t="shared" ref="X20:X25" si="22">IF(W20&gt;=0,1,0)</f>
        <v>0</v>
      </c>
      <c r="Y20" s="3"/>
    </row>
    <row r="21" spans="1:25" x14ac:dyDescent="0.25">
      <c r="A21" s="3"/>
      <c r="B21" s="5" t="s">
        <v>178</v>
      </c>
      <c r="C21" s="6">
        <v>64</v>
      </c>
      <c r="D21" s="6">
        <v>62</v>
      </c>
      <c r="E21" s="6">
        <f t="shared" si="16"/>
        <v>2</v>
      </c>
      <c r="F21" s="7">
        <f t="shared" si="17"/>
        <v>1</v>
      </c>
      <c r="G21" s="4"/>
      <c r="H21" s="5" t="s">
        <v>178</v>
      </c>
      <c r="I21" s="6">
        <v>60</v>
      </c>
      <c r="J21" s="6">
        <v>58</v>
      </c>
      <c r="K21" s="6">
        <f t="shared" si="18"/>
        <v>2</v>
      </c>
      <c r="L21" s="7">
        <f t="shared" si="19"/>
        <v>1</v>
      </c>
      <c r="M21" s="4"/>
      <c r="N21" s="5" t="s">
        <v>178</v>
      </c>
      <c r="O21" s="6">
        <v>70</v>
      </c>
      <c r="P21" s="6">
        <v>55</v>
      </c>
      <c r="Q21" s="6">
        <f t="shared" si="8"/>
        <v>15</v>
      </c>
      <c r="R21" s="7">
        <f t="shared" si="20"/>
        <v>1</v>
      </c>
      <c r="S21" s="4"/>
      <c r="T21" s="5" t="s">
        <v>178</v>
      </c>
      <c r="U21" s="6">
        <v>74</v>
      </c>
      <c r="V21" s="6">
        <v>61</v>
      </c>
      <c r="W21" s="6">
        <f t="shared" si="21"/>
        <v>13</v>
      </c>
      <c r="X21" s="7">
        <f t="shared" si="22"/>
        <v>1</v>
      </c>
      <c r="Y21" s="3"/>
    </row>
    <row r="22" spans="1:25" x14ac:dyDescent="0.25">
      <c r="A22" s="3"/>
      <c r="B22" s="5" t="s">
        <v>179</v>
      </c>
      <c r="C22" s="6">
        <v>67</v>
      </c>
      <c r="D22" s="6">
        <v>60</v>
      </c>
      <c r="E22" s="6">
        <f t="shared" si="16"/>
        <v>7</v>
      </c>
      <c r="F22" s="7">
        <f t="shared" si="17"/>
        <v>1</v>
      </c>
      <c r="G22" s="4"/>
      <c r="H22" s="5" t="s">
        <v>179</v>
      </c>
      <c r="I22" s="6">
        <v>64</v>
      </c>
      <c r="J22" s="6">
        <v>60</v>
      </c>
      <c r="K22" s="6">
        <f t="shared" si="18"/>
        <v>4</v>
      </c>
      <c r="L22" s="7">
        <f t="shared" si="19"/>
        <v>1</v>
      </c>
      <c r="M22" s="4"/>
      <c r="N22" s="5" t="s">
        <v>179</v>
      </c>
      <c r="O22" s="6">
        <v>61</v>
      </c>
      <c r="P22" s="6">
        <v>53</v>
      </c>
      <c r="Q22" s="6">
        <f t="shared" si="8"/>
        <v>8</v>
      </c>
      <c r="R22" s="7">
        <f t="shared" si="20"/>
        <v>1</v>
      </c>
      <c r="S22" s="4"/>
      <c r="T22" s="5" t="s">
        <v>179</v>
      </c>
      <c r="U22" s="6">
        <v>59</v>
      </c>
      <c r="V22" s="6">
        <v>63</v>
      </c>
      <c r="W22" s="6">
        <f t="shared" si="21"/>
        <v>-4</v>
      </c>
      <c r="X22" s="7">
        <f t="shared" si="22"/>
        <v>0</v>
      </c>
      <c r="Y22" s="3"/>
    </row>
    <row r="23" spans="1:25" x14ac:dyDescent="0.25">
      <c r="A23" s="3"/>
      <c r="B23" s="5" t="s">
        <v>179</v>
      </c>
      <c r="C23" s="6">
        <v>62</v>
      </c>
      <c r="D23" s="6">
        <v>67</v>
      </c>
      <c r="E23" s="6">
        <f t="shared" si="16"/>
        <v>-5</v>
      </c>
      <c r="F23" s="7">
        <f t="shared" si="17"/>
        <v>0</v>
      </c>
      <c r="G23" s="4"/>
      <c r="H23" s="5" t="s">
        <v>179</v>
      </c>
      <c r="I23" s="6">
        <v>75</v>
      </c>
      <c r="J23" s="6">
        <v>67</v>
      </c>
      <c r="K23" s="6">
        <f t="shared" si="18"/>
        <v>8</v>
      </c>
      <c r="L23" s="7">
        <f t="shared" si="19"/>
        <v>1</v>
      </c>
      <c r="M23" s="4"/>
      <c r="N23" s="5" t="s">
        <v>179</v>
      </c>
      <c r="O23" s="6">
        <v>69</v>
      </c>
      <c r="P23" s="6">
        <v>59</v>
      </c>
      <c r="Q23" s="6">
        <f t="shared" si="8"/>
        <v>10</v>
      </c>
      <c r="R23" s="7">
        <f t="shared" si="20"/>
        <v>1</v>
      </c>
      <c r="S23" s="4"/>
      <c r="T23" s="5" t="s">
        <v>179</v>
      </c>
      <c r="U23" s="6">
        <v>57</v>
      </c>
      <c r="V23" s="6">
        <v>66</v>
      </c>
      <c r="W23" s="6">
        <f t="shared" si="21"/>
        <v>-9</v>
      </c>
      <c r="X23" s="7">
        <f t="shared" si="22"/>
        <v>0</v>
      </c>
      <c r="Y23" s="3"/>
    </row>
    <row r="24" spans="1:25" x14ac:dyDescent="0.25">
      <c r="A24" s="3"/>
      <c r="B24" s="5" t="s">
        <v>179</v>
      </c>
      <c r="C24" s="6">
        <v>68</v>
      </c>
      <c r="D24" s="6">
        <v>68</v>
      </c>
      <c r="E24" s="6">
        <f t="shared" si="16"/>
        <v>0</v>
      </c>
      <c r="F24" s="7">
        <f t="shared" si="17"/>
        <v>1</v>
      </c>
      <c r="G24" s="4"/>
      <c r="H24" s="5" t="s">
        <v>179</v>
      </c>
      <c r="I24" s="6">
        <v>75</v>
      </c>
      <c r="J24" s="6">
        <v>60</v>
      </c>
      <c r="K24" s="6">
        <f t="shared" si="18"/>
        <v>15</v>
      </c>
      <c r="L24" s="7">
        <f t="shared" si="19"/>
        <v>1</v>
      </c>
      <c r="M24" s="4"/>
      <c r="N24" s="5" t="s">
        <v>179</v>
      </c>
      <c r="O24" s="6">
        <v>72</v>
      </c>
      <c r="P24" s="6">
        <v>68</v>
      </c>
      <c r="Q24" s="6">
        <f t="shared" si="8"/>
        <v>4</v>
      </c>
      <c r="R24" s="7">
        <f t="shared" si="20"/>
        <v>1</v>
      </c>
      <c r="S24" s="4"/>
      <c r="T24" s="5" t="s">
        <v>179</v>
      </c>
      <c r="U24" s="6">
        <v>55</v>
      </c>
      <c r="V24" s="6">
        <v>52</v>
      </c>
      <c r="W24" s="6">
        <f t="shared" si="21"/>
        <v>3</v>
      </c>
      <c r="X24" s="7">
        <f t="shared" si="22"/>
        <v>1</v>
      </c>
      <c r="Y24" s="3"/>
    </row>
    <row r="25" spans="1:25" x14ac:dyDescent="0.25">
      <c r="A25" s="3"/>
      <c r="B25" s="5" t="s">
        <v>179</v>
      </c>
      <c r="C25" s="6">
        <v>69</v>
      </c>
      <c r="D25" s="6">
        <v>46</v>
      </c>
      <c r="E25" s="6">
        <f t="shared" si="16"/>
        <v>23</v>
      </c>
      <c r="F25" s="7">
        <f t="shared" si="17"/>
        <v>1</v>
      </c>
      <c r="G25" s="4"/>
      <c r="H25" s="5" t="s">
        <v>179</v>
      </c>
      <c r="I25" s="6">
        <v>47</v>
      </c>
      <c r="J25" s="6">
        <v>59</v>
      </c>
      <c r="K25" s="6">
        <f t="shared" si="18"/>
        <v>-12</v>
      </c>
      <c r="L25" s="7">
        <f t="shared" si="19"/>
        <v>0</v>
      </c>
      <c r="M25" s="4"/>
      <c r="N25" s="5" t="s">
        <v>179</v>
      </c>
      <c r="O25" s="6">
        <v>68</v>
      </c>
      <c r="P25" s="6">
        <v>57</v>
      </c>
      <c r="Q25" s="6">
        <f t="shared" si="8"/>
        <v>11</v>
      </c>
      <c r="R25" s="7">
        <f t="shared" si="20"/>
        <v>1</v>
      </c>
      <c r="S25" s="4"/>
      <c r="T25" s="5" t="s">
        <v>179</v>
      </c>
      <c r="U25" s="6">
        <v>63</v>
      </c>
      <c r="V25" s="6">
        <v>58</v>
      </c>
      <c r="W25" s="6">
        <f t="shared" si="21"/>
        <v>5</v>
      </c>
      <c r="X25" s="7">
        <f t="shared" si="22"/>
        <v>1</v>
      </c>
      <c r="Y25" s="3"/>
    </row>
    <row r="26" spans="1:25" x14ac:dyDescent="0.25">
      <c r="A26" s="3"/>
      <c r="B26" s="5">
        <v>2012</v>
      </c>
      <c r="C26" s="6">
        <v>59</v>
      </c>
      <c r="D26" s="6">
        <v>67</v>
      </c>
      <c r="E26" s="6">
        <f>C26-D26</f>
        <v>-8</v>
      </c>
      <c r="F26" s="7">
        <f>IF(E26&gt;=0,1,0)</f>
        <v>0</v>
      </c>
      <c r="G26" s="4"/>
      <c r="H26" s="5">
        <v>2012</v>
      </c>
      <c r="I26" s="6">
        <v>62</v>
      </c>
      <c r="J26" s="6">
        <v>59</v>
      </c>
      <c r="K26" s="6">
        <f t="shared" ref="K26:K32" si="23">I26-J26</f>
        <v>3</v>
      </c>
      <c r="L26" s="7">
        <f>IF(K26&gt;=0,1,0)</f>
        <v>1</v>
      </c>
      <c r="M26" s="4"/>
      <c r="N26" s="5">
        <v>2012</v>
      </c>
      <c r="O26" s="12">
        <v>69</v>
      </c>
      <c r="P26" s="12">
        <v>56</v>
      </c>
      <c r="Q26" s="6">
        <f>O26-P26</f>
        <v>13</v>
      </c>
      <c r="R26" s="7">
        <f>IF(Q26&gt;=0,1,0)</f>
        <v>1</v>
      </c>
      <c r="S26" s="4"/>
      <c r="T26" s="5">
        <v>2011</v>
      </c>
      <c r="U26" s="6">
        <v>66</v>
      </c>
      <c r="V26" s="6">
        <v>68</v>
      </c>
      <c r="W26" s="6">
        <f t="shared" ref="W26:W32" si="24">U26-V26</f>
        <v>-2</v>
      </c>
      <c r="X26" s="7">
        <f>IF(W26&gt;=0,1,0)</f>
        <v>0</v>
      </c>
      <c r="Y26" s="3"/>
    </row>
    <row r="27" spans="1:25" x14ac:dyDescent="0.25">
      <c r="A27" s="3"/>
      <c r="B27" s="5" t="s">
        <v>178</v>
      </c>
      <c r="C27" s="6">
        <v>61</v>
      </c>
      <c r="D27" s="6">
        <v>63</v>
      </c>
      <c r="E27" s="6">
        <f t="shared" ref="E27:E32" si="25">C27-D27</f>
        <v>-2</v>
      </c>
      <c r="F27" s="7">
        <f t="shared" ref="F27:F32" si="26">IF(E27&gt;=0,1,0)</f>
        <v>0</v>
      </c>
      <c r="G27" s="4"/>
      <c r="H27" s="5" t="s">
        <v>178</v>
      </c>
      <c r="I27" s="6">
        <v>68</v>
      </c>
      <c r="J27" s="6">
        <v>56</v>
      </c>
      <c r="K27" s="6">
        <f t="shared" si="23"/>
        <v>12</v>
      </c>
      <c r="L27" s="7">
        <f t="shared" ref="L27:L32" si="27">IF(K27&gt;=0,1,0)</f>
        <v>1</v>
      </c>
      <c r="M27" s="4"/>
      <c r="N27" s="5" t="s">
        <v>178</v>
      </c>
      <c r="O27" s="12">
        <v>64</v>
      </c>
      <c r="P27" s="12">
        <v>63</v>
      </c>
      <c r="Q27" s="6">
        <f t="shared" ref="Q27:Q32" si="28">O27-P27</f>
        <v>1</v>
      </c>
      <c r="R27" s="7">
        <f t="shared" ref="R27:R32" si="29">IF(Q27&gt;=0,1,0)</f>
        <v>1</v>
      </c>
      <c r="S27" s="4"/>
      <c r="T27" s="5" t="s">
        <v>178</v>
      </c>
      <c r="U27" s="6">
        <v>59</v>
      </c>
      <c r="V27" s="6">
        <v>62</v>
      </c>
      <c r="W27" s="6">
        <f t="shared" si="24"/>
        <v>-3</v>
      </c>
      <c r="X27" s="7">
        <f t="shared" ref="X27:X32" si="30">IF(W27&gt;=0,1,0)</f>
        <v>0</v>
      </c>
      <c r="Y27" s="3"/>
    </row>
    <row r="28" spans="1:25" x14ac:dyDescent="0.25">
      <c r="A28" s="3"/>
      <c r="B28" s="5" t="s">
        <v>178</v>
      </c>
      <c r="C28" s="6">
        <v>77</v>
      </c>
      <c r="D28" s="6">
        <v>64</v>
      </c>
      <c r="E28" s="6">
        <f t="shared" si="25"/>
        <v>13</v>
      </c>
      <c r="F28" s="7">
        <f t="shared" si="26"/>
        <v>1</v>
      </c>
      <c r="G28" s="4"/>
      <c r="H28" s="5" t="s">
        <v>178</v>
      </c>
      <c r="I28" s="6">
        <v>60</v>
      </c>
      <c r="J28" s="6">
        <v>56</v>
      </c>
      <c r="K28" s="6">
        <f t="shared" si="23"/>
        <v>4</v>
      </c>
      <c r="L28" s="7">
        <f t="shared" si="27"/>
        <v>1</v>
      </c>
      <c r="M28" s="4"/>
      <c r="N28" s="5" t="s">
        <v>178</v>
      </c>
      <c r="O28" s="12">
        <v>60</v>
      </c>
      <c r="P28" s="12">
        <v>63</v>
      </c>
      <c r="Q28" s="6">
        <f t="shared" si="28"/>
        <v>-3</v>
      </c>
      <c r="R28" s="7">
        <f t="shared" si="29"/>
        <v>0</v>
      </c>
      <c r="S28" s="4"/>
      <c r="T28" s="5" t="s">
        <v>178</v>
      </c>
      <c r="U28" s="6">
        <v>68</v>
      </c>
      <c r="V28" s="6">
        <v>54</v>
      </c>
      <c r="W28" s="6">
        <f t="shared" si="24"/>
        <v>14</v>
      </c>
      <c r="X28" s="7">
        <f t="shared" si="30"/>
        <v>1</v>
      </c>
      <c r="Y28" s="3"/>
    </row>
    <row r="29" spans="1:25" x14ac:dyDescent="0.25">
      <c r="A29" s="3"/>
      <c r="B29" s="5" t="s">
        <v>179</v>
      </c>
      <c r="C29" s="6">
        <v>52</v>
      </c>
      <c r="D29" s="6">
        <v>65</v>
      </c>
      <c r="E29" s="6">
        <f t="shared" si="25"/>
        <v>-13</v>
      </c>
      <c r="F29" s="7">
        <f t="shared" si="26"/>
        <v>0</v>
      </c>
      <c r="G29" s="4"/>
      <c r="H29" s="5" t="s">
        <v>179</v>
      </c>
      <c r="I29" s="6">
        <v>67</v>
      </c>
      <c r="J29" s="6">
        <v>68</v>
      </c>
      <c r="K29" s="6">
        <f t="shared" si="23"/>
        <v>-1</v>
      </c>
      <c r="L29" s="7">
        <f t="shared" si="27"/>
        <v>0</v>
      </c>
      <c r="M29" s="4"/>
      <c r="N29" s="5" t="s">
        <v>179</v>
      </c>
      <c r="O29" s="12">
        <v>65</v>
      </c>
      <c r="P29" s="12">
        <v>57</v>
      </c>
      <c r="Q29" s="6">
        <f t="shared" si="28"/>
        <v>8</v>
      </c>
      <c r="R29" s="7">
        <f t="shared" si="29"/>
        <v>1</v>
      </c>
      <c r="S29" s="4"/>
      <c r="T29" s="5" t="s">
        <v>179</v>
      </c>
      <c r="U29" s="6">
        <v>65</v>
      </c>
      <c r="V29" s="6">
        <v>66</v>
      </c>
      <c r="W29" s="6">
        <f t="shared" si="24"/>
        <v>-1</v>
      </c>
      <c r="X29" s="7">
        <f t="shared" si="30"/>
        <v>0</v>
      </c>
      <c r="Y29" s="3"/>
    </row>
    <row r="30" spans="1:25" x14ac:dyDescent="0.25">
      <c r="A30" s="3"/>
      <c r="B30" s="5" t="s">
        <v>179</v>
      </c>
      <c r="C30" s="6">
        <v>70</v>
      </c>
      <c r="D30" s="6">
        <v>62</v>
      </c>
      <c r="E30" s="6">
        <f t="shared" si="25"/>
        <v>8</v>
      </c>
      <c r="F30" s="7">
        <f t="shared" si="26"/>
        <v>1</v>
      </c>
      <c r="G30" s="4"/>
      <c r="H30" s="5" t="s">
        <v>179</v>
      </c>
      <c r="I30" s="6">
        <v>66</v>
      </c>
      <c r="J30" s="6">
        <v>63</v>
      </c>
      <c r="K30" s="6">
        <f t="shared" si="23"/>
        <v>3</v>
      </c>
      <c r="L30" s="7">
        <f t="shared" si="27"/>
        <v>1</v>
      </c>
      <c r="M30" s="4"/>
      <c r="N30" s="5" t="s">
        <v>179</v>
      </c>
      <c r="O30" s="6">
        <v>62</v>
      </c>
      <c r="P30" s="6">
        <v>65</v>
      </c>
      <c r="Q30" s="6">
        <f t="shared" si="28"/>
        <v>-3</v>
      </c>
      <c r="R30" s="7">
        <f t="shared" si="29"/>
        <v>0</v>
      </c>
      <c r="S30" s="4"/>
      <c r="T30" s="5" t="s">
        <v>179</v>
      </c>
      <c r="U30" s="6">
        <v>69</v>
      </c>
      <c r="V30" s="6">
        <v>59</v>
      </c>
      <c r="W30" s="6">
        <f t="shared" si="24"/>
        <v>10</v>
      </c>
      <c r="X30" s="7">
        <f t="shared" si="30"/>
        <v>1</v>
      </c>
      <c r="Y30" s="3"/>
    </row>
    <row r="31" spans="1:25" x14ac:dyDescent="0.25">
      <c r="A31" s="3"/>
      <c r="B31" s="5" t="s">
        <v>179</v>
      </c>
      <c r="C31" s="6">
        <v>57</v>
      </c>
      <c r="D31" s="6">
        <v>67</v>
      </c>
      <c r="E31" s="6">
        <f t="shared" si="25"/>
        <v>-10</v>
      </c>
      <c r="F31" s="7">
        <f t="shared" si="26"/>
        <v>0</v>
      </c>
      <c r="G31" s="4"/>
      <c r="H31" s="5" t="s">
        <v>179</v>
      </c>
      <c r="I31" s="6">
        <v>58</v>
      </c>
      <c r="J31" s="6">
        <v>59</v>
      </c>
      <c r="K31" s="6">
        <f t="shared" si="23"/>
        <v>-1</v>
      </c>
      <c r="L31" s="7">
        <f t="shared" si="27"/>
        <v>0</v>
      </c>
      <c r="M31" s="4"/>
      <c r="N31" s="5" t="s">
        <v>179</v>
      </c>
      <c r="O31" s="6">
        <v>61</v>
      </c>
      <c r="P31" s="6">
        <v>68</v>
      </c>
      <c r="Q31" s="6">
        <f t="shared" si="28"/>
        <v>-7</v>
      </c>
      <c r="R31" s="7">
        <f t="shared" si="29"/>
        <v>0</v>
      </c>
      <c r="S31" s="4"/>
      <c r="T31" s="5" t="s">
        <v>179</v>
      </c>
      <c r="U31" s="6">
        <v>71</v>
      </c>
      <c r="V31" s="6">
        <v>53</v>
      </c>
      <c r="W31" s="6">
        <f t="shared" si="24"/>
        <v>18</v>
      </c>
      <c r="X31" s="7">
        <f t="shared" si="30"/>
        <v>1</v>
      </c>
      <c r="Y31" s="3"/>
    </row>
    <row r="32" spans="1:25" ht="15.75" thickBot="1" x14ac:dyDescent="0.3">
      <c r="A32" s="3"/>
      <c r="B32" s="8" t="s">
        <v>179</v>
      </c>
      <c r="C32" s="9">
        <v>44</v>
      </c>
      <c r="D32" s="9">
        <v>60</v>
      </c>
      <c r="E32" s="9">
        <f t="shared" si="25"/>
        <v>-16</v>
      </c>
      <c r="F32" s="11">
        <f t="shared" si="26"/>
        <v>0</v>
      </c>
      <c r="G32" s="10"/>
      <c r="H32" s="8" t="s">
        <v>179</v>
      </c>
      <c r="I32" s="9">
        <v>64</v>
      </c>
      <c r="J32" s="9">
        <v>53</v>
      </c>
      <c r="K32" s="9">
        <f t="shared" si="23"/>
        <v>11</v>
      </c>
      <c r="L32" s="11">
        <f t="shared" si="27"/>
        <v>1</v>
      </c>
      <c r="M32" s="10"/>
      <c r="N32" s="8" t="s">
        <v>179</v>
      </c>
      <c r="O32" s="9">
        <v>63</v>
      </c>
      <c r="P32" s="9">
        <v>63</v>
      </c>
      <c r="Q32" s="9">
        <f t="shared" si="28"/>
        <v>0</v>
      </c>
      <c r="R32" s="11">
        <f t="shared" si="29"/>
        <v>1</v>
      </c>
      <c r="S32" s="10"/>
      <c r="T32" s="8" t="s">
        <v>179</v>
      </c>
      <c r="U32" s="9">
        <v>68</v>
      </c>
      <c r="V32" s="9">
        <v>67</v>
      </c>
      <c r="W32" s="9">
        <f t="shared" si="24"/>
        <v>1</v>
      </c>
      <c r="X32" s="11">
        <f t="shared" si="30"/>
        <v>1</v>
      </c>
      <c r="Y32" s="3"/>
    </row>
    <row r="33" spans="1:25" ht="9.7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</sheetData>
  <mergeCells count="5">
    <mergeCell ref="B2:X2"/>
    <mergeCell ref="B3:F3"/>
    <mergeCell ref="H3:L3"/>
    <mergeCell ref="N3:R3"/>
    <mergeCell ref="T3:X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33"/>
  <sheetViews>
    <sheetView workbookViewId="0">
      <selection activeCell="O8" sqref="O8"/>
    </sheetView>
  </sheetViews>
  <sheetFormatPr defaultRowHeight="15" x14ac:dyDescent="0.25"/>
  <cols>
    <col min="1" max="1" width="2" customWidth="1"/>
    <col min="2" max="2" width="5" customWidth="1"/>
    <col min="3" max="3" width="7.5703125" bestFit="1" customWidth="1"/>
    <col min="4" max="4" width="6.140625" bestFit="1" customWidth="1"/>
    <col min="5" max="5" width="5.7109375" bestFit="1" customWidth="1"/>
    <col min="6" max="6" width="5.42578125" bestFit="1" customWidth="1"/>
    <col min="7" max="7" width="1.5703125" customWidth="1"/>
    <col min="8" max="8" width="5" bestFit="1" customWidth="1"/>
    <col min="9" max="9" width="7.5703125" bestFit="1" customWidth="1"/>
    <col min="10" max="10" width="6.140625" bestFit="1" customWidth="1"/>
    <col min="11" max="11" width="5.7109375" bestFit="1" customWidth="1"/>
    <col min="12" max="12" width="5.42578125" bestFit="1" customWidth="1"/>
    <col min="13" max="13" width="1.7109375" customWidth="1"/>
    <col min="14" max="14" width="5" bestFit="1" customWidth="1"/>
    <col min="15" max="15" width="7.5703125" bestFit="1" customWidth="1"/>
    <col min="16" max="16" width="6.140625" bestFit="1" customWidth="1"/>
    <col min="17" max="17" width="5.7109375" bestFit="1" customWidth="1"/>
    <col min="18" max="18" width="5.42578125" bestFit="1" customWidth="1"/>
    <col min="19" max="19" width="1.5703125" customWidth="1"/>
    <col min="20" max="20" width="5" bestFit="1" customWidth="1"/>
    <col min="21" max="21" width="7.5703125" bestFit="1" customWidth="1"/>
    <col min="22" max="22" width="6.140625" bestFit="1" customWidth="1"/>
    <col min="23" max="23" width="5.7109375" bestFit="1" customWidth="1"/>
    <col min="24" max="24" width="5.42578125" bestFit="1" customWidth="1"/>
    <col min="25" max="25" width="2.140625" customWidth="1"/>
  </cols>
  <sheetData>
    <row r="1" spans="1:25" ht="10.5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9.5" thickBot="1" x14ac:dyDescent="0.35">
      <c r="A2" s="3"/>
      <c r="B2" s="113" t="s">
        <v>188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5"/>
      <c r="Y2" s="3"/>
    </row>
    <row r="3" spans="1:25" ht="16.5" thickBot="1" x14ac:dyDescent="0.3">
      <c r="A3" s="3"/>
      <c r="B3" s="116" t="s">
        <v>183</v>
      </c>
      <c r="C3" s="117"/>
      <c r="D3" s="117"/>
      <c r="E3" s="117"/>
      <c r="F3" s="118"/>
      <c r="G3" s="4"/>
      <c r="H3" s="116" t="s">
        <v>186</v>
      </c>
      <c r="I3" s="117"/>
      <c r="J3" s="117"/>
      <c r="K3" s="117"/>
      <c r="L3" s="118"/>
      <c r="M3" s="4"/>
      <c r="N3" s="116" t="s">
        <v>184</v>
      </c>
      <c r="O3" s="117"/>
      <c r="P3" s="117"/>
      <c r="Q3" s="117"/>
      <c r="R3" s="118"/>
      <c r="S3" s="4"/>
      <c r="T3" s="116" t="s">
        <v>185</v>
      </c>
      <c r="U3" s="117"/>
      <c r="V3" s="117"/>
      <c r="W3" s="117"/>
      <c r="X3" s="118"/>
      <c r="Y3" s="3"/>
    </row>
    <row r="4" spans="1:25" x14ac:dyDescent="0.25">
      <c r="A4" s="3"/>
      <c r="B4" s="13"/>
      <c r="C4" s="14" t="s">
        <v>180</v>
      </c>
      <c r="D4" s="14" t="s">
        <v>181</v>
      </c>
      <c r="E4" s="14" t="s">
        <v>182</v>
      </c>
      <c r="F4" s="15" t="b">
        <v>1</v>
      </c>
      <c r="G4" s="4"/>
      <c r="H4" s="13"/>
      <c r="I4" s="14" t="s">
        <v>180</v>
      </c>
      <c r="J4" s="14" t="s">
        <v>181</v>
      </c>
      <c r="K4" s="14" t="s">
        <v>182</v>
      </c>
      <c r="L4" s="15" t="b">
        <v>1</v>
      </c>
      <c r="M4" s="4"/>
      <c r="N4" s="13"/>
      <c r="O4" s="14" t="s">
        <v>180</v>
      </c>
      <c r="P4" s="14" t="s">
        <v>181</v>
      </c>
      <c r="Q4" s="14" t="s">
        <v>182</v>
      </c>
      <c r="R4" s="15" t="b">
        <v>1</v>
      </c>
      <c r="S4" s="4"/>
      <c r="T4" s="13"/>
      <c r="U4" s="14" t="s">
        <v>180</v>
      </c>
      <c r="V4" s="14" t="s">
        <v>181</v>
      </c>
      <c r="W4" s="14" t="s">
        <v>182</v>
      </c>
      <c r="X4" s="15" t="b">
        <v>1</v>
      </c>
      <c r="Y4" s="3"/>
    </row>
    <row r="5" spans="1:25" x14ac:dyDescent="0.25">
      <c r="A5" s="3"/>
      <c r="B5" s="5">
        <v>2015</v>
      </c>
      <c r="C5" s="6">
        <v>65</v>
      </c>
      <c r="D5" s="6">
        <v>58</v>
      </c>
      <c r="E5" s="6">
        <f>C5-D5</f>
        <v>7</v>
      </c>
      <c r="F5" s="7">
        <f>IF(E5&gt;=0,1,0)</f>
        <v>1</v>
      </c>
      <c r="G5" s="4"/>
      <c r="H5" s="5">
        <v>2015</v>
      </c>
      <c r="I5" s="6">
        <v>55</v>
      </c>
      <c r="J5" s="6">
        <v>72</v>
      </c>
      <c r="K5" s="6">
        <f t="shared" ref="K5:K12" si="0">I5-J5</f>
        <v>-17</v>
      </c>
      <c r="L5" s="7">
        <f>IF(K5&gt;=0,1,0)</f>
        <v>0</v>
      </c>
      <c r="M5" s="4"/>
      <c r="N5" s="5">
        <v>2015</v>
      </c>
      <c r="O5" s="6">
        <v>54</v>
      </c>
      <c r="P5" s="6">
        <v>70</v>
      </c>
      <c r="Q5" s="6">
        <f t="shared" ref="Q5:Q11" si="1">O5-P5</f>
        <v>-16</v>
      </c>
      <c r="R5" s="7">
        <f>IF(Q5&gt;=0,1,0)</f>
        <v>0</v>
      </c>
      <c r="S5" s="4"/>
      <c r="T5" s="5">
        <v>2014</v>
      </c>
      <c r="U5" s="6">
        <v>53</v>
      </c>
      <c r="V5" s="6">
        <v>63</v>
      </c>
      <c r="W5" s="6">
        <f t="shared" ref="W5:W12" si="2">U5-V5</f>
        <v>-10</v>
      </c>
      <c r="X5" s="7">
        <f>IF(W5&gt;=0,1,0)</f>
        <v>0</v>
      </c>
      <c r="Y5" s="3"/>
    </row>
    <row r="6" spans="1:25" x14ac:dyDescent="0.25">
      <c r="A6" s="3"/>
      <c r="B6" s="5" t="s">
        <v>178</v>
      </c>
      <c r="C6" s="6">
        <v>62</v>
      </c>
      <c r="D6" s="6">
        <v>63</v>
      </c>
      <c r="E6" s="6">
        <f t="shared" ref="E6:E11" si="3">C6-D6</f>
        <v>-1</v>
      </c>
      <c r="F6" s="7">
        <f t="shared" ref="F6:F11" si="4">IF(E6&gt;=0,1,0)</f>
        <v>0</v>
      </c>
      <c r="G6" s="4"/>
      <c r="H6" s="5" t="s">
        <v>178</v>
      </c>
      <c r="I6" s="6">
        <v>57</v>
      </c>
      <c r="J6" s="6">
        <v>70</v>
      </c>
      <c r="K6" s="6">
        <f t="shared" si="0"/>
        <v>-13</v>
      </c>
      <c r="L6" s="7">
        <f t="shared" ref="L6:L11" si="5">IF(K6&gt;=0,1,0)</f>
        <v>0</v>
      </c>
      <c r="M6" s="4"/>
      <c r="N6" s="5" t="s">
        <v>178</v>
      </c>
      <c r="O6" s="6">
        <v>58</v>
      </c>
      <c r="P6" s="6">
        <v>68</v>
      </c>
      <c r="Q6" s="6">
        <f t="shared" si="1"/>
        <v>-10</v>
      </c>
      <c r="R6" s="7">
        <f t="shared" ref="R6:R11" si="6">IF(Q6&gt;=0,1,0)</f>
        <v>0</v>
      </c>
      <c r="S6" s="4"/>
      <c r="T6" s="5" t="s">
        <v>178</v>
      </c>
      <c r="U6" s="6">
        <v>60</v>
      </c>
      <c r="V6" s="6">
        <v>69</v>
      </c>
      <c r="W6" s="6">
        <f t="shared" si="2"/>
        <v>-9</v>
      </c>
      <c r="X6" s="7">
        <f t="shared" ref="X6:X11" si="7">IF(W6&gt;=0,1,0)</f>
        <v>0</v>
      </c>
      <c r="Y6" s="3"/>
    </row>
    <row r="7" spans="1:25" x14ac:dyDescent="0.25">
      <c r="A7" s="3"/>
      <c r="B7" s="5" t="s">
        <v>178</v>
      </c>
      <c r="C7" s="6">
        <v>55</v>
      </c>
      <c r="D7" s="6">
        <v>67</v>
      </c>
      <c r="E7" s="6">
        <f t="shared" si="3"/>
        <v>-12</v>
      </c>
      <c r="F7" s="7">
        <f t="shared" si="4"/>
        <v>0</v>
      </c>
      <c r="G7" s="4"/>
      <c r="H7" s="5" t="s">
        <v>178</v>
      </c>
      <c r="I7" s="6">
        <v>65</v>
      </c>
      <c r="J7" s="6">
        <v>61</v>
      </c>
      <c r="K7" s="6">
        <f t="shared" si="0"/>
        <v>4</v>
      </c>
      <c r="L7" s="7">
        <f t="shared" si="5"/>
        <v>1</v>
      </c>
      <c r="M7" s="4"/>
      <c r="N7" s="5" t="s">
        <v>178</v>
      </c>
      <c r="O7" s="6">
        <v>63</v>
      </c>
      <c r="P7" s="6">
        <v>70</v>
      </c>
      <c r="Q7" s="6">
        <f t="shared" si="1"/>
        <v>-7</v>
      </c>
      <c r="R7" s="7">
        <f t="shared" si="6"/>
        <v>0</v>
      </c>
      <c r="S7" s="4"/>
      <c r="T7" s="5" t="s">
        <v>178</v>
      </c>
      <c r="U7" s="6">
        <v>58</v>
      </c>
      <c r="V7" s="6">
        <v>57</v>
      </c>
      <c r="W7" s="6">
        <f t="shared" si="2"/>
        <v>1</v>
      </c>
      <c r="X7" s="7">
        <f t="shared" si="7"/>
        <v>1</v>
      </c>
      <c r="Y7" s="3"/>
    </row>
    <row r="8" spans="1:25" x14ac:dyDescent="0.25">
      <c r="A8" s="3"/>
      <c r="B8" s="5" t="s">
        <v>179</v>
      </c>
      <c r="C8" s="12">
        <v>52</v>
      </c>
      <c r="D8" s="12">
        <v>50</v>
      </c>
      <c r="E8" s="6">
        <f t="shared" si="3"/>
        <v>2</v>
      </c>
      <c r="F8" s="7">
        <f t="shared" si="4"/>
        <v>1</v>
      </c>
      <c r="G8" s="4"/>
      <c r="H8" s="5" t="s">
        <v>179</v>
      </c>
      <c r="I8" s="12">
        <v>58</v>
      </c>
      <c r="J8" s="12">
        <v>89</v>
      </c>
      <c r="K8" s="6">
        <f t="shared" si="0"/>
        <v>-31</v>
      </c>
      <c r="L8" s="7">
        <f t="shared" si="5"/>
        <v>0</v>
      </c>
      <c r="M8" s="4"/>
      <c r="N8" s="5" t="s">
        <v>179</v>
      </c>
      <c r="O8" s="12">
        <v>65</v>
      </c>
      <c r="P8" s="12">
        <v>63</v>
      </c>
      <c r="Q8" s="6">
        <f t="shared" si="1"/>
        <v>2</v>
      </c>
      <c r="R8" s="7">
        <f t="shared" si="6"/>
        <v>1</v>
      </c>
      <c r="S8" s="4"/>
      <c r="T8" s="5" t="s">
        <v>179</v>
      </c>
      <c r="U8" s="12">
        <v>50</v>
      </c>
      <c r="V8" s="12">
        <v>64</v>
      </c>
      <c r="W8" s="6">
        <f t="shared" si="2"/>
        <v>-14</v>
      </c>
      <c r="X8" s="7">
        <f t="shared" si="7"/>
        <v>0</v>
      </c>
      <c r="Y8" s="3"/>
    </row>
    <row r="9" spans="1:25" x14ac:dyDescent="0.25">
      <c r="A9" s="3"/>
      <c r="B9" s="5" t="s">
        <v>179</v>
      </c>
      <c r="C9" s="12">
        <v>54</v>
      </c>
      <c r="D9" s="12">
        <v>51</v>
      </c>
      <c r="E9" s="6">
        <f t="shared" si="3"/>
        <v>3</v>
      </c>
      <c r="F9" s="7">
        <f t="shared" si="4"/>
        <v>1</v>
      </c>
      <c r="G9" s="4"/>
      <c r="H9" s="5" t="s">
        <v>179</v>
      </c>
      <c r="I9" s="12">
        <v>76</v>
      </c>
      <c r="J9" s="12">
        <v>63</v>
      </c>
      <c r="K9" s="6">
        <f t="shared" si="0"/>
        <v>13</v>
      </c>
      <c r="L9" s="7">
        <f t="shared" si="5"/>
        <v>1</v>
      </c>
      <c r="M9" s="4"/>
      <c r="N9" s="5" t="s">
        <v>179</v>
      </c>
      <c r="O9" s="12">
        <v>60</v>
      </c>
      <c r="P9" s="12">
        <v>49</v>
      </c>
      <c r="Q9" s="6">
        <f t="shared" si="1"/>
        <v>11</v>
      </c>
      <c r="R9" s="7">
        <f t="shared" si="6"/>
        <v>1</v>
      </c>
      <c r="S9" s="4"/>
      <c r="T9" s="5" t="s">
        <v>179</v>
      </c>
      <c r="U9" s="12">
        <v>57</v>
      </c>
      <c r="V9" s="12">
        <v>59</v>
      </c>
      <c r="W9" s="6">
        <f t="shared" si="2"/>
        <v>-2</v>
      </c>
      <c r="X9" s="7">
        <f t="shared" si="7"/>
        <v>0</v>
      </c>
      <c r="Y9" s="3"/>
    </row>
    <row r="10" spans="1:25" x14ac:dyDescent="0.25">
      <c r="A10" s="3"/>
      <c r="B10" s="5" t="s">
        <v>179</v>
      </c>
      <c r="C10" s="12">
        <v>75</v>
      </c>
      <c r="D10" s="12">
        <v>56</v>
      </c>
      <c r="E10" s="6">
        <f t="shared" si="3"/>
        <v>19</v>
      </c>
      <c r="F10" s="7">
        <f t="shared" si="4"/>
        <v>1</v>
      </c>
      <c r="G10" s="4"/>
      <c r="H10" s="5" t="s">
        <v>179</v>
      </c>
      <c r="I10" s="12">
        <v>54</v>
      </c>
      <c r="J10" s="12">
        <v>62</v>
      </c>
      <c r="K10" s="6">
        <f t="shared" si="0"/>
        <v>-8</v>
      </c>
      <c r="L10" s="7">
        <f t="shared" si="5"/>
        <v>0</v>
      </c>
      <c r="M10" s="4"/>
      <c r="N10" s="5" t="s">
        <v>179</v>
      </c>
      <c r="O10" s="12">
        <v>69</v>
      </c>
      <c r="P10" s="12">
        <v>79</v>
      </c>
      <c r="Q10" s="6">
        <f t="shared" si="1"/>
        <v>-10</v>
      </c>
      <c r="R10" s="7">
        <f t="shared" si="6"/>
        <v>0</v>
      </c>
      <c r="S10" s="4"/>
      <c r="T10" s="5" t="s">
        <v>179</v>
      </c>
      <c r="U10" s="12">
        <v>64</v>
      </c>
      <c r="V10" s="12">
        <v>56</v>
      </c>
      <c r="W10" s="6">
        <f t="shared" si="2"/>
        <v>8</v>
      </c>
      <c r="X10" s="7">
        <f t="shared" si="7"/>
        <v>1</v>
      </c>
      <c r="Y10" s="3"/>
    </row>
    <row r="11" spans="1:25" x14ac:dyDescent="0.25">
      <c r="A11" s="3"/>
      <c r="B11" s="5" t="s">
        <v>179</v>
      </c>
      <c r="C11" s="12">
        <v>64</v>
      </c>
      <c r="D11" s="12">
        <v>66</v>
      </c>
      <c r="E11" s="6">
        <f t="shared" si="3"/>
        <v>-2</v>
      </c>
      <c r="F11" s="7">
        <f t="shared" si="4"/>
        <v>0</v>
      </c>
      <c r="G11" s="4"/>
      <c r="H11" s="5" t="s">
        <v>179</v>
      </c>
      <c r="I11" s="12">
        <v>61</v>
      </c>
      <c r="J11" s="12">
        <v>52</v>
      </c>
      <c r="K11" s="6">
        <f t="shared" si="0"/>
        <v>9</v>
      </c>
      <c r="L11" s="7">
        <f t="shared" si="5"/>
        <v>1</v>
      </c>
      <c r="M11" s="4"/>
      <c r="N11" s="5" t="s">
        <v>179</v>
      </c>
      <c r="O11" s="6">
        <v>72</v>
      </c>
      <c r="P11" s="6">
        <v>60</v>
      </c>
      <c r="Q11" s="6">
        <f t="shared" si="1"/>
        <v>12</v>
      </c>
      <c r="R11" s="7">
        <f t="shared" si="6"/>
        <v>1</v>
      </c>
      <c r="S11" s="4"/>
      <c r="T11" s="5" t="s">
        <v>179</v>
      </c>
      <c r="U11" s="12">
        <v>71</v>
      </c>
      <c r="V11" s="12">
        <v>82</v>
      </c>
      <c r="W11" s="6">
        <f t="shared" si="2"/>
        <v>-11</v>
      </c>
      <c r="X11" s="7">
        <f t="shared" si="7"/>
        <v>0</v>
      </c>
      <c r="Y11" s="3"/>
    </row>
    <row r="12" spans="1:25" x14ac:dyDescent="0.25">
      <c r="A12" s="3"/>
      <c r="B12" s="5">
        <v>2014</v>
      </c>
      <c r="C12" s="12">
        <v>60</v>
      </c>
      <c r="D12" s="12">
        <v>67</v>
      </c>
      <c r="E12" s="6">
        <f>C12-D12</f>
        <v>-7</v>
      </c>
      <c r="F12" s="7">
        <f>IF(E12&gt;=0,1,0)</f>
        <v>0</v>
      </c>
      <c r="G12" s="4"/>
      <c r="H12" s="5">
        <v>2014</v>
      </c>
      <c r="I12" s="12">
        <v>64</v>
      </c>
      <c r="J12" s="12">
        <v>64</v>
      </c>
      <c r="K12" s="6">
        <f t="shared" si="0"/>
        <v>0</v>
      </c>
      <c r="L12" s="7">
        <f>IF(K12&gt;=0,1,0)</f>
        <v>1</v>
      </c>
      <c r="M12" s="4"/>
      <c r="N12" s="5">
        <v>2014</v>
      </c>
      <c r="O12" s="6">
        <v>68</v>
      </c>
      <c r="P12" s="6">
        <v>61</v>
      </c>
      <c r="Q12" s="6">
        <f t="shared" ref="Q12:Q25" si="8">O12-P12</f>
        <v>7</v>
      </c>
      <c r="R12" s="7">
        <f>IF(Q12&gt;=0,1,0)</f>
        <v>1</v>
      </c>
      <c r="S12" s="4"/>
      <c r="T12" s="5">
        <v>2013</v>
      </c>
      <c r="U12" s="12">
        <v>57</v>
      </c>
      <c r="V12" s="12">
        <v>57</v>
      </c>
      <c r="W12" s="6">
        <f t="shared" si="2"/>
        <v>0</v>
      </c>
      <c r="X12" s="7">
        <f>IF(W12&gt;=0,1,0)</f>
        <v>1</v>
      </c>
      <c r="Y12" s="3"/>
    </row>
    <row r="13" spans="1:25" x14ac:dyDescent="0.25">
      <c r="A13" s="3"/>
      <c r="B13" s="5" t="s">
        <v>178</v>
      </c>
      <c r="C13" s="12">
        <v>61</v>
      </c>
      <c r="D13" s="12">
        <v>45</v>
      </c>
      <c r="E13" s="6">
        <f t="shared" ref="E13:E18" si="9">C13-D13</f>
        <v>16</v>
      </c>
      <c r="F13" s="7">
        <f t="shared" ref="F13:F18" si="10">IF(E13&gt;=0,1,0)</f>
        <v>1</v>
      </c>
      <c r="G13" s="4"/>
      <c r="H13" s="5" t="s">
        <v>178</v>
      </c>
      <c r="I13" s="12">
        <v>59</v>
      </c>
      <c r="J13" s="12">
        <v>64</v>
      </c>
      <c r="K13" s="6">
        <f t="shared" ref="K13:K18" si="11">I13-J13</f>
        <v>-5</v>
      </c>
      <c r="L13" s="7">
        <f t="shared" ref="L13:L18" si="12">IF(K13&gt;=0,1,0)</f>
        <v>0</v>
      </c>
      <c r="M13" s="4"/>
      <c r="N13" s="5" t="s">
        <v>178</v>
      </c>
      <c r="O13" s="6">
        <v>68</v>
      </c>
      <c r="P13" s="6">
        <v>62</v>
      </c>
      <c r="Q13" s="6">
        <f t="shared" si="8"/>
        <v>6</v>
      </c>
      <c r="R13" s="7">
        <f t="shared" ref="R13:R18" si="13">IF(Q13&gt;=0,1,0)</f>
        <v>1</v>
      </c>
      <c r="S13" s="4"/>
      <c r="T13" s="5" t="s">
        <v>178</v>
      </c>
      <c r="U13" s="12">
        <v>63</v>
      </c>
      <c r="V13" s="12">
        <v>63</v>
      </c>
      <c r="W13" s="6">
        <f t="shared" ref="W13:W18" si="14">U13-V13</f>
        <v>0</v>
      </c>
      <c r="X13" s="7">
        <f t="shared" ref="X13:X18" si="15">IF(W13&gt;=0,1,0)</f>
        <v>1</v>
      </c>
      <c r="Y13" s="3"/>
    </row>
    <row r="14" spans="1:25" x14ac:dyDescent="0.25">
      <c r="A14" s="3"/>
      <c r="B14" s="5" t="s">
        <v>178</v>
      </c>
      <c r="C14" s="12">
        <v>64</v>
      </c>
      <c r="D14" s="12">
        <v>68</v>
      </c>
      <c r="E14" s="6">
        <f t="shared" si="9"/>
        <v>-4</v>
      </c>
      <c r="F14" s="7">
        <f t="shared" si="10"/>
        <v>0</v>
      </c>
      <c r="G14" s="4"/>
      <c r="H14" s="5" t="s">
        <v>178</v>
      </c>
      <c r="I14" s="12">
        <v>73</v>
      </c>
      <c r="J14" s="12">
        <v>67</v>
      </c>
      <c r="K14" s="6">
        <f t="shared" si="11"/>
        <v>6</v>
      </c>
      <c r="L14" s="7">
        <f t="shared" si="12"/>
        <v>1</v>
      </c>
      <c r="M14" s="4"/>
      <c r="N14" s="5" t="s">
        <v>178</v>
      </c>
      <c r="O14" s="6">
        <v>62</v>
      </c>
      <c r="P14" s="6">
        <v>53</v>
      </c>
      <c r="Q14" s="6">
        <f t="shared" si="8"/>
        <v>9</v>
      </c>
      <c r="R14" s="7">
        <f t="shared" si="13"/>
        <v>1</v>
      </c>
      <c r="S14" s="4"/>
      <c r="T14" s="5" t="s">
        <v>178</v>
      </c>
      <c r="U14" s="12">
        <v>56</v>
      </c>
      <c r="V14" s="12">
        <v>44</v>
      </c>
      <c r="W14" s="6">
        <f t="shared" si="14"/>
        <v>12</v>
      </c>
      <c r="X14" s="7">
        <f t="shared" si="15"/>
        <v>1</v>
      </c>
      <c r="Y14" s="3"/>
    </row>
    <row r="15" spans="1:25" x14ac:dyDescent="0.25">
      <c r="A15" s="3"/>
      <c r="B15" s="5" t="s">
        <v>179</v>
      </c>
      <c r="C15" s="12">
        <v>58</v>
      </c>
      <c r="D15" s="12">
        <v>56</v>
      </c>
      <c r="E15" s="6">
        <f t="shared" si="9"/>
        <v>2</v>
      </c>
      <c r="F15" s="7">
        <f t="shared" si="10"/>
        <v>1</v>
      </c>
      <c r="G15" s="4"/>
      <c r="H15" s="5" t="s">
        <v>179</v>
      </c>
      <c r="I15" s="12">
        <v>67</v>
      </c>
      <c r="J15" s="12">
        <v>62</v>
      </c>
      <c r="K15" s="6">
        <f t="shared" si="11"/>
        <v>5</v>
      </c>
      <c r="L15" s="7">
        <f t="shared" si="12"/>
        <v>1</v>
      </c>
      <c r="M15" s="4"/>
      <c r="N15" s="5" t="s">
        <v>179</v>
      </c>
      <c r="O15" s="12">
        <v>66</v>
      </c>
      <c r="P15" s="12">
        <v>58</v>
      </c>
      <c r="Q15" s="6">
        <f t="shared" si="8"/>
        <v>8</v>
      </c>
      <c r="R15" s="7">
        <f t="shared" si="13"/>
        <v>1</v>
      </c>
      <c r="S15" s="4"/>
      <c r="T15" s="5" t="s">
        <v>179</v>
      </c>
      <c r="U15" s="12">
        <v>74</v>
      </c>
      <c r="V15" s="12">
        <v>56</v>
      </c>
      <c r="W15" s="6">
        <f t="shared" si="14"/>
        <v>18</v>
      </c>
      <c r="X15" s="7">
        <f t="shared" si="15"/>
        <v>1</v>
      </c>
      <c r="Y15" s="3"/>
    </row>
    <row r="16" spans="1:25" x14ac:dyDescent="0.25">
      <c r="A16" s="3"/>
      <c r="B16" s="5" t="s">
        <v>179</v>
      </c>
      <c r="C16" s="12">
        <v>64</v>
      </c>
      <c r="D16" s="12">
        <v>39</v>
      </c>
      <c r="E16" s="6">
        <f t="shared" si="9"/>
        <v>25</v>
      </c>
      <c r="F16" s="7">
        <f t="shared" si="10"/>
        <v>1</v>
      </c>
      <c r="G16" s="4"/>
      <c r="H16" s="5" t="s">
        <v>179</v>
      </c>
      <c r="I16" s="12">
        <v>55</v>
      </c>
      <c r="J16" s="12">
        <v>69</v>
      </c>
      <c r="K16" s="6">
        <f t="shared" si="11"/>
        <v>-14</v>
      </c>
      <c r="L16" s="7">
        <f t="shared" si="12"/>
        <v>0</v>
      </c>
      <c r="M16" s="4"/>
      <c r="N16" s="5" t="s">
        <v>179</v>
      </c>
      <c r="O16" s="12">
        <v>50</v>
      </c>
      <c r="P16" s="12">
        <v>51</v>
      </c>
      <c r="Q16" s="6">
        <f t="shared" si="8"/>
        <v>-1</v>
      </c>
      <c r="R16" s="7">
        <f t="shared" si="13"/>
        <v>0</v>
      </c>
      <c r="S16" s="4"/>
      <c r="T16" s="5" t="s">
        <v>179</v>
      </c>
      <c r="U16" s="12">
        <v>68</v>
      </c>
      <c r="V16" s="12">
        <v>60</v>
      </c>
      <c r="W16" s="6">
        <f t="shared" si="14"/>
        <v>8</v>
      </c>
      <c r="X16" s="7">
        <f t="shared" si="15"/>
        <v>1</v>
      </c>
      <c r="Y16" s="3"/>
    </row>
    <row r="17" spans="1:25" x14ac:dyDescent="0.25">
      <c r="A17" s="3"/>
      <c r="B17" s="5" t="s">
        <v>179</v>
      </c>
      <c r="C17" s="12">
        <v>77</v>
      </c>
      <c r="D17" s="12">
        <v>67</v>
      </c>
      <c r="E17" s="6">
        <f t="shared" si="9"/>
        <v>10</v>
      </c>
      <c r="F17" s="7">
        <f t="shared" si="10"/>
        <v>1</v>
      </c>
      <c r="G17" s="4"/>
      <c r="H17" s="5" t="s">
        <v>179</v>
      </c>
      <c r="I17" s="12">
        <v>73</v>
      </c>
      <c r="J17" s="12">
        <v>58</v>
      </c>
      <c r="K17" s="6">
        <f t="shared" si="11"/>
        <v>15</v>
      </c>
      <c r="L17" s="7">
        <f t="shared" si="12"/>
        <v>1</v>
      </c>
      <c r="M17" s="4"/>
      <c r="N17" s="5" t="s">
        <v>179</v>
      </c>
      <c r="O17" s="12">
        <v>70</v>
      </c>
      <c r="P17" s="12">
        <v>64</v>
      </c>
      <c r="Q17" s="6">
        <f t="shared" si="8"/>
        <v>6</v>
      </c>
      <c r="R17" s="7">
        <f t="shared" si="13"/>
        <v>1</v>
      </c>
      <c r="S17" s="4"/>
      <c r="T17" s="5" t="s">
        <v>179</v>
      </c>
      <c r="U17" s="12">
        <v>63</v>
      </c>
      <c r="V17" s="12">
        <v>60</v>
      </c>
      <c r="W17" s="6">
        <f t="shared" si="14"/>
        <v>3</v>
      </c>
      <c r="X17" s="7">
        <f t="shared" si="15"/>
        <v>1</v>
      </c>
      <c r="Y17" s="3"/>
    </row>
    <row r="18" spans="1:25" x14ac:dyDescent="0.25">
      <c r="A18" s="3"/>
      <c r="B18" s="5" t="s">
        <v>179</v>
      </c>
      <c r="C18" s="12">
        <v>59</v>
      </c>
      <c r="D18" s="12">
        <v>60</v>
      </c>
      <c r="E18" s="6">
        <f t="shared" si="9"/>
        <v>-1</v>
      </c>
      <c r="F18" s="7">
        <f t="shared" si="10"/>
        <v>0</v>
      </c>
      <c r="G18" s="4"/>
      <c r="H18" s="5" t="s">
        <v>179</v>
      </c>
      <c r="I18" s="12">
        <v>91</v>
      </c>
      <c r="J18" s="12">
        <v>75</v>
      </c>
      <c r="K18" s="6">
        <f t="shared" si="11"/>
        <v>16</v>
      </c>
      <c r="L18" s="7">
        <f t="shared" si="12"/>
        <v>1</v>
      </c>
      <c r="M18" s="4"/>
      <c r="N18" s="5" t="s">
        <v>179</v>
      </c>
      <c r="O18" s="6">
        <v>67</v>
      </c>
      <c r="P18" s="6">
        <v>64</v>
      </c>
      <c r="Q18" s="6">
        <f t="shared" si="8"/>
        <v>3</v>
      </c>
      <c r="R18" s="7">
        <f t="shared" si="13"/>
        <v>1</v>
      </c>
      <c r="S18" s="4"/>
      <c r="T18" s="5" t="s">
        <v>179</v>
      </c>
      <c r="U18" s="12">
        <v>60</v>
      </c>
      <c r="V18" s="12">
        <v>58</v>
      </c>
      <c r="W18" s="6">
        <f t="shared" si="14"/>
        <v>2</v>
      </c>
      <c r="X18" s="7">
        <f t="shared" si="15"/>
        <v>1</v>
      </c>
      <c r="Y18" s="3"/>
    </row>
    <row r="19" spans="1:25" x14ac:dyDescent="0.25">
      <c r="A19" s="3"/>
      <c r="B19" s="5">
        <v>2013</v>
      </c>
      <c r="C19" s="12">
        <v>78</v>
      </c>
      <c r="D19" s="12">
        <v>65</v>
      </c>
      <c r="E19" s="6">
        <f>C19-D19</f>
        <v>13</v>
      </c>
      <c r="F19" s="7">
        <f>IF(E19&gt;=0,1,0)</f>
        <v>1</v>
      </c>
      <c r="G19" s="4"/>
      <c r="H19" s="5">
        <v>2013</v>
      </c>
      <c r="I19" s="12">
        <v>69</v>
      </c>
      <c r="J19" s="12">
        <v>55</v>
      </c>
      <c r="K19" s="6">
        <f>I19-J19</f>
        <v>14</v>
      </c>
      <c r="L19" s="7">
        <f>IF(K19&gt;=0,1,0)</f>
        <v>1</v>
      </c>
      <c r="M19" s="4"/>
      <c r="N19" s="5">
        <v>2013</v>
      </c>
      <c r="O19" s="12">
        <v>67</v>
      </c>
      <c r="P19" s="12">
        <v>65</v>
      </c>
      <c r="Q19" s="6">
        <f t="shared" si="8"/>
        <v>2</v>
      </c>
      <c r="R19" s="7">
        <f>IF(Q19&gt;=0,1,0)</f>
        <v>1</v>
      </c>
      <c r="S19" s="4"/>
      <c r="T19" s="5">
        <v>2012</v>
      </c>
      <c r="U19" s="12">
        <v>54</v>
      </c>
      <c r="V19" s="12">
        <v>64</v>
      </c>
      <c r="W19" s="6">
        <f>U19-V19</f>
        <v>-10</v>
      </c>
      <c r="X19" s="7">
        <f>IF(W19&gt;=0,1,0)</f>
        <v>0</v>
      </c>
      <c r="Y19" s="3"/>
    </row>
    <row r="20" spans="1:25" x14ac:dyDescent="0.25">
      <c r="A20" s="3"/>
      <c r="B20" s="5" t="s">
        <v>178</v>
      </c>
      <c r="C20" s="12">
        <v>64</v>
      </c>
      <c r="D20" s="12">
        <v>59</v>
      </c>
      <c r="E20" s="6">
        <f t="shared" ref="E20:E25" si="16">C20-D20</f>
        <v>5</v>
      </c>
      <c r="F20" s="7">
        <f t="shared" ref="F20:F25" si="17">IF(E20&gt;=0,1,0)</f>
        <v>1</v>
      </c>
      <c r="G20" s="4"/>
      <c r="H20" s="5" t="s">
        <v>178</v>
      </c>
      <c r="I20" s="12">
        <v>52</v>
      </c>
      <c r="J20" s="12">
        <v>80</v>
      </c>
      <c r="K20" s="6">
        <f t="shared" ref="K20:K25" si="18">I20-J20</f>
        <v>-28</v>
      </c>
      <c r="L20" s="7">
        <f t="shared" ref="L20:L25" si="19">IF(K20&gt;=0,1,0)</f>
        <v>0</v>
      </c>
      <c r="M20" s="4"/>
      <c r="N20" s="5" t="s">
        <v>178</v>
      </c>
      <c r="O20" s="12">
        <v>63</v>
      </c>
      <c r="P20" s="12">
        <v>70</v>
      </c>
      <c r="Q20" s="6">
        <f t="shared" si="8"/>
        <v>-7</v>
      </c>
      <c r="R20" s="7">
        <f t="shared" ref="R20:R25" si="20">IF(Q20&gt;=0,1,0)</f>
        <v>0</v>
      </c>
      <c r="S20" s="4"/>
      <c r="T20" s="5" t="s">
        <v>178</v>
      </c>
      <c r="U20" s="12">
        <v>65</v>
      </c>
      <c r="V20" s="12">
        <v>70</v>
      </c>
      <c r="W20" s="6">
        <f t="shared" ref="W20:W25" si="21">U20-V20</f>
        <v>-5</v>
      </c>
      <c r="X20" s="7">
        <f t="shared" ref="X20:X25" si="22">IF(W20&gt;=0,1,0)</f>
        <v>0</v>
      </c>
      <c r="Y20" s="3"/>
    </row>
    <row r="21" spans="1:25" x14ac:dyDescent="0.25">
      <c r="A21" s="3"/>
      <c r="B21" s="5" t="s">
        <v>178</v>
      </c>
      <c r="C21" s="12">
        <v>62</v>
      </c>
      <c r="D21" s="12">
        <v>65</v>
      </c>
      <c r="E21" s="6">
        <f t="shared" si="16"/>
        <v>-3</v>
      </c>
      <c r="F21" s="7">
        <f t="shared" si="17"/>
        <v>0</v>
      </c>
      <c r="G21" s="4"/>
      <c r="H21" s="5" t="s">
        <v>178</v>
      </c>
      <c r="I21" s="12">
        <v>62</v>
      </c>
      <c r="J21" s="12">
        <v>72</v>
      </c>
      <c r="K21" s="6">
        <f t="shared" si="18"/>
        <v>-10</v>
      </c>
      <c r="L21" s="7">
        <f t="shared" si="19"/>
        <v>0</v>
      </c>
      <c r="M21" s="4"/>
      <c r="N21" s="5" t="s">
        <v>178</v>
      </c>
      <c r="O21" s="12">
        <v>61</v>
      </c>
      <c r="P21" s="12">
        <v>49</v>
      </c>
      <c r="Q21" s="6">
        <f t="shared" si="8"/>
        <v>12</v>
      </c>
      <c r="R21" s="7">
        <f t="shared" si="20"/>
        <v>1</v>
      </c>
      <c r="S21" s="4"/>
      <c r="T21" s="5" t="s">
        <v>178</v>
      </c>
      <c r="U21" s="12">
        <v>65</v>
      </c>
      <c r="V21" s="12">
        <v>82</v>
      </c>
      <c r="W21" s="6">
        <f t="shared" si="21"/>
        <v>-17</v>
      </c>
      <c r="X21" s="7">
        <f t="shared" si="22"/>
        <v>0</v>
      </c>
      <c r="Y21" s="3"/>
    </row>
    <row r="22" spans="1:25" x14ac:dyDescent="0.25">
      <c r="A22" s="3"/>
      <c r="B22" s="5" t="s">
        <v>179</v>
      </c>
      <c r="C22" s="12">
        <v>72</v>
      </c>
      <c r="D22" s="12">
        <v>82</v>
      </c>
      <c r="E22" s="6">
        <f t="shared" si="16"/>
        <v>-10</v>
      </c>
      <c r="F22" s="7">
        <f t="shared" si="17"/>
        <v>0</v>
      </c>
      <c r="G22" s="4"/>
      <c r="H22" s="5" t="s">
        <v>179</v>
      </c>
      <c r="I22" s="12">
        <v>66</v>
      </c>
      <c r="J22" s="12">
        <v>77</v>
      </c>
      <c r="K22" s="6">
        <f t="shared" si="18"/>
        <v>-11</v>
      </c>
      <c r="L22" s="7">
        <f t="shared" si="19"/>
        <v>0</v>
      </c>
      <c r="M22" s="4"/>
      <c r="N22" s="5" t="s">
        <v>179</v>
      </c>
      <c r="O22" s="12">
        <v>59</v>
      </c>
      <c r="P22" s="12">
        <v>67</v>
      </c>
      <c r="Q22" s="6">
        <f t="shared" si="8"/>
        <v>-8</v>
      </c>
      <c r="R22" s="7">
        <f t="shared" si="20"/>
        <v>0</v>
      </c>
      <c r="S22" s="4"/>
      <c r="T22" s="5" t="s">
        <v>179</v>
      </c>
      <c r="U22" s="12">
        <v>71</v>
      </c>
      <c r="V22" s="12">
        <v>73</v>
      </c>
      <c r="W22" s="6">
        <f t="shared" si="21"/>
        <v>-2</v>
      </c>
      <c r="X22" s="7">
        <f t="shared" si="22"/>
        <v>0</v>
      </c>
      <c r="Y22" s="3"/>
    </row>
    <row r="23" spans="1:25" x14ac:dyDescent="0.25">
      <c r="A23" s="3"/>
      <c r="B23" s="5" t="s">
        <v>179</v>
      </c>
      <c r="C23" s="12">
        <v>66</v>
      </c>
      <c r="D23" s="12">
        <v>68</v>
      </c>
      <c r="E23" s="6">
        <f t="shared" si="16"/>
        <v>-2</v>
      </c>
      <c r="F23" s="7">
        <f t="shared" si="17"/>
        <v>0</v>
      </c>
      <c r="G23" s="4"/>
      <c r="H23" s="5" t="s">
        <v>179</v>
      </c>
      <c r="I23" s="12">
        <v>63</v>
      </c>
      <c r="J23" s="12">
        <v>75</v>
      </c>
      <c r="K23" s="6">
        <f t="shared" si="18"/>
        <v>-12</v>
      </c>
      <c r="L23" s="7">
        <f t="shared" si="19"/>
        <v>0</v>
      </c>
      <c r="M23" s="4"/>
      <c r="N23" s="5" t="s">
        <v>179</v>
      </c>
      <c r="O23" s="12">
        <v>77</v>
      </c>
      <c r="P23" s="12">
        <v>77</v>
      </c>
      <c r="Q23" s="6">
        <f t="shared" si="8"/>
        <v>0</v>
      </c>
      <c r="R23" s="7">
        <f t="shared" si="20"/>
        <v>1</v>
      </c>
      <c r="S23" s="4"/>
      <c r="T23" s="5" t="s">
        <v>179</v>
      </c>
      <c r="U23" s="12">
        <v>64</v>
      </c>
      <c r="V23" s="12">
        <v>49</v>
      </c>
      <c r="W23" s="6">
        <f t="shared" si="21"/>
        <v>15</v>
      </c>
      <c r="X23" s="7">
        <f t="shared" si="22"/>
        <v>1</v>
      </c>
      <c r="Y23" s="3"/>
    </row>
    <row r="24" spans="1:25" x14ac:dyDescent="0.25">
      <c r="A24" s="3"/>
      <c r="B24" s="5" t="s">
        <v>179</v>
      </c>
      <c r="C24" s="12">
        <v>66</v>
      </c>
      <c r="D24" s="12">
        <v>66</v>
      </c>
      <c r="E24" s="6">
        <f t="shared" si="16"/>
        <v>0</v>
      </c>
      <c r="F24" s="7">
        <f t="shared" si="17"/>
        <v>1</v>
      </c>
      <c r="G24" s="4"/>
      <c r="H24" s="5" t="s">
        <v>179</v>
      </c>
      <c r="I24" s="12">
        <v>78</v>
      </c>
      <c r="J24" s="12">
        <v>57</v>
      </c>
      <c r="K24" s="6">
        <f t="shared" si="18"/>
        <v>21</v>
      </c>
      <c r="L24" s="7">
        <f t="shared" si="19"/>
        <v>1</v>
      </c>
      <c r="M24" s="4"/>
      <c r="N24" s="5" t="s">
        <v>179</v>
      </c>
      <c r="O24" s="12">
        <v>58</v>
      </c>
      <c r="P24" s="12">
        <v>63</v>
      </c>
      <c r="Q24" s="6">
        <f t="shared" si="8"/>
        <v>-5</v>
      </c>
      <c r="R24" s="7">
        <f t="shared" si="20"/>
        <v>0</v>
      </c>
      <c r="S24" s="4"/>
      <c r="T24" s="5" t="s">
        <v>179</v>
      </c>
      <c r="U24" s="12">
        <v>59</v>
      </c>
      <c r="V24" s="12">
        <v>51</v>
      </c>
      <c r="W24" s="6">
        <f t="shared" si="21"/>
        <v>8</v>
      </c>
      <c r="X24" s="7">
        <f t="shared" si="22"/>
        <v>1</v>
      </c>
      <c r="Y24" s="3"/>
    </row>
    <row r="25" spans="1:25" x14ac:dyDescent="0.25">
      <c r="A25" s="3"/>
      <c r="B25" s="5" t="s">
        <v>179</v>
      </c>
      <c r="C25" s="12">
        <v>58</v>
      </c>
      <c r="D25" s="12">
        <v>59</v>
      </c>
      <c r="E25" s="6">
        <f t="shared" si="16"/>
        <v>-1</v>
      </c>
      <c r="F25" s="7">
        <f t="shared" si="17"/>
        <v>0</v>
      </c>
      <c r="G25" s="4"/>
      <c r="H25" s="5" t="s">
        <v>179</v>
      </c>
      <c r="I25" s="12">
        <v>66</v>
      </c>
      <c r="J25" s="12">
        <v>63</v>
      </c>
      <c r="K25" s="6">
        <f t="shared" si="18"/>
        <v>3</v>
      </c>
      <c r="L25" s="7">
        <f t="shared" si="19"/>
        <v>1</v>
      </c>
      <c r="M25" s="4"/>
      <c r="N25" s="5" t="s">
        <v>179</v>
      </c>
      <c r="O25" s="12">
        <v>62</v>
      </c>
      <c r="P25" s="12">
        <v>72</v>
      </c>
      <c r="Q25" s="6">
        <f t="shared" si="8"/>
        <v>-10</v>
      </c>
      <c r="R25" s="7">
        <f t="shared" si="20"/>
        <v>0</v>
      </c>
      <c r="S25" s="4"/>
      <c r="T25" s="5" t="s">
        <v>179</v>
      </c>
      <c r="U25" s="12">
        <v>85</v>
      </c>
      <c r="V25" s="12">
        <v>45</v>
      </c>
      <c r="W25" s="6">
        <f t="shared" si="21"/>
        <v>40</v>
      </c>
      <c r="X25" s="7">
        <f t="shared" si="22"/>
        <v>1</v>
      </c>
      <c r="Y25" s="3"/>
    </row>
    <row r="26" spans="1:25" x14ac:dyDescent="0.25">
      <c r="A26" s="3"/>
      <c r="B26" s="5">
        <v>2012</v>
      </c>
      <c r="C26" s="12">
        <v>71</v>
      </c>
      <c r="D26" s="12">
        <v>64</v>
      </c>
      <c r="E26" s="6">
        <f>C26-D26</f>
        <v>7</v>
      </c>
      <c r="F26" s="7">
        <f>IF(E26&gt;=0,1,0)</f>
        <v>1</v>
      </c>
      <c r="G26" s="4"/>
      <c r="H26" s="5">
        <v>2012</v>
      </c>
      <c r="I26" s="12">
        <v>60</v>
      </c>
      <c r="J26" s="12">
        <v>79</v>
      </c>
      <c r="K26" s="6">
        <f t="shared" ref="K26:K32" si="23">I26-J26</f>
        <v>-19</v>
      </c>
      <c r="L26" s="7">
        <f>IF(K26&gt;=0,1,0)</f>
        <v>0</v>
      </c>
      <c r="M26" s="4"/>
      <c r="N26" s="5">
        <v>2012</v>
      </c>
      <c r="O26" s="12">
        <v>56</v>
      </c>
      <c r="P26" s="12">
        <v>73</v>
      </c>
      <c r="Q26" s="6">
        <f>O26-P26</f>
        <v>-17</v>
      </c>
      <c r="R26" s="7">
        <f>IF(Q26&gt;=0,1,0)</f>
        <v>0</v>
      </c>
      <c r="S26" s="4"/>
      <c r="T26" s="5">
        <v>2011</v>
      </c>
      <c r="U26" s="12">
        <v>65</v>
      </c>
      <c r="V26" s="12">
        <v>52</v>
      </c>
      <c r="W26" s="6">
        <f t="shared" ref="W26:W32" si="24">U26-V26</f>
        <v>13</v>
      </c>
      <c r="X26" s="7">
        <f>IF(W26&gt;=0,1,0)</f>
        <v>1</v>
      </c>
      <c r="Y26" s="3"/>
    </row>
    <row r="27" spans="1:25" x14ac:dyDescent="0.25">
      <c r="A27" s="3"/>
      <c r="B27" s="5" t="s">
        <v>178</v>
      </c>
      <c r="C27" s="12">
        <v>58</v>
      </c>
      <c r="D27" s="12">
        <v>63</v>
      </c>
      <c r="E27" s="6">
        <f t="shared" ref="E27:E32" si="25">C27-D27</f>
        <v>-5</v>
      </c>
      <c r="F27" s="7">
        <f t="shared" ref="F27:F32" si="26">IF(E27&gt;=0,1,0)</f>
        <v>0</v>
      </c>
      <c r="G27" s="4"/>
      <c r="H27" s="5" t="s">
        <v>178</v>
      </c>
      <c r="I27" s="12">
        <v>86</v>
      </c>
      <c r="J27" s="12">
        <v>71</v>
      </c>
      <c r="K27" s="6">
        <f t="shared" si="23"/>
        <v>15</v>
      </c>
      <c r="L27" s="7">
        <f t="shared" ref="L27:L32" si="27">IF(K27&gt;=0,1,0)</f>
        <v>1</v>
      </c>
      <c r="M27" s="4"/>
      <c r="N27" s="5" t="s">
        <v>178</v>
      </c>
      <c r="O27" s="12">
        <v>78</v>
      </c>
      <c r="P27" s="12">
        <v>56</v>
      </c>
      <c r="Q27" s="6">
        <f t="shared" ref="Q27:Q32" si="28">O27-P27</f>
        <v>22</v>
      </c>
      <c r="R27" s="7">
        <f t="shared" ref="R27:R32" si="29">IF(Q27&gt;=0,1,0)</f>
        <v>1</v>
      </c>
      <c r="S27" s="4"/>
      <c r="T27" s="5" t="s">
        <v>178</v>
      </c>
      <c r="U27" s="12">
        <v>62</v>
      </c>
      <c r="V27" s="12">
        <v>67</v>
      </c>
      <c r="W27" s="6">
        <f t="shared" si="24"/>
        <v>-5</v>
      </c>
      <c r="X27" s="7">
        <f t="shared" ref="X27:X32" si="30">IF(W27&gt;=0,1,0)</f>
        <v>0</v>
      </c>
      <c r="Y27" s="3"/>
    </row>
    <row r="28" spans="1:25" x14ac:dyDescent="0.25">
      <c r="A28" s="3"/>
      <c r="B28" s="5" t="s">
        <v>178</v>
      </c>
      <c r="C28" s="12">
        <v>66</v>
      </c>
      <c r="D28" s="12">
        <v>59</v>
      </c>
      <c r="E28" s="6">
        <f t="shared" si="25"/>
        <v>7</v>
      </c>
      <c r="F28" s="7">
        <f t="shared" si="26"/>
        <v>1</v>
      </c>
      <c r="G28" s="4"/>
      <c r="H28" s="5" t="s">
        <v>178</v>
      </c>
      <c r="I28" s="12">
        <v>79</v>
      </c>
      <c r="J28" s="12">
        <v>62</v>
      </c>
      <c r="K28" s="6">
        <f t="shared" si="23"/>
        <v>17</v>
      </c>
      <c r="L28" s="7">
        <f t="shared" si="27"/>
        <v>1</v>
      </c>
      <c r="M28" s="4"/>
      <c r="N28" s="5" t="s">
        <v>178</v>
      </c>
      <c r="O28" s="12">
        <v>70</v>
      </c>
      <c r="P28" s="12">
        <v>72</v>
      </c>
      <c r="Q28" s="6">
        <f t="shared" si="28"/>
        <v>-2</v>
      </c>
      <c r="R28" s="7">
        <f t="shared" si="29"/>
        <v>0</v>
      </c>
      <c r="S28" s="4"/>
      <c r="T28" s="5" t="s">
        <v>178</v>
      </c>
      <c r="U28" s="12">
        <v>72</v>
      </c>
      <c r="V28" s="12">
        <v>65</v>
      </c>
      <c r="W28" s="6">
        <f t="shared" si="24"/>
        <v>7</v>
      </c>
      <c r="X28" s="7">
        <f t="shared" si="30"/>
        <v>1</v>
      </c>
      <c r="Y28" s="3"/>
    </row>
    <row r="29" spans="1:25" x14ac:dyDescent="0.25">
      <c r="A29" s="3"/>
      <c r="B29" s="5" t="s">
        <v>179</v>
      </c>
      <c r="C29" s="12">
        <v>68</v>
      </c>
      <c r="D29" s="12">
        <v>57</v>
      </c>
      <c r="E29" s="6">
        <f t="shared" si="25"/>
        <v>11</v>
      </c>
      <c r="F29" s="7">
        <f t="shared" si="26"/>
        <v>1</v>
      </c>
      <c r="G29" s="4"/>
      <c r="H29" s="5" t="s">
        <v>179</v>
      </c>
      <c r="I29" s="12">
        <v>66</v>
      </c>
      <c r="J29" s="12">
        <v>49</v>
      </c>
      <c r="K29" s="6">
        <f t="shared" si="23"/>
        <v>17</v>
      </c>
      <c r="L29" s="7">
        <f t="shared" si="27"/>
        <v>1</v>
      </c>
      <c r="M29" s="4"/>
      <c r="N29" s="5" t="s">
        <v>179</v>
      </c>
      <c r="O29" s="12">
        <v>66</v>
      </c>
      <c r="P29" s="12">
        <v>59</v>
      </c>
      <c r="Q29" s="6">
        <f t="shared" si="28"/>
        <v>7</v>
      </c>
      <c r="R29" s="7">
        <f t="shared" si="29"/>
        <v>1</v>
      </c>
      <c r="S29" s="4"/>
      <c r="T29" s="5" t="s">
        <v>179</v>
      </c>
      <c r="U29" s="12">
        <v>62</v>
      </c>
      <c r="V29" s="12">
        <v>81</v>
      </c>
      <c r="W29" s="6">
        <f t="shared" si="24"/>
        <v>-19</v>
      </c>
      <c r="X29" s="7">
        <f t="shared" si="30"/>
        <v>0</v>
      </c>
      <c r="Y29" s="3"/>
    </row>
    <row r="30" spans="1:25" x14ac:dyDescent="0.25">
      <c r="A30" s="3"/>
      <c r="B30" s="5" t="s">
        <v>179</v>
      </c>
      <c r="C30" s="12">
        <v>68</v>
      </c>
      <c r="D30" s="12">
        <v>69</v>
      </c>
      <c r="E30" s="6">
        <f t="shared" si="25"/>
        <v>-1</v>
      </c>
      <c r="F30" s="7">
        <f t="shared" si="26"/>
        <v>0</v>
      </c>
      <c r="G30" s="4"/>
      <c r="H30" s="5" t="s">
        <v>179</v>
      </c>
      <c r="I30" s="12">
        <v>82</v>
      </c>
      <c r="J30" s="12">
        <v>73</v>
      </c>
      <c r="K30" s="6">
        <f t="shared" si="23"/>
        <v>9</v>
      </c>
      <c r="L30" s="7">
        <f t="shared" si="27"/>
        <v>1</v>
      </c>
      <c r="M30" s="4"/>
      <c r="N30" s="5" t="s">
        <v>179</v>
      </c>
      <c r="O30" s="12">
        <v>77</v>
      </c>
      <c r="P30" s="12">
        <v>70</v>
      </c>
      <c r="Q30" s="6">
        <f t="shared" si="28"/>
        <v>7</v>
      </c>
      <c r="R30" s="7">
        <f t="shared" si="29"/>
        <v>1</v>
      </c>
      <c r="S30" s="4"/>
      <c r="T30" s="5" t="s">
        <v>179</v>
      </c>
      <c r="U30" s="12">
        <v>63</v>
      </c>
      <c r="V30" s="12">
        <v>58</v>
      </c>
      <c r="W30" s="6">
        <f t="shared" si="24"/>
        <v>5</v>
      </c>
      <c r="X30" s="7">
        <f t="shared" si="30"/>
        <v>1</v>
      </c>
      <c r="Y30" s="3"/>
    </row>
    <row r="31" spans="1:25" x14ac:dyDescent="0.25">
      <c r="A31" s="3"/>
      <c r="B31" s="5" t="s">
        <v>179</v>
      </c>
      <c r="C31" s="12">
        <v>77</v>
      </c>
      <c r="D31" s="12">
        <v>62</v>
      </c>
      <c r="E31" s="6">
        <f t="shared" si="25"/>
        <v>15</v>
      </c>
      <c r="F31" s="7">
        <f t="shared" si="26"/>
        <v>1</v>
      </c>
      <c r="G31" s="4"/>
      <c r="H31" s="5" t="s">
        <v>179</v>
      </c>
      <c r="I31" s="12">
        <v>64</v>
      </c>
      <c r="J31" s="12">
        <v>63</v>
      </c>
      <c r="K31" s="6">
        <f t="shared" si="23"/>
        <v>1</v>
      </c>
      <c r="L31" s="7">
        <f t="shared" si="27"/>
        <v>1</v>
      </c>
      <c r="M31" s="4"/>
      <c r="N31" s="5" t="s">
        <v>179</v>
      </c>
      <c r="O31" s="12">
        <v>59</v>
      </c>
      <c r="P31" s="12">
        <v>66</v>
      </c>
      <c r="Q31" s="6">
        <f t="shared" si="28"/>
        <v>-7</v>
      </c>
      <c r="R31" s="7">
        <f t="shared" si="29"/>
        <v>0</v>
      </c>
      <c r="S31" s="4"/>
      <c r="T31" s="5" t="s">
        <v>179</v>
      </c>
      <c r="U31" s="12">
        <v>59</v>
      </c>
      <c r="V31" s="12">
        <v>56</v>
      </c>
      <c r="W31" s="6">
        <f t="shared" si="24"/>
        <v>3</v>
      </c>
      <c r="X31" s="7">
        <f t="shared" si="30"/>
        <v>1</v>
      </c>
      <c r="Y31" s="3"/>
    </row>
    <row r="32" spans="1:25" ht="15.75" thickBot="1" x14ac:dyDescent="0.3">
      <c r="A32" s="3"/>
      <c r="B32" s="8" t="s">
        <v>179</v>
      </c>
      <c r="C32" s="9">
        <v>65</v>
      </c>
      <c r="D32" s="9">
        <v>75</v>
      </c>
      <c r="E32" s="9">
        <f t="shared" si="25"/>
        <v>-10</v>
      </c>
      <c r="F32" s="11">
        <f t="shared" si="26"/>
        <v>0</v>
      </c>
      <c r="G32" s="10"/>
      <c r="H32" s="8" t="s">
        <v>179</v>
      </c>
      <c r="I32" s="9">
        <v>67</v>
      </c>
      <c r="J32" s="9">
        <v>54</v>
      </c>
      <c r="K32" s="9">
        <f t="shared" si="23"/>
        <v>13</v>
      </c>
      <c r="L32" s="11">
        <f t="shared" si="27"/>
        <v>1</v>
      </c>
      <c r="M32" s="10"/>
      <c r="N32" s="8" t="s">
        <v>179</v>
      </c>
      <c r="O32" s="16">
        <v>75</v>
      </c>
      <c r="P32" s="16">
        <v>65</v>
      </c>
      <c r="Q32" s="9">
        <f t="shared" si="28"/>
        <v>10</v>
      </c>
      <c r="R32" s="11">
        <f t="shared" si="29"/>
        <v>1</v>
      </c>
      <c r="S32" s="10"/>
      <c r="T32" s="8" t="s">
        <v>179</v>
      </c>
      <c r="U32" s="9">
        <v>65</v>
      </c>
      <c r="V32" s="9">
        <v>67</v>
      </c>
      <c r="W32" s="9">
        <f t="shared" si="24"/>
        <v>-2</v>
      </c>
      <c r="X32" s="11">
        <f t="shared" si="30"/>
        <v>0</v>
      </c>
      <c r="Y32" s="3"/>
    </row>
    <row r="33" spans="1:25" ht="11.2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</sheetData>
  <mergeCells count="5">
    <mergeCell ref="B3:F3"/>
    <mergeCell ref="H3:L3"/>
    <mergeCell ref="N3:R3"/>
    <mergeCell ref="T3:X3"/>
    <mergeCell ref="B2:X2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Tables</vt:lpstr>
      <vt:lpstr>Points</vt:lpstr>
      <vt:lpstr>Mens Singles Consolidated</vt:lpstr>
      <vt:lpstr>Mens Singles Australian Open</vt:lpstr>
      <vt:lpstr>Mens Singles Roland Garros</vt:lpstr>
      <vt:lpstr>Mens Singles Wimbledon</vt:lpstr>
      <vt:lpstr>Mens Singles US Open</vt:lpstr>
      <vt:lpstr>Mens Singles</vt:lpstr>
      <vt:lpstr>Womens Singles</vt:lpstr>
      <vt:lpstr>SetNames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palyogen</cp:lastModifiedBy>
  <dcterms:created xsi:type="dcterms:W3CDTF">2013-08-16T20:21:21Z</dcterms:created>
  <dcterms:modified xsi:type="dcterms:W3CDTF">2015-08-26T19:17:59Z</dcterms:modified>
</cp:coreProperties>
</file>